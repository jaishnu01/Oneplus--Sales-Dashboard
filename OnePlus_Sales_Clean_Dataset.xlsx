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BC\Downloads\"/>
    </mc:Choice>
  </mc:AlternateContent>
  <xr:revisionPtr revIDLastSave="0" documentId="13_ncr:1_{1F0DD296-CB67-4DBD-B0E1-B23B45998629}" xr6:coauthVersionLast="47" xr6:coauthVersionMax="47" xr10:uidLastSave="{00000000-0000-0000-0000-000000000000}"/>
  <bookViews>
    <workbookView xWindow="-110" yWindow="-110" windowWidth="19420" windowHeight="10300" firstSheet="1" activeTab="1" xr2:uid="{00000000-000D-0000-FFFF-FFFF00000000}"/>
  </bookViews>
  <sheets>
    <sheet name="Sheet6" sheetId="7" r:id="rId1"/>
    <sheet name="DASHBOARD" sheetId="6" r:id="rId2"/>
    <sheet name="Raw_Data" sheetId="1" r:id="rId3"/>
    <sheet name="Sheet4" sheetId="5" r:id="rId4"/>
  </sheets>
  <definedNames>
    <definedName name="_xlcn.WorksheetConnection_OnePlus_Sales_Clean_Dataset.xlsxOnePlusSalesData" hidden="1">OnePlusSalesData[]</definedName>
    <definedName name="Date">Sheet4!$N$13:$O$50</definedName>
    <definedName name="NativeTimeline_Delivery_Month_Year">#N/A</definedName>
    <definedName name="Slicer_category">#N/A</definedName>
    <definedName name="Slicer_city">#N/A</definedName>
    <definedName name="Slicer_payment_mod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OnePlusSalesData" name="OnePlusSalesData" connection="WorksheetConnection_OnePlus_Sales_Clean_Dataset.xlsx!OnePlus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S11" i="1"/>
  <c r="I1502" i="1"/>
  <c r="J1502" i="1"/>
  <c r="S23" i="1"/>
  <c r="S19" i="1"/>
  <c r="S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FB643-96B2-4B66-B865-9A969102BF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5AB8F1-75A9-42EE-A7F7-E5D60137902D}" name="WorksheetConnection_OnePlus_Sales_Clean_Dataset.xlsx!OnePlusSalesData" type="102" refreshedVersion="8" minRefreshableVersion="5">
    <extLst>
      <ext xmlns:x15="http://schemas.microsoft.com/office/spreadsheetml/2010/11/main" uri="{DE250136-89BD-433C-8126-D09CA5730AF9}">
        <x15:connection id="OnePlusSalesData" autoDelete="1">
          <x15:rangePr sourceName="_xlcn.WorksheetConnection_OnePlus_Sales_Clean_Dataset.xlsxOnePlusSalesData"/>
        </x15:connection>
      </ext>
    </extLst>
  </connection>
</connections>
</file>

<file path=xl/sharedStrings.xml><?xml version="1.0" encoding="utf-8"?>
<sst xmlns="http://schemas.openxmlformats.org/spreadsheetml/2006/main" count="13592" uniqueCount="2612">
  <si>
    <t>order_id</t>
  </si>
  <si>
    <t>region</t>
  </si>
  <si>
    <t>city</t>
  </si>
  <si>
    <t>category</t>
  </si>
  <si>
    <t>product_name</t>
  </si>
  <si>
    <t>unit_price</t>
  </si>
  <si>
    <t>quantity</t>
  </si>
  <si>
    <t>discount</t>
  </si>
  <si>
    <t>discount_value</t>
  </si>
  <si>
    <t>sales</t>
  </si>
  <si>
    <t>profit</t>
  </si>
  <si>
    <t>order_date</t>
  </si>
  <si>
    <t>delivery_date</t>
  </si>
  <si>
    <t>customer_type</t>
  </si>
  <si>
    <t>payment_mode</t>
  </si>
  <si>
    <t>OP-20180001</t>
  </si>
  <si>
    <t>South</t>
  </si>
  <si>
    <t>Coimbatore</t>
  </si>
  <si>
    <t>Accessories &amp; Gear</t>
  </si>
  <si>
    <t>OnePlus Warp Charge 30 Power Adapter</t>
  </si>
  <si>
    <t>2019-04-12</t>
  </si>
  <si>
    <t>2019-04-16</t>
  </si>
  <si>
    <t>Individual</t>
  </si>
  <si>
    <t>Credit Card</t>
  </si>
  <si>
    <t>OP-20180002</t>
  </si>
  <si>
    <t>North</t>
  </si>
  <si>
    <t>Lucknow</t>
  </si>
  <si>
    <t>Smart TV &amp; Display</t>
  </si>
  <si>
    <t>OnePlus TV 32Y1 HD Ready</t>
  </si>
  <si>
    <t>2018-10-04</t>
  </si>
  <si>
    <t>2018-10-06</t>
  </si>
  <si>
    <t>Debit Card</t>
  </si>
  <si>
    <t>OP-20180003</t>
  </si>
  <si>
    <t>Bengaluru</t>
  </si>
  <si>
    <t>Mid-Range Smartphones</t>
  </si>
  <si>
    <t>OnePlus Nord N10</t>
  </si>
  <si>
    <t>2020-08-15</t>
  </si>
  <si>
    <t>2020-08-22</t>
  </si>
  <si>
    <t>OP-20180004</t>
  </si>
  <si>
    <t>Hyderabad</t>
  </si>
  <si>
    <t>Flagship Smartphones</t>
  </si>
  <si>
    <t>OnePlus 7T</t>
  </si>
  <si>
    <t>2019-01-23</t>
  </si>
  <si>
    <t>2019-01-25</t>
  </si>
  <si>
    <t>Retail Partner</t>
  </si>
  <si>
    <t>Net Banking</t>
  </si>
  <si>
    <t>OP-20180005</t>
  </si>
  <si>
    <t>OnePlus 6T</t>
  </si>
  <si>
    <t>2019-05-24</t>
  </si>
  <si>
    <t>2019-05-28</t>
  </si>
  <si>
    <t>Student</t>
  </si>
  <si>
    <t>OP-20180006</t>
  </si>
  <si>
    <t>West</t>
  </si>
  <si>
    <t>Pune</t>
  </si>
  <si>
    <t>OnePlus 7T Pro</t>
  </si>
  <si>
    <t>2019-02-06</t>
  </si>
  <si>
    <t>2019-02-09</t>
  </si>
  <si>
    <t>OP-20180007</t>
  </si>
  <si>
    <t>East</t>
  </si>
  <si>
    <t>Ranchi</t>
  </si>
  <si>
    <t>OnePlus 8 Pro</t>
  </si>
  <si>
    <t>2020-03-02</t>
  </si>
  <si>
    <t>2020-03-05</t>
  </si>
  <si>
    <t>UPI</t>
  </si>
  <si>
    <t>OP-20180008</t>
  </si>
  <si>
    <t>Noida</t>
  </si>
  <si>
    <t>2019-10-10</t>
  </si>
  <si>
    <t>2019-10-14</t>
  </si>
  <si>
    <t>OP-20180009</t>
  </si>
  <si>
    <t>Ahmedabad</t>
  </si>
  <si>
    <t>2018-07-20</t>
  </si>
  <si>
    <t>2018-07-25</t>
  </si>
  <si>
    <t>OP-20180010</t>
  </si>
  <si>
    <t>OnePlus 7</t>
  </si>
  <si>
    <t>2019-09-05</t>
  </si>
  <si>
    <t>2019-09-12</t>
  </si>
  <si>
    <t>OP-20180011</t>
  </si>
  <si>
    <t>OnePlus Nord</t>
  </si>
  <si>
    <t>2020-05-13</t>
  </si>
  <si>
    <t>2020-05-15</t>
  </si>
  <si>
    <t>OP-20180012</t>
  </si>
  <si>
    <t>Guwahati</t>
  </si>
  <si>
    <t>2019-08-01</t>
  </si>
  <si>
    <t>2019-08-04</t>
  </si>
  <si>
    <t>OP-20180013</t>
  </si>
  <si>
    <t>Audio &amp; Wearables</t>
  </si>
  <si>
    <t>OnePlus Bullets Wireless Z</t>
  </si>
  <si>
    <t>2018-07-09</t>
  </si>
  <si>
    <t>2018-07-11</t>
  </si>
  <si>
    <t>OP-20180014</t>
  </si>
  <si>
    <t>2018-11-14</t>
  </si>
  <si>
    <t>2018-11-20</t>
  </si>
  <si>
    <t>Corporate</t>
  </si>
  <si>
    <t>OP-20180015</t>
  </si>
  <si>
    <t>2020-08-09</t>
  </si>
  <si>
    <t>2020-08-11</t>
  </si>
  <si>
    <t>EMI / Bajaj Finserv</t>
  </si>
  <si>
    <t>OP-20180016</t>
  </si>
  <si>
    <t>OnePlus 6</t>
  </si>
  <si>
    <t>2019-12-31</t>
  </si>
  <si>
    <t>2020-01-07</t>
  </si>
  <si>
    <t>OP-20180017</t>
  </si>
  <si>
    <t>OnePlus Type-C Bullets Earphones</t>
  </si>
  <si>
    <t>2018-07-17</t>
  </si>
  <si>
    <t>2018-07-24</t>
  </si>
  <si>
    <t>OP-20180018</t>
  </si>
  <si>
    <t>Surat</t>
  </si>
  <si>
    <t>2019-02-07</t>
  </si>
  <si>
    <t>2019-02-10</t>
  </si>
  <si>
    <t>OP-20180019</t>
  </si>
  <si>
    <t>2019-10-03</t>
  </si>
  <si>
    <t>2019-10-07</t>
  </si>
  <si>
    <t>OP-20180020</t>
  </si>
  <si>
    <t>Bhubaneswar</t>
  </si>
  <si>
    <t>2020-05-30</t>
  </si>
  <si>
    <t>2020-06-02</t>
  </si>
  <si>
    <t>OP-20180021</t>
  </si>
  <si>
    <t>2019-02-08</t>
  </si>
  <si>
    <t>2019-02-15</t>
  </si>
  <si>
    <t>OP-20180022</t>
  </si>
  <si>
    <t>Chandigarh</t>
  </si>
  <si>
    <t>2018-04-09</t>
  </si>
  <si>
    <t>2018-04-11</t>
  </si>
  <si>
    <t>OP-20180023</t>
  </si>
  <si>
    <t>OnePlus Warp Charge 30 Wireless Charger</t>
  </si>
  <si>
    <t>2019-02-02</t>
  </si>
  <si>
    <t>OP-20180024</t>
  </si>
  <si>
    <t>2019-04-15</t>
  </si>
  <si>
    <t>2019-04-22</t>
  </si>
  <si>
    <t>OP-20180025</t>
  </si>
  <si>
    <t>2019-03-29</t>
  </si>
  <si>
    <t>2019-04-03</t>
  </si>
  <si>
    <t>OP-20180026</t>
  </si>
  <si>
    <t>Delhi</t>
  </si>
  <si>
    <t>2019-06-02</t>
  </si>
  <si>
    <t>2019-06-06</t>
  </si>
  <si>
    <t>OP-20180027</t>
  </si>
  <si>
    <t>2020-07-16</t>
  </si>
  <si>
    <t>2020-07-18</t>
  </si>
  <si>
    <t>OP-20180028</t>
  </si>
  <si>
    <t>Chennai</t>
  </si>
  <si>
    <t>2020-05-03</t>
  </si>
  <si>
    <t>2020-05-06</t>
  </si>
  <si>
    <t>OP-20180029</t>
  </si>
  <si>
    <t>2020-01-29</t>
  </si>
  <si>
    <t>2020-02-01</t>
  </si>
  <si>
    <t>Cash on Delivery</t>
  </si>
  <si>
    <t>OP-20180030</t>
  </si>
  <si>
    <t>OnePlus 8</t>
  </si>
  <si>
    <t>2019-05-27</t>
  </si>
  <si>
    <t>2019-06-03</t>
  </si>
  <si>
    <t>OP-20180031</t>
  </si>
  <si>
    <t>Kochi</t>
  </si>
  <si>
    <t>2019-07-29</t>
  </si>
  <si>
    <t>2019-08-05</t>
  </si>
  <si>
    <t>OP-20180032</t>
  </si>
  <si>
    <t>2020-09-19</t>
  </si>
  <si>
    <t>2020-09-25</t>
  </si>
  <si>
    <t>OP-20180033</t>
  </si>
  <si>
    <t>OnePlus TV 43Y1 Full HD</t>
  </si>
  <si>
    <t>2019-10-18</t>
  </si>
  <si>
    <t>2019-10-24</t>
  </si>
  <si>
    <t>OP-20180034</t>
  </si>
  <si>
    <t>2020-10-09</t>
  </si>
  <si>
    <t>2020-10-11</t>
  </si>
  <si>
    <t>OP-20180035</t>
  </si>
  <si>
    <t>2019-12-05</t>
  </si>
  <si>
    <t>2019-12-11</t>
  </si>
  <si>
    <t>OP-20180036</t>
  </si>
  <si>
    <t>2020-12-06</t>
  </si>
  <si>
    <t>2020-12-08</t>
  </si>
  <si>
    <t>OP-20180037</t>
  </si>
  <si>
    <t>Jaipur</t>
  </si>
  <si>
    <t>2018-12-23</t>
  </si>
  <si>
    <t>2018-12-26</t>
  </si>
  <si>
    <t>OP-20180038</t>
  </si>
  <si>
    <t>OnePlus TV Q1 55-inch</t>
  </si>
  <si>
    <t>2019-05-31</t>
  </si>
  <si>
    <t>OP-20180039</t>
  </si>
  <si>
    <t>OnePlus Protective Case / Bumper</t>
  </si>
  <si>
    <t>2020-12-02</t>
  </si>
  <si>
    <t>2020-12-07</t>
  </si>
  <si>
    <t>OP-20180040</t>
  </si>
  <si>
    <t>2019-08-28</t>
  </si>
  <si>
    <t>2019-08-31</t>
  </si>
  <si>
    <t>OP-20180041</t>
  </si>
  <si>
    <t>2019-12-30</t>
  </si>
  <si>
    <t>2020-01-05</t>
  </si>
  <si>
    <t>OP-20180042</t>
  </si>
  <si>
    <t>2018-04-06</t>
  </si>
  <si>
    <t>2018-04-13</t>
  </si>
  <si>
    <t>OP-20180043</t>
  </si>
  <si>
    <t>Mumbai</t>
  </si>
  <si>
    <t>2020-01-06</t>
  </si>
  <si>
    <t>OP-20180044</t>
  </si>
  <si>
    <t>2020-01-10</t>
  </si>
  <si>
    <t>OP-20180045</t>
  </si>
  <si>
    <t>2019-07-23</t>
  </si>
  <si>
    <t>OP-20180046</t>
  </si>
  <si>
    <t>2020-01-21</t>
  </si>
  <si>
    <t>2020-01-26</t>
  </si>
  <si>
    <t>OP-20180047</t>
  </si>
  <si>
    <t>2018-01-29</t>
  </si>
  <si>
    <t>2018-02-04</t>
  </si>
  <si>
    <t>OP-20180048</t>
  </si>
  <si>
    <t>2020-12-29</t>
  </si>
  <si>
    <t>2021-01-03</t>
  </si>
  <si>
    <t>OP-20180049</t>
  </si>
  <si>
    <t>2019-10-15</t>
  </si>
  <si>
    <t>OP-20180050</t>
  </si>
  <si>
    <t>2019-05-20</t>
  </si>
  <si>
    <t>2019-05-25</t>
  </si>
  <si>
    <t>OP-20180051</t>
  </si>
  <si>
    <t>2018-03-21</t>
  </si>
  <si>
    <t>2018-03-28</t>
  </si>
  <si>
    <t>OP-20180052</t>
  </si>
  <si>
    <t>2019-10-20</t>
  </si>
  <si>
    <t>OP-20180053</t>
  </si>
  <si>
    <t>2019-11-29</t>
  </si>
  <si>
    <t>2019-12-04</t>
  </si>
  <si>
    <t>OP-20180054</t>
  </si>
  <si>
    <t>Patna</t>
  </si>
  <si>
    <t>2020-01-22</t>
  </si>
  <si>
    <t>2020-01-28</t>
  </si>
  <si>
    <t>OP-20180055</t>
  </si>
  <si>
    <t>2020-05-26</t>
  </si>
  <si>
    <t>2020-06-01</t>
  </si>
  <si>
    <t>OP-20180056</t>
  </si>
  <si>
    <t>OnePlus Bullets Wireless 2</t>
  </si>
  <si>
    <t>2020-03-07</t>
  </si>
  <si>
    <t>OP-20180057</t>
  </si>
  <si>
    <t>2020-02-10</t>
  </si>
  <si>
    <t>2020-02-16</t>
  </si>
  <si>
    <t>OP-20180058</t>
  </si>
  <si>
    <t>2019-11-16</t>
  </si>
  <si>
    <t>2019-11-22</t>
  </si>
  <si>
    <t>OP-20180059</t>
  </si>
  <si>
    <t>2020-02-14</t>
  </si>
  <si>
    <t>OP-20180060</t>
  </si>
  <si>
    <t>2020-05-02</t>
  </si>
  <si>
    <t>2020-05-09</t>
  </si>
  <si>
    <t>OP-20180061</t>
  </si>
  <si>
    <t>2020-05-08</t>
  </si>
  <si>
    <t>2020-05-12</t>
  </si>
  <si>
    <t>OP-20180062</t>
  </si>
  <si>
    <t>2018-07-03</t>
  </si>
  <si>
    <t>2018-07-05</t>
  </si>
  <si>
    <t>OP-20180063</t>
  </si>
  <si>
    <t>2018-04-21</t>
  </si>
  <si>
    <t>2018-04-23</t>
  </si>
  <si>
    <t>OP-20180064</t>
  </si>
  <si>
    <t>2019-10-29</t>
  </si>
  <si>
    <t>2019-11-04</t>
  </si>
  <si>
    <t>OP-20180065</t>
  </si>
  <si>
    <t>2020-04-17</t>
  </si>
  <si>
    <t>2020-04-19</t>
  </si>
  <si>
    <t>OP-20180066</t>
  </si>
  <si>
    <t>Kolkata</t>
  </si>
  <si>
    <t>OnePlus Buds Z</t>
  </si>
  <si>
    <t>2018-02-16</t>
  </si>
  <si>
    <t>2018-02-18</t>
  </si>
  <si>
    <t>OP-20180067</t>
  </si>
  <si>
    <t>2019-12-20</t>
  </si>
  <si>
    <t>2019-12-27</t>
  </si>
  <si>
    <t>OP-20180068</t>
  </si>
  <si>
    <t>OnePlus Buds</t>
  </si>
  <si>
    <t>2020-10-23</t>
  </si>
  <si>
    <t>2020-10-30</t>
  </si>
  <si>
    <t>OP-20180069</t>
  </si>
  <si>
    <t>2019-12-15</t>
  </si>
  <si>
    <t>2019-12-17</t>
  </si>
  <si>
    <t>OP-20180070</t>
  </si>
  <si>
    <t>2018-08-21</t>
  </si>
  <si>
    <t>2018-08-27</t>
  </si>
  <si>
    <t>OP-20180071</t>
  </si>
  <si>
    <t>2018-11-11</t>
  </si>
  <si>
    <t>2018-11-17</t>
  </si>
  <si>
    <t>OP-20180072</t>
  </si>
  <si>
    <t>2018-12-16</t>
  </si>
  <si>
    <t>2018-12-18</t>
  </si>
  <si>
    <t>OP-20180073</t>
  </si>
  <si>
    <t>2019-10-08</t>
  </si>
  <si>
    <t>OP-20180074</t>
  </si>
  <si>
    <t>2018-11-22</t>
  </si>
  <si>
    <t>2018-11-25</t>
  </si>
  <si>
    <t>OP-20180075</t>
  </si>
  <si>
    <t>2018-05-19</t>
  </si>
  <si>
    <t>2018-05-24</t>
  </si>
  <si>
    <t>OP-20180076</t>
  </si>
  <si>
    <t>2018-11-23</t>
  </si>
  <si>
    <t>OP-20180077</t>
  </si>
  <si>
    <t>2019-01-11</t>
  </si>
  <si>
    <t>2019-01-15</t>
  </si>
  <si>
    <t>OP-20180078</t>
  </si>
  <si>
    <t>2019-12-26</t>
  </si>
  <si>
    <t>2020-01-01</t>
  </si>
  <si>
    <t>OP-20180079</t>
  </si>
  <si>
    <t>2019-09-08</t>
  </si>
  <si>
    <t>2019-09-15</t>
  </si>
  <si>
    <t>OP-20180080</t>
  </si>
  <si>
    <t>2018-04-14</t>
  </si>
  <si>
    <t>2018-04-18</t>
  </si>
  <si>
    <t>OP-20180081</t>
  </si>
  <si>
    <t>2019-04-23</t>
  </si>
  <si>
    <t>2019-04-27</t>
  </si>
  <si>
    <t>OP-20180082</t>
  </si>
  <si>
    <t>2020-05-14</t>
  </si>
  <si>
    <t>2020-05-21</t>
  </si>
  <si>
    <t>OP-20180083</t>
  </si>
  <si>
    <t>2020-04-23</t>
  </si>
  <si>
    <t>2020-04-29</t>
  </si>
  <si>
    <t>OP-20180084</t>
  </si>
  <si>
    <t>2020-05-28</t>
  </si>
  <si>
    <t>OP-20180085</t>
  </si>
  <si>
    <t>2020-09-24</t>
  </si>
  <si>
    <t>OP-20180086</t>
  </si>
  <si>
    <t>2020-10-10</t>
  </si>
  <si>
    <t>2020-10-14</t>
  </si>
  <si>
    <t>OP-20180087</t>
  </si>
  <si>
    <t>2020-09-09</t>
  </si>
  <si>
    <t>2020-09-11</t>
  </si>
  <si>
    <t>OP-20180088</t>
  </si>
  <si>
    <t>2018-04-27</t>
  </si>
  <si>
    <t>2018-04-30</t>
  </si>
  <si>
    <t>OP-20180089</t>
  </si>
  <si>
    <t>2019-10-02</t>
  </si>
  <si>
    <t>2019-10-06</t>
  </si>
  <si>
    <t>OP-20180090</t>
  </si>
  <si>
    <t>2018-10-12</t>
  </si>
  <si>
    <t>2018-10-16</t>
  </si>
  <si>
    <t>OP-20180091</t>
  </si>
  <si>
    <t>2020-12-22</t>
  </si>
  <si>
    <t>2020-12-28</t>
  </si>
  <si>
    <t>OP-20180092</t>
  </si>
  <si>
    <t>2018-10-13</t>
  </si>
  <si>
    <t>2018-10-17</t>
  </si>
  <si>
    <t>OP-20180093</t>
  </si>
  <si>
    <t>2020-07-13</t>
  </si>
  <si>
    <t>2020-07-17</t>
  </si>
  <si>
    <t>OP-20180094</t>
  </si>
  <si>
    <t>2020-10-28</t>
  </si>
  <si>
    <t>OP-20180095</t>
  </si>
  <si>
    <t>2020-10-03</t>
  </si>
  <si>
    <t>2020-10-06</t>
  </si>
  <si>
    <t>OP-20180096</t>
  </si>
  <si>
    <t>2020-01-08</t>
  </si>
  <si>
    <t>OP-20180097</t>
  </si>
  <si>
    <t>2019-05-29</t>
  </si>
  <si>
    <t>OP-20180098</t>
  </si>
  <si>
    <t>2020-07-22</t>
  </si>
  <si>
    <t>2020-07-29</t>
  </si>
  <si>
    <t>OP-20180099</t>
  </si>
  <si>
    <t>2018-05-08</t>
  </si>
  <si>
    <t>2018-05-10</t>
  </si>
  <si>
    <t>OP-20180100</t>
  </si>
  <si>
    <t>2019-05-09</t>
  </si>
  <si>
    <t>2019-05-14</t>
  </si>
  <si>
    <t>OP-20180101</t>
  </si>
  <si>
    <t>Nagpur</t>
  </si>
  <si>
    <t>2018-02-10</t>
  </si>
  <si>
    <t>2018-02-17</t>
  </si>
  <si>
    <t>OP-20180102</t>
  </si>
  <si>
    <t>2019-10-12</t>
  </si>
  <si>
    <t>OP-20180103</t>
  </si>
  <si>
    <t>2018-05-15</t>
  </si>
  <si>
    <t>OP-20180104</t>
  </si>
  <si>
    <t>2020-01-14</t>
  </si>
  <si>
    <t>2020-01-18</t>
  </si>
  <si>
    <t>OP-20180105</t>
  </si>
  <si>
    <t>2020-08-19</t>
  </si>
  <si>
    <t>OP-20180106</t>
  </si>
  <si>
    <t>2020-07-27</t>
  </si>
  <si>
    <t>2020-07-30</t>
  </si>
  <si>
    <t>OP-20180107</t>
  </si>
  <si>
    <t>2020-12-03</t>
  </si>
  <si>
    <t>OP-20180108</t>
  </si>
  <si>
    <t>2019-10-23</t>
  </si>
  <si>
    <t>2019-10-25</t>
  </si>
  <si>
    <t>OP-20180109</t>
  </si>
  <si>
    <t>2018-02-19</t>
  </si>
  <si>
    <t>OP-20180110</t>
  </si>
  <si>
    <t>2019-11-19</t>
  </si>
  <si>
    <t>OP-20180111</t>
  </si>
  <si>
    <t>2020-09-21</t>
  </si>
  <si>
    <t>2020-09-26</t>
  </si>
  <si>
    <t>OP-20180112</t>
  </si>
  <si>
    <t>2020-09-08</t>
  </si>
  <si>
    <t>2020-09-10</t>
  </si>
  <si>
    <t>OP-20180113</t>
  </si>
  <si>
    <t>2020-02-04</t>
  </si>
  <si>
    <t>OP-20180114</t>
  </si>
  <si>
    <t>2019-01-12</t>
  </si>
  <si>
    <t>OP-20180115</t>
  </si>
  <si>
    <t>OP-20180116</t>
  </si>
  <si>
    <t>2018-03-02</t>
  </si>
  <si>
    <t>2018-03-08</t>
  </si>
  <si>
    <t>OP-20180117</t>
  </si>
  <si>
    <t>2020-06-03</t>
  </si>
  <si>
    <t>2020-06-07</t>
  </si>
  <si>
    <t>OP-20180118</t>
  </si>
  <si>
    <t>2018-02-23</t>
  </si>
  <si>
    <t>2018-02-25</t>
  </si>
  <si>
    <t>OP-20180119</t>
  </si>
  <si>
    <t>2018-01-03</t>
  </si>
  <si>
    <t>2018-01-07</t>
  </si>
  <si>
    <t>OP-20180120</t>
  </si>
  <si>
    <t>OnePlus 7 Pro</t>
  </si>
  <si>
    <t>2019-09-27</t>
  </si>
  <si>
    <t>OP-20180121</t>
  </si>
  <si>
    <t>2020-09-15</t>
  </si>
  <si>
    <t>OP-20180122</t>
  </si>
  <si>
    <t>2020-08-30</t>
  </si>
  <si>
    <t>2020-09-01</t>
  </si>
  <si>
    <t>OP-20180123</t>
  </si>
  <si>
    <t>2018-08-04</t>
  </si>
  <si>
    <t>2018-08-08</t>
  </si>
  <si>
    <t>OP-20180124</t>
  </si>
  <si>
    <t>2018-07-10</t>
  </si>
  <si>
    <t>2018-07-14</t>
  </si>
  <si>
    <t>OP-20180125</t>
  </si>
  <si>
    <t>2018-03-23</t>
  </si>
  <si>
    <t>OP-20180126</t>
  </si>
  <si>
    <t>2020-05-20</t>
  </si>
  <si>
    <t>OP-20180127</t>
  </si>
  <si>
    <t>2019-07-26</t>
  </si>
  <si>
    <t>2019-08-02</t>
  </si>
  <si>
    <t>OP-20180128</t>
  </si>
  <si>
    <t>2019-02-05</t>
  </si>
  <si>
    <t>OP-20180129</t>
  </si>
  <si>
    <t>2020-02-02</t>
  </si>
  <si>
    <t>2020-02-06</t>
  </si>
  <si>
    <t>OP-20180130</t>
  </si>
  <si>
    <t>OP-20180131</t>
  </si>
  <si>
    <t>2020-11-11</t>
  </si>
  <si>
    <t>2020-11-15</t>
  </si>
  <si>
    <t>OP-20180132</t>
  </si>
  <si>
    <t>2019-07-24</t>
  </si>
  <si>
    <t>OP-20180133</t>
  </si>
  <si>
    <t>2020-12-19</t>
  </si>
  <si>
    <t>2020-12-26</t>
  </si>
  <si>
    <t>OP-20180134</t>
  </si>
  <si>
    <t>2019-11-24</t>
  </si>
  <si>
    <t>OP-20180135</t>
  </si>
  <si>
    <t>2020-08-13</t>
  </si>
  <si>
    <t>2020-08-20</t>
  </si>
  <si>
    <t>OP-20180136</t>
  </si>
  <si>
    <t>2018-12-04</t>
  </si>
  <si>
    <t>2018-12-11</t>
  </si>
  <si>
    <t>OP-20180137</t>
  </si>
  <si>
    <t>OP-20180138</t>
  </si>
  <si>
    <t>2018-01-02</t>
  </si>
  <si>
    <t>2018-01-04</t>
  </si>
  <si>
    <t>OP-20180139</t>
  </si>
  <si>
    <t>2018-05-23</t>
  </si>
  <si>
    <t>2018-05-26</t>
  </si>
  <si>
    <t>OP-20180140</t>
  </si>
  <si>
    <t>2018-08-11</t>
  </si>
  <si>
    <t>2018-08-13</t>
  </si>
  <si>
    <t>OP-20180141</t>
  </si>
  <si>
    <t>2020-06-18</t>
  </si>
  <si>
    <t>2020-06-25</t>
  </si>
  <si>
    <t>OP-20180142</t>
  </si>
  <si>
    <t>2020-06-27</t>
  </si>
  <si>
    <t>2020-06-29</t>
  </si>
  <si>
    <t>OP-20180143</t>
  </si>
  <si>
    <t>2018-11-03</t>
  </si>
  <si>
    <t>2018-11-08</t>
  </si>
  <si>
    <t>OP-20180144</t>
  </si>
  <si>
    <t>2018-12-19</t>
  </si>
  <si>
    <t>2018-12-24</t>
  </si>
  <si>
    <t>OP-20180145</t>
  </si>
  <si>
    <t>2018-06-01</t>
  </si>
  <si>
    <t>2018-06-04</t>
  </si>
  <si>
    <t>OP-20180146</t>
  </si>
  <si>
    <t>2018-10-22</t>
  </si>
  <si>
    <t>2018-10-25</t>
  </si>
  <si>
    <t>OP-20180147</t>
  </si>
  <si>
    <t>2020-03-04</t>
  </si>
  <si>
    <t>2020-03-09</t>
  </si>
  <si>
    <t>OP-20180148</t>
  </si>
  <si>
    <t>2019-01-16</t>
  </si>
  <si>
    <t>OP-20180149</t>
  </si>
  <si>
    <t>2019-04-05</t>
  </si>
  <si>
    <t>2019-04-10</t>
  </si>
  <si>
    <t>OP-20180150</t>
  </si>
  <si>
    <t>2018-05-13</t>
  </si>
  <si>
    <t>2018-05-18</t>
  </si>
  <si>
    <t>OP-20180151</t>
  </si>
  <si>
    <t>2018-06-05</t>
  </si>
  <si>
    <t>2018-06-12</t>
  </si>
  <si>
    <t>OP-20180152</t>
  </si>
  <si>
    <t>2018-04-29</t>
  </si>
  <si>
    <t>2018-05-03</t>
  </si>
  <si>
    <t>OP-20180153</t>
  </si>
  <si>
    <t>2018-05-06</t>
  </si>
  <si>
    <t>2018-05-09</t>
  </si>
  <si>
    <t>OP-20180154</t>
  </si>
  <si>
    <t>2018-11-04</t>
  </si>
  <si>
    <t>2018-11-07</t>
  </si>
  <si>
    <t>OP-20180155</t>
  </si>
  <si>
    <t>2018-11-10</t>
  </si>
  <si>
    <t>OP-20180156</t>
  </si>
  <si>
    <t>OP-20180157</t>
  </si>
  <si>
    <t>2020-10-13</t>
  </si>
  <si>
    <t>OP-20180158</t>
  </si>
  <si>
    <t>OP-20180159</t>
  </si>
  <si>
    <t>2019-12-28</t>
  </si>
  <si>
    <t>OP-20180160</t>
  </si>
  <si>
    <t>2020-05-16</t>
  </si>
  <si>
    <t>2020-05-23</t>
  </si>
  <si>
    <t>OP-20180161</t>
  </si>
  <si>
    <t>2019-10-27</t>
  </si>
  <si>
    <t>2019-11-01</t>
  </si>
  <si>
    <t>OP-20180162</t>
  </si>
  <si>
    <t>2018-12-30</t>
  </si>
  <si>
    <t>2019-01-03</t>
  </si>
  <si>
    <t>OP-20180163</t>
  </si>
  <si>
    <t>2020-02-28</t>
  </si>
  <si>
    <t>OP-20180164</t>
  </si>
  <si>
    <t>2018-04-16</t>
  </si>
  <si>
    <t>OP-20180165</t>
  </si>
  <si>
    <t>2018-06-08</t>
  </si>
  <si>
    <t>2018-06-10</t>
  </si>
  <si>
    <t>OP-20180166</t>
  </si>
  <si>
    <t>2019-07-13</t>
  </si>
  <si>
    <t>2019-07-17</t>
  </si>
  <si>
    <t>OP-20180167</t>
  </si>
  <si>
    <t>2019-11-13</t>
  </si>
  <si>
    <t>2019-11-15</t>
  </si>
  <si>
    <t>OP-20180168</t>
  </si>
  <si>
    <t>2020-09-22</t>
  </si>
  <si>
    <t>OP-20180169</t>
  </si>
  <si>
    <t>2020-09-14</t>
  </si>
  <si>
    <t>2020-09-18</t>
  </si>
  <si>
    <t>OP-20180170</t>
  </si>
  <si>
    <t>2019-09-29</t>
  </si>
  <si>
    <t>2019-10-01</t>
  </si>
  <si>
    <t>OP-20180171</t>
  </si>
  <si>
    <t>2020-10-02</t>
  </si>
  <si>
    <t>2020-10-07</t>
  </si>
  <si>
    <t>OP-20180172</t>
  </si>
  <si>
    <t>OP-20180173</t>
  </si>
  <si>
    <t>2020-01-02</t>
  </si>
  <si>
    <t>OP-20180174</t>
  </si>
  <si>
    <t>2018-10-14</t>
  </si>
  <si>
    <t>OP-20180175</t>
  </si>
  <si>
    <t>2018-08-25</t>
  </si>
  <si>
    <t>2018-08-30</t>
  </si>
  <si>
    <t>OP-20180176</t>
  </si>
  <si>
    <t>2020-09-04</t>
  </si>
  <si>
    <t>2020-09-06</t>
  </si>
  <si>
    <t>OP-20180177</t>
  </si>
  <si>
    <t>2018-12-27</t>
  </si>
  <si>
    <t>2019-01-02</t>
  </si>
  <si>
    <t>OP-20180178</t>
  </si>
  <si>
    <t>2018-09-19</t>
  </si>
  <si>
    <t>2018-09-23</t>
  </si>
  <si>
    <t>OP-20180179</t>
  </si>
  <si>
    <t>2018-05-14</t>
  </si>
  <si>
    <t>OP-20180180</t>
  </si>
  <si>
    <t>2018-09-25</t>
  </si>
  <si>
    <t>OP-20180181</t>
  </si>
  <si>
    <t>2019-04-28</t>
  </si>
  <si>
    <t>2019-04-30</t>
  </si>
  <si>
    <t>OP-20180182</t>
  </si>
  <si>
    <t>2020-11-01</t>
  </si>
  <si>
    <t>2020-11-06</t>
  </si>
  <si>
    <t>OP-20180183</t>
  </si>
  <si>
    <t>OP-20180184</t>
  </si>
  <si>
    <t>2019-04-02</t>
  </si>
  <si>
    <t>2019-04-06</t>
  </si>
  <si>
    <t>OP-20180185</t>
  </si>
  <si>
    <t>2020-02-24</t>
  </si>
  <si>
    <t>2020-03-01</t>
  </si>
  <si>
    <t>OP-20180186</t>
  </si>
  <si>
    <t>2020-02-07</t>
  </si>
  <si>
    <t>2020-02-13</t>
  </si>
  <si>
    <t>OP-20180187</t>
  </si>
  <si>
    <t>2018-09-03</t>
  </si>
  <si>
    <t>2018-09-10</t>
  </si>
  <si>
    <t>OP-20180188</t>
  </si>
  <si>
    <t>2018-12-10</t>
  </si>
  <si>
    <t>OP-20180189</t>
  </si>
  <si>
    <t>2019-05-30</t>
  </si>
  <si>
    <t>OP-20180190</t>
  </si>
  <si>
    <t>2019-07-08</t>
  </si>
  <si>
    <t>2019-07-14</t>
  </si>
  <si>
    <t>OP-20180191</t>
  </si>
  <si>
    <t>2018-09-02</t>
  </si>
  <si>
    <t>OP-20180192</t>
  </si>
  <si>
    <t>OP-20180193</t>
  </si>
  <si>
    <t>2019-02-12</t>
  </si>
  <si>
    <t>2019-02-16</t>
  </si>
  <si>
    <t>OP-20180194</t>
  </si>
  <si>
    <t>2019-05-19</t>
  </si>
  <si>
    <t>OP-20180195</t>
  </si>
  <si>
    <t>2018-12-28</t>
  </si>
  <si>
    <t>OP-20180196</t>
  </si>
  <si>
    <t>2018-07-12</t>
  </si>
  <si>
    <t>OP-20180197</t>
  </si>
  <si>
    <t>2020-06-10</t>
  </si>
  <si>
    <t>2020-06-13</t>
  </si>
  <si>
    <t>OP-20180198</t>
  </si>
  <si>
    <t>2020-02-29</t>
  </si>
  <si>
    <t>OP-20180199</t>
  </si>
  <si>
    <t>2019-05-12</t>
  </si>
  <si>
    <t>2019-05-17</t>
  </si>
  <si>
    <t>OP-20180200</t>
  </si>
  <si>
    <t>2018-07-22</t>
  </si>
  <si>
    <t>2018-07-29</t>
  </si>
  <si>
    <t>OP-20180201</t>
  </si>
  <si>
    <t>2018-03-29</t>
  </si>
  <si>
    <t>2018-04-03</t>
  </si>
  <si>
    <t>OP-20180202</t>
  </si>
  <si>
    <t>2018-05-16</t>
  </si>
  <si>
    <t>OP-20180203</t>
  </si>
  <si>
    <t>2019-04-18</t>
  </si>
  <si>
    <t>2019-04-21</t>
  </si>
  <si>
    <t>OP-20180204</t>
  </si>
  <si>
    <t>2018-08-22</t>
  </si>
  <si>
    <t>OP-20180205</t>
  </si>
  <si>
    <t>2020-10-18</t>
  </si>
  <si>
    <t>OP-20180206</t>
  </si>
  <si>
    <t>2020-04-01</t>
  </si>
  <si>
    <t>2020-04-07</t>
  </si>
  <si>
    <t>OP-20180207</t>
  </si>
  <si>
    <t>2018-12-02</t>
  </si>
  <si>
    <t>2018-12-05</t>
  </si>
  <si>
    <t>OP-20180208</t>
  </si>
  <si>
    <t>2018-07-30</t>
  </si>
  <si>
    <t>2018-08-06</t>
  </si>
  <si>
    <t>OP-20180209</t>
  </si>
  <si>
    <t>2018-07-02</t>
  </si>
  <si>
    <t>2018-07-04</t>
  </si>
  <si>
    <t>OP-20180210</t>
  </si>
  <si>
    <t>OP-20180211</t>
  </si>
  <si>
    <t>2019-05-15</t>
  </si>
  <si>
    <t>2019-05-21</t>
  </si>
  <si>
    <t>OP-20180212</t>
  </si>
  <si>
    <t>2019-07-01</t>
  </si>
  <si>
    <t>OP-20180213</t>
  </si>
  <si>
    <t>2019-09-30</t>
  </si>
  <si>
    <t>OP-20180214</t>
  </si>
  <si>
    <t>2020-09-16</t>
  </si>
  <si>
    <t>OP-20180215</t>
  </si>
  <si>
    <t>2018-07-31</t>
  </si>
  <si>
    <t>OP-20180216</t>
  </si>
  <si>
    <t>2021-01-01</t>
  </si>
  <si>
    <t>OP-20180217</t>
  </si>
  <si>
    <t>2018-06-14</t>
  </si>
  <si>
    <t>2018-06-17</t>
  </si>
  <si>
    <t>OP-20180218</t>
  </si>
  <si>
    <t>2019-03-21</t>
  </si>
  <si>
    <t>2019-03-23</t>
  </si>
  <si>
    <t>OP-20180219</t>
  </si>
  <si>
    <t>2019-07-27</t>
  </si>
  <si>
    <t>2019-07-30</t>
  </si>
  <si>
    <t>OP-20180220</t>
  </si>
  <si>
    <t>2020-04-21</t>
  </si>
  <si>
    <t>2020-04-27</t>
  </si>
  <si>
    <t>OP-20180221</t>
  </si>
  <si>
    <t>2019-08-11</t>
  </si>
  <si>
    <t>2019-08-18</t>
  </si>
  <si>
    <t>OP-20180222</t>
  </si>
  <si>
    <t>2020-06-09</t>
  </si>
  <si>
    <t>OP-20180223</t>
  </si>
  <si>
    <t>2020-11-17</t>
  </si>
  <si>
    <t>OP-20180224</t>
  </si>
  <si>
    <t>2019-08-24</t>
  </si>
  <si>
    <t>OP-20180225</t>
  </si>
  <si>
    <t>2019-05-06</t>
  </si>
  <si>
    <t>OP-20180226</t>
  </si>
  <si>
    <t>2020-05-01</t>
  </si>
  <si>
    <t>OP-20180227</t>
  </si>
  <si>
    <t>2019-11-23</t>
  </si>
  <si>
    <t>OP-20180228</t>
  </si>
  <si>
    <t>OP-20180229</t>
  </si>
  <si>
    <t>2018-05-11</t>
  </si>
  <si>
    <t>OP-20180230</t>
  </si>
  <si>
    <t>OP-20180231</t>
  </si>
  <si>
    <t>2019-08-16</t>
  </si>
  <si>
    <t>OP-20180232</t>
  </si>
  <si>
    <t>2020-07-31</t>
  </si>
  <si>
    <t>2020-08-03</t>
  </si>
  <si>
    <t>OP-20180233</t>
  </si>
  <si>
    <t>2018-10-21</t>
  </si>
  <si>
    <t>OP-20180234</t>
  </si>
  <si>
    <t>2020-08-25</t>
  </si>
  <si>
    <t>2020-08-29</t>
  </si>
  <si>
    <t>OP-20180235</t>
  </si>
  <si>
    <t>2019-04-07</t>
  </si>
  <si>
    <t>OP-20180236</t>
  </si>
  <si>
    <t>2020-06-06</t>
  </si>
  <si>
    <t>OP-20180237</t>
  </si>
  <si>
    <t>2020-05-05</t>
  </si>
  <si>
    <t>OP-20180238</t>
  </si>
  <si>
    <t>2020-09-12</t>
  </si>
  <si>
    <t>OP-20180239</t>
  </si>
  <si>
    <t>2020-07-24</t>
  </si>
  <si>
    <t>2020-07-26</t>
  </si>
  <si>
    <t>OP-20180240</t>
  </si>
  <si>
    <t>2018-08-10</t>
  </si>
  <si>
    <t>2018-08-12</t>
  </si>
  <si>
    <t>OP-20180241</t>
  </si>
  <si>
    <t>2020-11-05</t>
  </si>
  <si>
    <t>OP-20180242</t>
  </si>
  <si>
    <t>2020-10-15</t>
  </si>
  <si>
    <t>OP-20180243</t>
  </si>
  <si>
    <t>2019-03-14</t>
  </si>
  <si>
    <t>2019-03-19</t>
  </si>
  <si>
    <t>OP-20180244</t>
  </si>
  <si>
    <t>2018-06-28</t>
  </si>
  <si>
    <t>OP-20180245</t>
  </si>
  <si>
    <t>2018-12-13</t>
  </si>
  <si>
    <t>2018-12-15</t>
  </si>
  <si>
    <t>OP-20180246</t>
  </si>
  <si>
    <t>OP-20180247</t>
  </si>
  <si>
    <t>OP-20180248</t>
  </si>
  <si>
    <t>OP-20180249</t>
  </si>
  <si>
    <t>OP-20180250</t>
  </si>
  <si>
    <t>2018-01-19</t>
  </si>
  <si>
    <t>2018-01-24</t>
  </si>
  <si>
    <t>OP-20180251</t>
  </si>
  <si>
    <t>2019-06-04</t>
  </si>
  <si>
    <t>OP-20180252</t>
  </si>
  <si>
    <t>OP-20180253</t>
  </si>
  <si>
    <t>2020-08-16</t>
  </si>
  <si>
    <t>OP-20180254</t>
  </si>
  <si>
    <t>2020-02-15</t>
  </si>
  <si>
    <t>OP-20180255</t>
  </si>
  <si>
    <t>2018-09-29</t>
  </si>
  <si>
    <t>OP-20180256</t>
  </si>
  <si>
    <t>2018-10-11</t>
  </si>
  <si>
    <t>OP-20180257</t>
  </si>
  <si>
    <t>2018-07-19</t>
  </si>
  <si>
    <t>OP-20180258</t>
  </si>
  <si>
    <t>2019-11-10</t>
  </si>
  <si>
    <t>OP-20180259</t>
  </si>
  <si>
    <t>2020-07-02</t>
  </si>
  <si>
    <t>2020-07-07</t>
  </si>
  <si>
    <t>OP-20180260</t>
  </si>
  <si>
    <t>2020-04-12</t>
  </si>
  <si>
    <t>OP-20180261</t>
  </si>
  <si>
    <t>2018-12-29</t>
  </si>
  <si>
    <t>OP-20180262</t>
  </si>
  <si>
    <t>2020-11-24</t>
  </si>
  <si>
    <t>2020-12-01</t>
  </si>
  <si>
    <t>OP-20180263</t>
  </si>
  <si>
    <t>2018-03-09</t>
  </si>
  <si>
    <t>2018-03-15</t>
  </si>
  <si>
    <t>OP-20180264</t>
  </si>
  <si>
    <t>2020-02-03</t>
  </si>
  <si>
    <t>OP-20180265</t>
  </si>
  <si>
    <t>2019-05-04</t>
  </si>
  <si>
    <t>OP-20180266</t>
  </si>
  <si>
    <t>2020-02-05</t>
  </si>
  <si>
    <t>OP-20180267</t>
  </si>
  <si>
    <t>2018-09-24</t>
  </si>
  <si>
    <t>2018-10-01</t>
  </si>
  <si>
    <t>OP-20180268</t>
  </si>
  <si>
    <t>2019-07-12</t>
  </si>
  <si>
    <t>2019-07-15</t>
  </si>
  <si>
    <t>OP-20180269</t>
  </si>
  <si>
    <t>2019-02-11</t>
  </si>
  <si>
    <t>OP-20180270</t>
  </si>
  <si>
    <t>2020-02-11</t>
  </si>
  <si>
    <t>2020-02-17</t>
  </si>
  <si>
    <t>OP-20180271</t>
  </si>
  <si>
    <t>2019-03-25</t>
  </si>
  <si>
    <t>OP-20180272</t>
  </si>
  <si>
    <t>2018-10-09</t>
  </si>
  <si>
    <t>OP-20180273</t>
  </si>
  <si>
    <t>2019-06-26</t>
  </si>
  <si>
    <t>2019-06-30</t>
  </si>
  <si>
    <t>OP-20180274</t>
  </si>
  <si>
    <t>2018-09-14</t>
  </si>
  <si>
    <t>OP-20180275</t>
  </si>
  <si>
    <t>2020-06-28</t>
  </si>
  <si>
    <t>2020-07-03</t>
  </si>
  <si>
    <t>OP-20180276</t>
  </si>
  <si>
    <t>2018-11-18</t>
  </si>
  <si>
    <t>2018-11-21</t>
  </si>
  <si>
    <t>OP-20180277</t>
  </si>
  <si>
    <t>2020-11-16</t>
  </si>
  <si>
    <t>2020-11-23</t>
  </si>
  <si>
    <t>OP-20180278</t>
  </si>
  <si>
    <t>2019-12-29</t>
  </si>
  <si>
    <t>OP-20180279</t>
  </si>
  <si>
    <t>2019-02-23</t>
  </si>
  <si>
    <t>OP-20180280</t>
  </si>
  <si>
    <t>OP-20180281</t>
  </si>
  <si>
    <t>2018-10-23</t>
  </si>
  <si>
    <t>OP-20180282</t>
  </si>
  <si>
    <t>2019-07-31</t>
  </si>
  <si>
    <t>OP-20180283</t>
  </si>
  <si>
    <t>2019-09-16</t>
  </si>
  <si>
    <t>2019-09-21</t>
  </si>
  <si>
    <t>OP-20180284</t>
  </si>
  <si>
    <t>2018-06-24</t>
  </si>
  <si>
    <t>2018-06-30</t>
  </si>
  <si>
    <t>OP-20180285</t>
  </si>
  <si>
    <t>2019-06-17</t>
  </si>
  <si>
    <t>2019-06-22</t>
  </si>
  <si>
    <t>OP-20180286</t>
  </si>
  <si>
    <t>2018-08-15</t>
  </si>
  <si>
    <t>2018-08-20</t>
  </si>
  <si>
    <t>OP-20180287</t>
  </si>
  <si>
    <t>OP-20180288</t>
  </si>
  <si>
    <t>OP-20180289</t>
  </si>
  <si>
    <t>OP-20180290</t>
  </si>
  <si>
    <t>2020-05-17</t>
  </si>
  <si>
    <t>2020-05-24</t>
  </si>
  <si>
    <t>OP-20180291</t>
  </si>
  <si>
    <t>2020-01-13</t>
  </si>
  <si>
    <t>OP-20180292</t>
  </si>
  <si>
    <t>2018-07-01</t>
  </si>
  <si>
    <t>OP-20180293</t>
  </si>
  <si>
    <t>2018-01-12</t>
  </si>
  <si>
    <t>2018-01-16</t>
  </si>
  <si>
    <t>OP-20180294</t>
  </si>
  <si>
    <t>2020-12-04</t>
  </si>
  <si>
    <t>2020-12-11</t>
  </si>
  <si>
    <t>OP-20180295</t>
  </si>
  <si>
    <t>OP-20180296</t>
  </si>
  <si>
    <t>OP-20180297</t>
  </si>
  <si>
    <t>2019-05-08</t>
  </si>
  <si>
    <t>OP-20180298</t>
  </si>
  <si>
    <t>2018-01-05</t>
  </si>
  <si>
    <t>2018-01-10</t>
  </si>
  <si>
    <t>OP-20180299</t>
  </si>
  <si>
    <t>OP-20180300</t>
  </si>
  <si>
    <t>2020-09-23</t>
  </si>
  <si>
    <t>OP-20180301</t>
  </si>
  <si>
    <t>OP-20180302</t>
  </si>
  <si>
    <t>OP-20180303</t>
  </si>
  <si>
    <t>OP-20180304</t>
  </si>
  <si>
    <t>2018-04-10</t>
  </si>
  <si>
    <t>OP-20180305</t>
  </si>
  <si>
    <t>OP-20180306</t>
  </si>
  <si>
    <t>OP-20180307</t>
  </si>
  <si>
    <t>2019-12-19</t>
  </si>
  <si>
    <t>2019-12-21</t>
  </si>
  <si>
    <t>OP-20180308</t>
  </si>
  <si>
    <t>2018-11-15</t>
  </si>
  <si>
    <t>OP-20180309</t>
  </si>
  <si>
    <t>2020-04-03</t>
  </si>
  <si>
    <t>OP-20180310</t>
  </si>
  <si>
    <t>OP-20180311</t>
  </si>
  <si>
    <t>2019-09-07</t>
  </si>
  <si>
    <t>2019-09-14</t>
  </si>
  <si>
    <t>OP-20180312</t>
  </si>
  <si>
    <t>2018-07-08</t>
  </si>
  <si>
    <t>2018-07-13</t>
  </si>
  <si>
    <t>OP-20180313</t>
  </si>
  <si>
    <t>OP-20180314</t>
  </si>
  <si>
    <t>OP-20180315</t>
  </si>
  <si>
    <t>2018-11-02</t>
  </si>
  <si>
    <t>2018-11-09</t>
  </si>
  <si>
    <t>OP-20180316</t>
  </si>
  <si>
    <t>2019-05-26</t>
  </si>
  <si>
    <t>OP-20180317</t>
  </si>
  <si>
    <t>2019-06-05</t>
  </si>
  <si>
    <t>2019-06-07</t>
  </si>
  <si>
    <t>OP-20180318</t>
  </si>
  <si>
    <t>2020-01-23</t>
  </si>
  <si>
    <t>2020-01-25</t>
  </si>
  <si>
    <t>OP-20180319</t>
  </si>
  <si>
    <t>OP-20180320</t>
  </si>
  <si>
    <t>2018-09-06</t>
  </si>
  <si>
    <t>OP-20180321</t>
  </si>
  <si>
    <t>2020-05-18</t>
  </si>
  <si>
    <t>OP-20180322</t>
  </si>
  <si>
    <t>OP-20180323</t>
  </si>
  <si>
    <t>2019-10-21</t>
  </si>
  <si>
    <t>2019-10-26</t>
  </si>
  <si>
    <t>OP-20180324</t>
  </si>
  <si>
    <t>2020-04-26</t>
  </si>
  <si>
    <t>OP-20180325</t>
  </si>
  <si>
    <t>2018-04-28</t>
  </si>
  <si>
    <t>OP-20180326</t>
  </si>
  <si>
    <t>2018-05-02</t>
  </si>
  <si>
    <t>OP-20180327</t>
  </si>
  <si>
    <t>2019-01-26</t>
  </si>
  <si>
    <t>OP-20180328</t>
  </si>
  <si>
    <t>2018-07-21</t>
  </si>
  <si>
    <t>2018-07-23</t>
  </si>
  <si>
    <t>OP-20180329</t>
  </si>
  <si>
    <t>2020-10-19</t>
  </si>
  <si>
    <t>OP-20180330</t>
  </si>
  <si>
    <t>2018-08-07</t>
  </si>
  <si>
    <t>OP-20180331</t>
  </si>
  <si>
    <t>2020-03-12</t>
  </si>
  <si>
    <t>2020-03-19</t>
  </si>
  <si>
    <t>OP-20180332</t>
  </si>
  <si>
    <t>2018-09-15</t>
  </si>
  <si>
    <t>2018-09-21</t>
  </si>
  <si>
    <t>OP-20180333</t>
  </si>
  <si>
    <t>OP-20180334</t>
  </si>
  <si>
    <t>2018-02-15</t>
  </si>
  <si>
    <t>OP-20180335</t>
  </si>
  <si>
    <t>2019-01-07</t>
  </si>
  <si>
    <t>OP-20180336</t>
  </si>
  <si>
    <t>2018-02-08</t>
  </si>
  <si>
    <t>OP-20180337</t>
  </si>
  <si>
    <t>2018-03-05</t>
  </si>
  <si>
    <t>OP-20180338</t>
  </si>
  <si>
    <t>OP-20180339</t>
  </si>
  <si>
    <t>OP-20180340</t>
  </si>
  <si>
    <t>2019-03-24</t>
  </si>
  <si>
    <t>OP-20180341</t>
  </si>
  <si>
    <t>2018-03-04</t>
  </si>
  <si>
    <t>2018-03-11</t>
  </si>
  <si>
    <t>OP-20180342</t>
  </si>
  <si>
    <t>2020-04-02</t>
  </si>
  <si>
    <t>2020-04-06</t>
  </si>
  <si>
    <t>OP-20180343</t>
  </si>
  <si>
    <t>OP-20180344</t>
  </si>
  <si>
    <t>2018-10-10</t>
  </si>
  <si>
    <t>OP-20180345</t>
  </si>
  <si>
    <t>OP-20180346</t>
  </si>
  <si>
    <t>2018-03-30</t>
  </si>
  <si>
    <t>OP-20180347</t>
  </si>
  <si>
    <t>2019-05-10</t>
  </si>
  <si>
    <t>2019-05-16</t>
  </si>
  <si>
    <t>OP-20180348</t>
  </si>
  <si>
    <t>2019-10-04</t>
  </si>
  <si>
    <t>OP-20180349</t>
  </si>
  <si>
    <t>2018-08-01</t>
  </si>
  <si>
    <t>OP-20180350</t>
  </si>
  <si>
    <t>2018-11-26</t>
  </si>
  <si>
    <t>2018-11-29</t>
  </si>
  <si>
    <t>OP-20180351</t>
  </si>
  <si>
    <t>2018-09-08</t>
  </si>
  <si>
    <t>OP-20180352</t>
  </si>
  <si>
    <t>2020-03-31</t>
  </si>
  <si>
    <t>OP-20180353</t>
  </si>
  <si>
    <t>2018-01-25</t>
  </si>
  <si>
    <t>2018-02-01</t>
  </si>
  <si>
    <t>OP-20180354</t>
  </si>
  <si>
    <t>2019-12-25</t>
  </si>
  <si>
    <t>OP-20180355</t>
  </si>
  <si>
    <t>2019-03-11</t>
  </si>
  <si>
    <t>OP-20180356</t>
  </si>
  <si>
    <t>OP-20180357</t>
  </si>
  <si>
    <t>2018-02-09</t>
  </si>
  <si>
    <t>2018-02-13</t>
  </si>
  <si>
    <t>OP-20180358</t>
  </si>
  <si>
    <t>OP-20180359</t>
  </si>
  <si>
    <t>2020-03-17</t>
  </si>
  <si>
    <t>2020-03-20</t>
  </si>
  <si>
    <t>OP-20180360</t>
  </si>
  <si>
    <t>OP-20180361</t>
  </si>
  <si>
    <t>2019-06-12</t>
  </si>
  <si>
    <t>2019-06-16</t>
  </si>
  <si>
    <t>OP-20180362</t>
  </si>
  <si>
    <t>2019-06-01</t>
  </si>
  <si>
    <t>OP-20180363</t>
  </si>
  <si>
    <t>OP-20180364</t>
  </si>
  <si>
    <t>2019-01-30</t>
  </si>
  <si>
    <t>OP-20180365</t>
  </si>
  <si>
    <t>2019-02-13</t>
  </si>
  <si>
    <t>OP-20180366</t>
  </si>
  <si>
    <t>2018-04-20</t>
  </si>
  <si>
    <t>OP-20180367</t>
  </si>
  <si>
    <t>2020-03-13</t>
  </si>
  <si>
    <t>OP-20180368</t>
  </si>
  <si>
    <t>2019-04-04</t>
  </si>
  <si>
    <t>2019-04-08</t>
  </si>
  <si>
    <t>OP-20180369</t>
  </si>
  <si>
    <t>2020-07-08</t>
  </si>
  <si>
    <t>2020-07-11</t>
  </si>
  <si>
    <t>OP-20180370</t>
  </si>
  <si>
    <t>2018-12-07</t>
  </si>
  <si>
    <t>OP-20180371</t>
  </si>
  <si>
    <t>2020-05-04</t>
  </si>
  <si>
    <t>OP-20180372</t>
  </si>
  <si>
    <t>2018-06-19</t>
  </si>
  <si>
    <t>OP-20180373</t>
  </si>
  <si>
    <t>OP-20180374</t>
  </si>
  <si>
    <t>OP-20180375</t>
  </si>
  <si>
    <t>2018-07-26</t>
  </si>
  <si>
    <t>OP-20180376</t>
  </si>
  <si>
    <t>2020-05-25</t>
  </si>
  <si>
    <t>2020-05-29</t>
  </si>
  <si>
    <t>OP-20180377</t>
  </si>
  <si>
    <t>OP-20180378</t>
  </si>
  <si>
    <t>2019-09-23</t>
  </si>
  <si>
    <t>2019-09-25</t>
  </si>
  <si>
    <t>OP-20180379</t>
  </si>
  <si>
    <t>2020-03-27</t>
  </si>
  <si>
    <t>OP-20180380</t>
  </si>
  <si>
    <t>2020-07-21</t>
  </si>
  <si>
    <t>OP-20180381</t>
  </si>
  <si>
    <t>2018-04-26</t>
  </si>
  <si>
    <t>OP-20180382</t>
  </si>
  <si>
    <t>2018-06-15</t>
  </si>
  <si>
    <t>2018-06-22</t>
  </si>
  <si>
    <t>OP-20180383</t>
  </si>
  <si>
    <t>2020-12-24</t>
  </si>
  <si>
    <t>2020-12-27</t>
  </si>
  <si>
    <t>OP-20180384</t>
  </si>
  <si>
    <t>2018-04-22</t>
  </si>
  <si>
    <t>OP-20180385</t>
  </si>
  <si>
    <t>2020-11-27</t>
  </si>
  <si>
    <t>OP-20180386</t>
  </si>
  <si>
    <t>2020-09-05</t>
  </si>
  <si>
    <t>OP-20180387</t>
  </si>
  <si>
    <t>2018-05-05</t>
  </si>
  <si>
    <t>OP-20180388</t>
  </si>
  <si>
    <t>2018-03-13</t>
  </si>
  <si>
    <t>2018-03-20</t>
  </si>
  <si>
    <t>OP-20180389</t>
  </si>
  <si>
    <t>2018-11-06</t>
  </si>
  <si>
    <t>OP-20180390</t>
  </si>
  <si>
    <t>OP-20180391</t>
  </si>
  <si>
    <t>2018-04-19</t>
  </si>
  <si>
    <t>OP-20180392</t>
  </si>
  <si>
    <t>2020-06-05</t>
  </si>
  <si>
    <t>2020-06-08</t>
  </si>
  <si>
    <t>OP-20180393</t>
  </si>
  <si>
    <t>2019-08-29</t>
  </si>
  <si>
    <t>2019-09-04</t>
  </si>
  <si>
    <t>OP-20180394</t>
  </si>
  <si>
    <t>2020-07-14</t>
  </si>
  <si>
    <t>OP-20180395</t>
  </si>
  <si>
    <t>2018-05-20</t>
  </si>
  <si>
    <t>2018-05-22</t>
  </si>
  <si>
    <t>OP-20180396</t>
  </si>
  <si>
    <t>OP-20180397</t>
  </si>
  <si>
    <t>OP-20180398</t>
  </si>
  <si>
    <t>OP-20180399</t>
  </si>
  <si>
    <t>2018-06-26</t>
  </si>
  <si>
    <t>OP-20180400</t>
  </si>
  <si>
    <t>2018-09-09</t>
  </si>
  <si>
    <t>2018-09-13</t>
  </si>
  <si>
    <t>OP-20180401</t>
  </si>
  <si>
    <t>2019-04-17</t>
  </si>
  <si>
    <t>2019-04-20</t>
  </si>
  <si>
    <t>OP-20180402</t>
  </si>
  <si>
    <t>2020-07-15</t>
  </si>
  <si>
    <t>OP-20180403</t>
  </si>
  <si>
    <t>2018-09-28</t>
  </si>
  <si>
    <t>2018-10-02</t>
  </si>
  <si>
    <t>OP-20180404</t>
  </si>
  <si>
    <t>OP-20180405</t>
  </si>
  <si>
    <t>2018-10-27</t>
  </si>
  <si>
    <t>OP-20180406</t>
  </si>
  <si>
    <t>OP-20180407</t>
  </si>
  <si>
    <t>OP-20180408</t>
  </si>
  <si>
    <t>2020-05-19</t>
  </si>
  <si>
    <t>OP-20180409</t>
  </si>
  <si>
    <t>2019-12-18</t>
  </si>
  <si>
    <t>2019-12-22</t>
  </si>
  <si>
    <t>OP-20180410</t>
  </si>
  <si>
    <t>2019-11-05</t>
  </si>
  <si>
    <t>OP-20180411</t>
  </si>
  <si>
    <t>OP-20180412</t>
  </si>
  <si>
    <t>2019-05-11</t>
  </si>
  <si>
    <t>2019-05-18</t>
  </si>
  <si>
    <t>OP-20180413</t>
  </si>
  <si>
    <t>2020-10-12</t>
  </si>
  <si>
    <t>2020-10-16</t>
  </si>
  <si>
    <t>OP-20180414</t>
  </si>
  <si>
    <t>OP-20180415</t>
  </si>
  <si>
    <t>OP-20180416</t>
  </si>
  <si>
    <t>2019-01-01</t>
  </si>
  <si>
    <t>OP-20180417</t>
  </si>
  <si>
    <t>2020-03-18</t>
  </si>
  <si>
    <t>2020-03-22</t>
  </si>
  <si>
    <t>OP-20180418</t>
  </si>
  <si>
    <t>2018-06-20</t>
  </si>
  <si>
    <t>OP-20180419</t>
  </si>
  <si>
    <t>2020-03-08</t>
  </si>
  <si>
    <t>2020-03-11</t>
  </si>
  <si>
    <t>OP-20180420</t>
  </si>
  <si>
    <t>OP-20180421</t>
  </si>
  <si>
    <t>2020-10-26</t>
  </si>
  <si>
    <t>OP-20180422</t>
  </si>
  <si>
    <t>2019-03-30</t>
  </si>
  <si>
    <t>OP-20180423</t>
  </si>
  <si>
    <t>2019-08-22</t>
  </si>
  <si>
    <t>OP-20180424</t>
  </si>
  <si>
    <t>2018-10-08</t>
  </si>
  <si>
    <t>OP-20180425</t>
  </si>
  <si>
    <t>OP-20180426</t>
  </si>
  <si>
    <t>2020-06-21</t>
  </si>
  <si>
    <t>2020-06-23</t>
  </si>
  <si>
    <t>OP-20180427</t>
  </si>
  <si>
    <t>OP-20180428</t>
  </si>
  <si>
    <t>OP-20180429</t>
  </si>
  <si>
    <t>OP-20180430</t>
  </si>
  <si>
    <t>2020-08-27</t>
  </si>
  <si>
    <t>2020-09-02</t>
  </si>
  <si>
    <t>OP-20180431</t>
  </si>
  <si>
    <t>OP-20180432</t>
  </si>
  <si>
    <t>2020-11-19</t>
  </si>
  <si>
    <t>2020-11-25</t>
  </si>
  <si>
    <t>OP-20180433</t>
  </si>
  <si>
    <t>OP-20180434</t>
  </si>
  <si>
    <t>OP-20180435</t>
  </si>
  <si>
    <t>2019-05-05</t>
  </si>
  <si>
    <t>OP-20180436</t>
  </si>
  <si>
    <t>2018-07-18</t>
  </si>
  <si>
    <t>OP-20180437</t>
  </si>
  <si>
    <t>OP-20180438</t>
  </si>
  <si>
    <t>2019-06-15</t>
  </si>
  <si>
    <t>2019-06-18</t>
  </si>
  <si>
    <t>OP-20180439</t>
  </si>
  <si>
    <t>OP-20180440</t>
  </si>
  <si>
    <t>OP-20180441</t>
  </si>
  <si>
    <t>2018-01-14</t>
  </si>
  <si>
    <t>OP-20180442</t>
  </si>
  <si>
    <t>OP-20180443</t>
  </si>
  <si>
    <t>OP-20180444</t>
  </si>
  <si>
    <t>2020-11-18</t>
  </si>
  <si>
    <t>OP-20180445</t>
  </si>
  <si>
    <t>2019-04-25</t>
  </si>
  <si>
    <t>2019-05-01</t>
  </si>
  <si>
    <t>OP-20180446</t>
  </si>
  <si>
    <t>2020-10-01</t>
  </si>
  <si>
    <t>2020-10-08</t>
  </si>
  <si>
    <t>OP-20180447</t>
  </si>
  <si>
    <t>OP-20180448</t>
  </si>
  <si>
    <t>2020-03-10</t>
  </si>
  <si>
    <t>2020-03-16</t>
  </si>
  <si>
    <t>OP-20180449</t>
  </si>
  <si>
    <t>OP-20180450</t>
  </si>
  <si>
    <t>2018-02-27</t>
  </si>
  <si>
    <t>OP-20180451</t>
  </si>
  <si>
    <t>OP-20180452</t>
  </si>
  <si>
    <t>2018-02-21</t>
  </si>
  <si>
    <t>OP-20180453</t>
  </si>
  <si>
    <t>2018-05-17</t>
  </si>
  <si>
    <t>OP-20180454</t>
  </si>
  <si>
    <t>2020-06-20</t>
  </si>
  <si>
    <t>OP-20180455</t>
  </si>
  <si>
    <t>2018-09-20</t>
  </si>
  <si>
    <t>OP-20180456</t>
  </si>
  <si>
    <t>2019-12-23</t>
  </si>
  <si>
    <t>OP-20180457</t>
  </si>
  <si>
    <t>OP-20180458</t>
  </si>
  <si>
    <t>OP-20180459</t>
  </si>
  <si>
    <t>OP-20180460</t>
  </si>
  <si>
    <t>2020-10-05</t>
  </si>
  <si>
    <t>OP-20180461</t>
  </si>
  <si>
    <t>2020-07-23</t>
  </si>
  <si>
    <t>OP-20180462</t>
  </si>
  <si>
    <t>2020-07-12</t>
  </si>
  <si>
    <t>OP-20180463</t>
  </si>
  <si>
    <t>2020-11-20</t>
  </si>
  <si>
    <t>OP-20180464</t>
  </si>
  <si>
    <t>OP-20180465</t>
  </si>
  <si>
    <t>2019-02-01</t>
  </si>
  <si>
    <t>OP-20180466</t>
  </si>
  <si>
    <t>2020-05-11</t>
  </si>
  <si>
    <t>OP-20180467</t>
  </si>
  <si>
    <t>2018-06-21</t>
  </si>
  <si>
    <t>OP-20180468</t>
  </si>
  <si>
    <t>2020-06-12</t>
  </si>
  <si>
    <t>OP-20180469</t>
  </si>
  <si>
    <t>2018-05-31</t>
  </si>
  <si>
    <t>OP-20180470</t>
  </si>
  <si>
    <t>2018-07-16</t>
  </si>
  <si>
    <t>OP-20180471</t>
  </si>
  <si>
    <t>2020-02-22</t>
  </si>
  <si>
    <t>OP-20180472</t>
  </si>
  <si>
    <t>2019-08-20</t>
  </si>
  <si>
    <t>OP-20180473</t>
  </si>
  <si>
    <t>2018-08-14</t>
  </si>
  <si>
    <t>2018-08-16</t>
  </si>
  <si>
    <t>OP-20180474</t>
  </si>
  <si>
    <t>OP-20180475</t>
  </si>
  <si>
    <t>2020-11-14</t>
  </si>
  <si>
    <t>OP-20180476</t>
  </si>
  <si>
    <t>OP-20180477</t>
  </si>
  <si>
    <t>2019-03-05</t>
  </si>
  <si>
    <t>OP-20180478</t>
  </si>
  <si>
    <t>2019-08-17</t>
  </si>
  <si>
    <t>OP-20180479</t>
  </si>
  <si>
    <t>2018-08-23</t>
  </si>
  <si>
    <t>OP-20180480</t>
  </si>
  <si>
    <t>OP-20180481</t>
  </si>
  <si>
    <t>OP-20180482</t>
  </si>
  <si>
    <t>OP-20180483</t>
  </si>
  <si>
    <t>2018-11-13</t>
  </si>
  <si>
    <t>OP-20180484</t>
  </si>
  <si>
    <t>2019-10-11</t>
  </si>
  <si>
    <t>2019-10-17</t>
  </si>
  <si>
    <t>OP-20180485</t>
  </si>
  <si>
    <t>2018-01-28</t>
  </si>
  <si>
    <t>2018-01-30</t>
  </si>
  <si>
    <t>OP-20180486</t>
  </si>
  <si>
    <t>OP-20180487</t>
  </si>
  <si>
    <t>2018-06-02</t>
  </si>
  <si>
    <t>OP-20180488</t>
  </si>
  <si>
    <t>2020-04-20</t>
  </si>
  <si>
    <t>2020-04-22</t>
  </si>
  <si>
    <t>OP-20180489</t>
  </si>
  <si>
    <t>2020-12-31</t>
  </si>
  <si>
    <t>OP-20180490</t>
  </si>
  <si>
    <t>2019-04-24</t>
  </si>
  <si>
    <t>2019-04-29</t>
  </si>
  <si>
    <t>OP-20180491</t>
  </si>
  <si>
    <t>2018-09-04</t>
  </si>
  <si>
    <t>OP-20180492</t>
  </si>
  <si>
    <t>OP-20180493</t>
  </si>
  <si>
    <t>2019-01-17</t>
  </si>
  <si>
    <t>OP-20180494</t>
  </si>
  <si>
    <t>OP-20180495</t>
  </si>
  <si>
    <t>OP-20180496</t>
  </si>
  <si>
    <t>2020-06-19</t>
  </si>
  <si>
    <t>OP-20180497</t>
  </si>
  <si>
    <t>OP-20180498</t>
  </si>
  <si>
    <t>OP-20180499</t>
  </si>
  <si>
    <t>2018-11-27</t>
  </si>
  <si>
    <t>2018-11-30</t>
  </si>
  <si>
    <t>OP-20180500</t>
  </si>
  <si>
    <t>2019-07-20</t>
  </si>
  <si>
    <t>OP-20180501</t>
  </si>
  <si>
    <t>2019-12-09</t>
  </si>
  <si>
    <t>2019-12-13</t>
  </si>
  <si>
    <t>OP-20180502</t>
  </si>
  <si>
    <t>2020-04-25</t>
  </si>
  <si>
    <t>OP-20180503</t>
  </si>
  <si>
    <t>2019-01-14</t>
  </si>
  <si>
    <t>OP-20180504</t>
  </si>
  <si>
    <t>OP-20180505</t>
  </si>
  <si>
    <t>OP-20180506</t>
  </si>
  <si>
    <t>2019-05-23</t>
  </si>
  <si>
    <t>OP-20180507</t>
  </si>
  <si>
    <t>2018-12-06</t>
  </si>
  <si>
    <t>2018-12-12</t>
  </si>
  <si>
    <t>OP-20180508</t>
  </si>
  <si>
    <t>2019-08-23</t>
  </si>
  <si>
    <t>OP-20180509</t>
  </si>
  <si>
    <t>2019-12-10</t>
  </si>
  <si>
    <t>OP-20180510</t>
  </si>
  <si>
    <t>2020-06-15</t>
  </si>
  <si>
    <t>OP-20180511</t>
  </si>
  <si>
    <t>OP-20180512</t>
  </si>
  <si>
    <t>2018-08-17</t>
  </si>
  <si>
    <t>OP-20180513</t>
  </si>
  <si>
    <t>2019-08-12</t>
  </si>
  <si>
    <t>OP-20180514</t>
  </si>
  <si>
    <t>OP-20180515</t>
  </si>
  <si>
    <t>OP-20180516</t>
  </si>
  <si>
    <t>2018-04-25</t>
  </si>
  <si>
    <t>OP-20180517</t>
  </si>
  <si>
    <t>2019-07-28</t>
  </si>
  <si>
    <t>OP-20180518</t>
  </si>
  <si>
    <t>2019-05-07</t>
  </si>
  <si>
    <t>OP-20180519</t>
  </si>
  <si>
    <t>2019-06-19</t>
  </si>
  <si>
    <t>2019-06-24</t>
  </si>
  <si>
    <t>OP-20180520</t>
  </si>
  <si>
    <t>OP-20180521</t>
  </si>
  <si>
    <t>2018-08-02</t>
  </si>
  <si>
    <t>OP-20180522</t>
  </si>
  <si>
    <t>2019-07-02</t>
  </si>
  <si>
    <t>OP-20180523</t>
  </si>
  <si>
    <t>2018-03-24</t>
  </si>
  <si>
    <t>OP-20180524</t>
  </si>
  <si>
    <t>OP-20180525</t>
  </si>
  <si>
    <t>OP-20180526</t>
  </si>
  <si>
    <t>2018-01-13</t>
  </si>
  <si>
    <t>2018-01-15</t>
  </si>
  <si>
    <t>OP-20180527</t>
  </si>
  <si>
    <t>OP-20180528</t>
  </si>
  <si>
    <t>2020-04-15</t>
  </si>
  <si>
    <t>OP-20180529</t>
  </si>
  <si>
    <t>2019-08-09</t>
  </si>
  <si>
    <t>2019-08-15</t>
  </si>
  <si>
    <t>OP-20180530</t>
  </si>
  <si>
    <t>2018-05-12</t>
  </si>
  <si>
    <t>OP-20180531</t>
  </si>
  <si>
    <t>OP-20180532</t>
  </si>
  <si>
    <t>2020-03-24</t>
  </si>
  <si>
    <t>OP-20180533</t>
  </si>
  <si>
    <t>OP-20180534</t>
  </si>
  <si>
    <t>2019-03-18</t>
  </si>
  <si>
    <t>OP-20180535</t>
  </si>
  <si>
    <t>OP-20180536</t>
  </si>
  <si>
    <t>OP-20180537</t>
  </si>
  <si>
    <t>OP-20180538</t>
  </si>
  <si>
    <t>2018-03-19</t>
  </si>
  <si>
    <t>OP-20180539</t>
  </si>
  <si>
    <t>2020-12-10</t>
  </si>
  <si>
    <t>2020-12-14</t>
  </si>
  <si>
    <t>OP-20180540</t>
  </si>
  <si>
    <t>2019-06-25</t>
  </si>
  <si>
    <t>OP-20180541</t>
  </si>
  <si>
    <t>OP-20180542</t>
  </si>
  <si>
    <t>2019-09-26</t>
  </si>
  <si>
    <t>2019-09-28</t>
  </si>
  <si>
    <t>OP-20180543</t>
  </si>
  <si>
    <t>OP-20180544</t>
  </si>
  <si>
    <t>OP-20180545</t>
  </si>
  <si>
    <t>OP-20180546</t>
  </si>
  <si>
    <t>OP-20180547</t>
  </si>
  <si>
    <t>2020-12-13</t>
  </si>
  <si>
    <t>OP-20180548</t>
  </si>
  <si>
    <t>2020-11-07</t>
  </si>
  <si>
    <t>2020-11-12</t>
  </si>
  <si>
    <t>OP-20180549</t>
  </si>
  <si>
    <t>OP-20180550</t>
  </si>
  <si>
    <t>OP-20180551</t>
  </si>
  <si>
    <t>2018-11-05</t>
  </si>
  <si>
    <t>OP-20180552</t>
  </si>
  <si>
    <t>2020-12-05</t>
  </si>
  <si>
    <t>OP-20180553</t>
  </si>
  <si>
    <t>2018-02-26</t>
  </si>
  <si>
    <t>OP-20180554</t>
  </si>
  <si>
    <t>2020-08-28</t>
  </si>
  <si>
    <t>OP-20180555</t>
  </si>
  <si>
    <t>OP-20180556</t>
  </si>
  <si>
    <t>OP-20180557</t>
  </si>
  <si>
    <t>2018-01-11</t>
  </si>
  <si>
    <t>OP-20180558</t>
  </si>
  <si>
    <t>OP-20180559</t>
  </si>
  <si>
    <t>2020-10-04</t>
  </si>
  <si>
    <t>OP-20180560</t>
  </si>
  <si>
    <t>2019-09-10</t>
  </si>
  <si>
    <t>OP-20180561</t>
  </si>
  <si>
    <t>OP-20180562</t>
  </si>
  <si>
    <t>OP-20180563</t>
  </si>
  <si>
    <t>OP-20180564</t>
  </si>
  <si>
    <t>OP-20180565</t>
  </si>
  <si>
    <t>2019-07-22</t>
  </si>
  <si>
    <t>OP-20180566</t>
  </si>
  <si>
    <t>2018-09-11</t>
  </si>
  <si>
    <t>OP-20180567</t>
  </si>
  <si>
    <t>2019-11-28</t>
  </si>
  <si>
    <t>OP-20180568</t>
  </si>
  <si>
    <t>2020-01-24</t>
  </si>
  <si>
    <t>OP-20180569</t>
  </si>
  <si>
    <t>2020-07-05</t>
  </si>
  <si>
    <t>OP-20180570</t>
  </si>
  <si>
    <t>2018-12-31</t>
  </si>
  <si>
    <t>2019-01-05</t>
  </si>
  <si>
    <t>OP-20180571</t>
  </si>
  <si>
    <t>2018-08-19</t>
  </si>
  <si>
    <t>OP-20180572</t>
  </si>
  <si>
    <t>2018-03-26</t>
  </si>
  <si>
    <t>2018-04-02</t>
  </si>
  <si>
    <t>OP-20180573</t>
  </si>
  <si>
    <t>OP-20180574</t>
  </si>
  <si>
    <t>OP-20180575</t>
  </si>
  <si>
    <t>2020-12-16</t>
  </si>
  <si>
    <t>OP-20180576</t>
  </si>
  <si>
    <t>2018-09-01</t>
  </si>
  <si>
    <t>OP-20180577</t>
  </si>
  <si>
    <t>2019-01-08</t>
  </si>
  <si>
    <t>OP-20180578</t>
  </si>
  <si>
    <t>2018-11-16</t>
  </si>
  <si>
    <t>OP-20180579</t>
  </si>
  <si>
    <t>OP-20180580</t>
  </si>
  <si>
    <t>2018-07-15</t>
  </si>
  <si>
    <t>OP-20180581</t>
  </si>
  <si>
    <t>2018-07-28</t>
  </si>
  <si>
    <t>OP-20180582</t>
  </si>
  <si>
    <t>OP-20180583</t>
  </si>
  <si>
    <t>2019-11-12</t>
  </si>
  <si>
    <t>OP-20180584</t>
  </si>
  <si>
    <t>2019-01-28</t>
  </si>
  <si>
    <t>OP-20180585</t>
  </si>
  <si>
    <t>2020-08-17</t>
  </si>
  <si>
    <t>OP-20180586</t>
  </si>
  <si>
    <t>OP-20180587</t>
  </si>
  <si>
    <t>2018-05-04</t>
  </si>
  <si>
    <t>OP-20180588</t>
  </si>
  <si>
    <t>OP-20180589</t>
  </si>
  <si>
    <t>OP-20180590</t>
  </si>
  <si>
    <t>2018-11-24</t>
  </si>
  <si>
    <t>OP-20180591</t>
  </si>
  <si>
    <t>OP-20180592</t>
  </si>
  <si>
    <t>2018-12-21</t>
  </si>
  <si>
    <t>OP-20180593</t>
  </si>
  <si>
    <t>2020-04-14</t>
  </si>
  <si>
    <t>2020-04-18</t>
  </si>
  <si>
    <t>OP-20180594</t>
  </si>
  <si>
    <t>OP-20180595</t>
  </si>
  <si>
    <t>OP-20180596</t>
  </si>
  <si>
    <t>2019-02-20</t>
  </si>
  <si>
    <t>2019-02-25</t>
  </si>
  <si>
    <t>OP-20180597</t>
  </si>
  <si>
    <t>2021-01-05</t>
  </si>
  <si>
    <t>OP-20180598</t>
  </si>
  <si>
    <t>OP-20180599</t>
  </si>
  <si>
    <t>OP-20180600</t>
  </si>
  <si>
    <t>2020-01-19</t>
  </si>
  <si>
    <t>OP-20180601</t>
  </si>
  <si>
    <t>OP-20180602</t>
  </si>
  <si>
    <t>2020-11-28</t>
  </si>
  <si>
    <t>OP-20180603</t>
  </si>
  <si>
    <t>2020-01-12</t>
  </si>
  <si>
    <t>OP-20180604</t>
  </si>
  <si>
    <t>2020-06-17</t>
  </si>
  <si>
    <t>OP-20180605</t>
  </si>
  <si>
    <t>2020-02-19</t>
  </si>
  <si>
    <t>OP-20180606</t>
  </si>
  <si>
    <t>OP-20180607</t>
  </si>
  <si>
    <t>OP-20180608</t>
  </si>
  <si>
    <t>OP-20180609</t>
  </si>
  <si>
    <t>2020-02-27</t>
  </si>
  <si>
    <t>OP-20180610</t>
  </si>
  <si>
    <t>2020-06-04</t>
  </si>
  <si>
    <t>OP-20180611</t>
  </si>
  <si>
    <t>OP-20180612</t>
  </si>
  <si>
    <t>2019-11-07</t>
  </si>
  <si>
    <t>2019-11-09</t>
  </si>
  <si>
    <t>OP-20180613</t>
  </si>
  <si>
    <t>OP-20180614</t>
  </si>
  <si>
    <t>2019-06-20</t>
  </si>
  <si>
    <t>OP-20180615</t>
  </si>
  <si>
    <t>2020-09-13</t>
  </si>
  <si>
    <t>OP-20180616</t>
  </si>
  <si>
    <t>2018-08-31</t>
  </si>
  <si>
    <t>2018-09-07</t>
  </si>
  <si>
    <t>OP-20180617</t>
  </si>
  <si>
    <t>2019-02-04</t>
  </si>
  <si>
    <t>OP-20180618</t>
  </si>
  <si>
    <t>2018-06-16</t>
  </si>
  <si>
    <t>OP-20180619</t>
  </si>
  <si>
    <t>2020-10-21</t>
  </si>
  <si>
    <t>OP-20180620</t>
  </si>
  <si>
    <t>2019-09-11</t>
  </si>
  <si>
    <t>2019-09-17</t>
  </si>
  <si>
    <t>OP-20180621</t>
  </si>
  <si>
    <t>2020-11-10</t>
  </si>
  <si>
    <t>OP-20180622</t>
  </si>
  <si>
    <t>OP-20180623</t>
  </si>
  <si>
    <t>2020-01-27</t>
  </si>
  <si>
    <t>OP-20180624</t>
  </si>
  <si>
    <t>OP-20180625</t>
  </si>
  <si>
    <t>OP-20180626</t>
  </si>
  <si>
    <t>OP-20180627</t>
  </si>
  <si>
    <t>OP-20180628</t>
  </si>
  <si>
    <t>OP-20180629</t>
  </si>
  <si>
    <t>2020-06-26</t>
  </si>
  <si>
    <t>OP-20180630</t>
  </si>
  <si>
    <t>OP-20180631</t>
  </si>
  <si>
    <t>OP-20180632</t>
  </si>
  <si>
    <t>2020-03-21</t>
  </si>
  <si>
    <t>2020-03-26</t>
  </si>
  <si>
    <t>OP-20180633</t>
  </si>
  <si>
    <t>2019-09-13</t>
  </si>
  <si>
    <t>OP-20180634</t>
  </si>
  <si>
    <t>2020-04-04</t>
  </si>
  <si>
    <t>OP-20180635</t>
  </si>
  <si>
    <t>2018-01-26</t>
  </si>
  <si>
    <t>OP-20180636</t>
  </si>
  <si>
    <t>OP-20180637</t>
  </si>
  <si>
    <t>2019-11-08</t>
  </si>
  <si>
    <t>OP-20180638</t>
  </si>
  <si>
    <t>2020-01-30</t>
  </si>
  <si>
    <t>OP-20180639</t>
  </si>
  <si>
    <t>2019-03-22</t>
  </si>
  <si>
    <t>2019-03-28</t>
  </si>
  <si>
    <t>OP-20180640</t>
  </si>
  <si>
    <t>2020-08-01</t>
  </si>
  <si>
    <t>2020-08-04</t>
  </si>
  <si>
    <t>OP-20180641</t>
  </si>
  <si>
    <t>OP-20180642</t>
  </si>
  <si>
    <t>2019-09-09</t>
  </si>
  <si>
    <t>OP-20180643</t>
  </si>
  <si>
    <t>2018-12-01</t>
  </si>
  <si>
    <t>OP-20180644</t>
  </si>
  <si>
    <t>OP-20180645</t>
  </si>
  <si>
    <t>2020-04-13</t>
  </si>
  <si>
    <t>OP-20180646</t>
  </si>
  <si>
    <t>2020-05-07</t>
  </si>
  <si>
    <t>2020-05-10</t>
  </si>
  <si>
    <t>OP-20180647</t>
  </si>
  <si>
    <t>OP-20180648</t>
  </si>
  <si>
    <t>2019-02-03</t>
  </si>
  <si>
    <t>OP-20180649</t>
  </si>
  <si>
    <t>2018-01-31</t>
  </si>
  <si>
    <t>OP-20180650</t>
  </si>
  <si>
    <t>OP-20180651</t>
  </si>
  <si>
    <t>2020-01-09</t>
  </si>
  <si>
    <t>OP-20180652</t>
  </si>
  <si>
    <t>OP-20180653</t>
  </si>
  <si>
    <t>OP-20180654</t>
  </si>
  <si>
    <t>2019-12-01</t>
  </si>
  <si>
    <t>OP-20180655</t>
  </si>
  <si>
    <t>OP-20180656</t>
  </si>
  <si>
    <t>OP-20180657</t>
  </si>
  <si>
    <t>2020-03-14</t>
  </si>
  <si>
    <t>OP-20180658</t>
  </si>
  <si>
    <t>2020-04-24</t>
  </si>
  <si>
    <t>OP-20180659</t>
  </si>
  <si>
    <t>2019-06-08</t>
  </si>
  <si>
    <t>OP-20180660</t>
  </si>
  <si>
    <t>2019-03-13</t>
  </si>
  <si>
    <t>OP-20180661</t>
  </si>
  <si>
    <t>OP-20180662</t>
  </si>
  <si>
    <t>OP-20180663</t>
  </si>
  <si>
    <t>OP-20180664</t>
  </si>
  <si>
    <t>2020-09-30</t>
  </si>
  <si>
    <t>OP-20180665</t>
  </si>
  <si>
    <t>2018-03-25</t>
  </si>
  <si>
    <t>OP-20180666</t>
  </si>
  <si>
    <t>2019-03-15</t>
  </si>
  <si>
    <t>OP-20180667</t>
  </si>
  <si>
    <t>2020-08-14</t>
  </si>
  <si>
    <t>OP-20180668</t>
  </si>
  <si>
    <t>2020-03-28</t>
  </si>
  <si>
    <t>OP-20180669</t>
  </si>
  <si>
    <t>OP-20180670</t>
  </si>
  <si>
    <t>2019-02-17</t>
  </si>
  <si>
    <t>OP-20180671</t>
  </si>
  <si>
    <t>OP-20180672</t>
  </si>
  <si>
    <t>OP-20180673</t>
  </si>
  <si>
    <t>2019-04-11</t>
  </si>
  <si>
    <t>OP-20180674</t>
  </si>
  <si>
    <t>2018-03-07</t>
  </si>
  <si>
    <t>OP-20180675</t>
  </si>
  <si>
    <t>2020-01-31</t>
  </si>
  <si>
    <t>OP-20180676</t>
  </si>
  <si>
    <t>2019-01-19</t>
  </si>
  <si>
    <t>OP-20180677</t>
  </si>
  <si>
    <t>2020-11-30</t>
  </si>
  <si>
    <t>OP-20180678</t>
  </si>
  <si>
    <t>OP-20180679</t>
  </si>
  <si>
    <t>2018-04-15</t>
  </si>
  <si>
    <t>OP-20180680</t>
  </si>
  <si>
    <t>OP-20180681</t>
  </si>
  <si>
    <t>2018-06-06</t>
  </si>
  <si>
    <t>OP-20180682</t>
  </si>
  <si>
    <t>OP-20180683</t>
  </si>
  <si>
    <t>OP-20180684</t>
  </si>
  <si>
    <t>OP-20180685</t>
  </si>
  <si>
    <t>OP-20180686</t>
  </si>
  <si>
    <t>2020-07-09</t>
  </si>
  <si>
    <t>OP-20180687</t>
  </si>
  <si>
    <t>2020-06-24</t>
  </si>
  <si>
    <t>OP-20180688</t>
  </si>
  <si>
    <t>OP-20180689</t>
  </si>
  <si>
    <t>2019-03-20</t>
  </si>
  <si>
    <t>OP-20180690</t>
  </si>
  <si>
    <t>OP-20180691</t>
  </si>
  <si>
    <t>OP-20180692</t>
  </si>
  <si>
    <t>OP-20180693</t>
  </si>
  <si>
    <t>OP-20180694</t>
  </si>
  <si>
    <t>OP-20180695</t>
  </si>
  <si>
    <t>OP-20180696</t>
  </si>
  <si>
    <t>OP-20180697</t>
  </si>
  <si>
    <t>2018-08-09</t>
  </si>
  <si>
    <t>OP-20180698</t>
  </si>
  <si>
    <t>OP-20180699</t>
  </si>
  <si>
    <t>2020-10-22</t>
  </si>
  <si>
    <t>OP-20180700</t>
  </si>
  <si>
    <t>OP-20180701</t>
  </si>
  <si>
    <t>2020-09-28</t>
  </si>
  <si>
    <t>OP-20180702</t>
  </si>
  <si>
    <t>2018-09-22</t>
  </si>
  <si>
    <t>OP-20180703</t>
  </si>
  <si>
    <t>OP-20180704</t>
  </si>
  <si>
    <t>OP-20180705</t>
  </si>
  <si>
    <t>OP-20180706</t>
  </si>
  <si>
    <t>2018-01-22</t>
  </si>
  <si>
    <t>OP-20180707</t>
  </si>
  <si>
    <t>OP-20180708</t>
  </si>
  <si>
    <t>OP-20180709</t>
  </si>
  <si>
    <t>2019-03-31</t>
  </si>
  <si>
    <t>OP-20180710</t>
  </si>
  <si>
    <t>2020-07-20</t>
  </si>
  <si>
    <t>OP-20180711</t>
  </si>
  <si>
    <t>2019-08-27</t>
  </si>
  <si>
    <t>OP-20180712</t>
  </si>
  <si>
    <t>2019-02-22</t>
  </si>
  <si>
    <t>OP-20180713</t>
  </si>
  <si>
    <t>OP-20180714</t>
  </si>
  <si>
    <t>OP-20180715</t>
  </si>
  <si>
    <t>2020-01-11</t>
  </si>
  <si>
    <t>OP-20180716</t>
  </si>
  <si>
    <t>2020-03-15</t>
  </si>
  <si>
    <t>OP-20180717</t>
  </si>
  <si>
    <t>2018-09-17</t>
  </si>
  <si>
    <t>OP-20180718</t>
  </si>
  <si>
    <t>2018-11-12</t>
  </si>
  <si>
    <t>OP-20180719</t>
  </si>
  <si>
    <t>2020-12-15</t>
  </si>
  <si>
    <t>OP-20180720</t>
  </si>
  <si>
    <t>2019-08-26</t>
  </si>
  <si>
    <t>OP-20180721</t>
  </si>
  <si>
    <t>OP-20180722</t>
  </si>
  <si>
    <t>OP-20180723</t>
  </si>
  <si>
    <t>2020-08-08</t>
  </si>
  <si>
    <t>OP-20180724</t>
  </si>
  <si>
    <t>OP-20180725</t>
  </si>
  <si>
    <t>2019-11-06</t>
  </si>
  <si>
    <t>OP-20180726</t>
  </si>
  <si>
    <t>2019-07-11</t>
  </si>
  <si>
    <t>2019-07-16</t>
  </si>
  <si>
    <t>OP-20180727</t>
  </si>
  <si>
    <t>OP-20180728</t>
  </si>
  <si>
    <t>2019-01-18</t>
  </si>
  <si>
    <t>OP-20180729</t>
  </si>
  <si>
    <t>2020-02-08</t>
  </si>
  <si>
    <t>OP-20180730</t>
  </si>
  <si>
    <t>OP-20180731</t>
  </si>
  <si>
    <t>OP-20180732</t>
  </si>
  <si>
    <t>2020-09-20</t>
  </si>
  <si>
    <t>OP-20180733</t>
  </si>
  <si>
    <t>OP-20180734</t>
  </si>
  <si>
    <t>OP-20180735</t>
  </si>
  <si>
    <t>OP-20180736</t>
  </si>
  <si>
    <t>OP-20180737</t>
  </si>
  <si>
    <t>OP-20180738</t>
  </si>
  <si>
    <t>OP-20180739</t>
  </si>
  <si>
    <t>2018-01-01</t>
  </si>
  <si>
    <t>OP-20180740</t>
  </si>
  <si>
    <t>OP-20180741</t>
  </si>
  <si>
    <t>OP-20180742</t>
  </si>
  <si>
    <t>2019-10-28</t>
  </si>
  <si>
    <t>OP-20180743</t>
  </si>
  <si>
    <t>2019-10-30</t>
  </si>
  <si>
    <t>OP-20180744</t>
  </si>
  <si>
    <t>2020-08-07</t>
  </si>
  <si>
    <t>2020-08-10</t>
  </si>
  <si>
    <t>OP-20180745</t>
  </si>
  <si>
    <t>2019-01-31</t>
  </si>
  <si>
    <t>OP-20180746</t>
  </si>
  <si>
    <t>OP-20180747</t>
  </si>
  <si>
    <t>OP-20180748</t>
  </si>
  <si>
    <t>2019-12-16</t>
  </si>
  <si>
    <t>OP-20180749</t>
  </si>
  <si>
    <t>OP-20180750</t>
  </si>
  <si>
    <t>2020-04-05</t>
  </si>
  <si>
    <t>2020-04-09</t>
  </si>
  <si>
    <t>OP-20180751</t>
  </si>
  <si>
    <t>2018-05-28</t>
  </si>
  <si>
    <t>OP-20180752</t>
  </si>
  <si>
    <t>2018-09-26</t>
  </si>
  <si>
    <t>OP-20180753</t>
  </si>
  <si>
    <t>2020-08-12</t>
  </si>
  <si>
    <t>OP-20180754</t>
  </si>
  <si>
    <t>2019-07-19</t>
  </si>
  <si>
    <t>OP-20180755</t>
  </si>
  <si>
    <t>2020-11-09</t>
  </si>
  <si>
    <t>OP-20180756</t>
  </si>
  <si>
    <t>2019-12-06</t>
  </si>
  <si>
    <t>OP-20180757</t>
  </si>
  <si>
    <t>2020-01-03</t>
  </si>
  <si>
    <t>OP-20180758</t>
  </si>
  <si>
    <t>2018-11-28</t>
  </si>
  <si>
    <t>OP-20180759</t>
  </si>
  <si>
    <t>OP-20180760</t>
  </si>
  <si>
    <t>OP-20180761</t>
  </si>
  <si>
    <t>OP-20180762</t>
  </si>
  <si>
    <t>2019-09-20</t>
  </si>
  <si>
    <t>2019-09-22</t>
  </si>
  <si>
    <t>OP-20180763</t>
  </si>
  <si>
    <t>2019-03-10</t>
  </si>
  <si>
    <t>2019-03-12</t>
  </si>
  <si>
    <t>OP-20180764</t>
  </si>
  <si>
    <t>2019-09-19</t>
  </si>
  <si>
    <t>OP-20180765</t>
  </si>
  <si>
    <t>OP-20180766</t>
  </si>
  <si>
    <t>2020-02-20</t>
  </si>
  <si>
    <t>2020-02-25</t>
  </si>
  <si>
    <t>OP-20180767</t>
  </si>
  <si>
    <t>OP-20180768</t>
  </si>
  <si>
    <t>OP-20180769</t>
  </si>
  <si>
    <t>2019-07-03</t>
  </si>
  <si>
    <t>2019-07-07</t>
  </si>
  <si>
    <t>OP-20180770</t>
  </si>
  <si>
    <t>OP-20180771</t>
  </si>
  <si>
    <t>2020-05-27</t>
  </si>
  <si>
    <t>OP-20180772</t>
  </si>
  <si>
    <t>2019-12-03</t>
  </si>
  <si>
    <t>OP-20180773</t>
  </si>
  <si>
    <t>2020-09-07</t>
  </si>
  <si>
    <t>OP-20180774</t>
  </si>
  <si>
    <t>OP-20180775</t>
  </si>
  <si>
    <t>OP-20180776</t>
  </si>
  <si>
    <t>OP-20180777</t>
  </si>
  <si>
    <t>2020-09-17</t>
  </si>
  <si>
    <t>OP-20180778</t>
  </si>
  <si>
    <t>OP-20180779</t>
  </si>
  <si>
    <t>OP-20180780</t>
  </si>
  <si>
    <t>2018-10-30</t>
  </si>
  <si>
    <t>OP-20180781</t>
  </si>
  <si>
    <t>2020-11-02</t>
  </si>
  <si>
    <t>OP-20180782</t>
  </si>
  <si>
    <t>2018-07-27</t>
  </si>
  <si>
    <t>OP-20180783</t>
  </si>
  <si>
    <t>2020-10-29</t>
  </si>
  <si>
    <t>OP-20180784</t>
  </si>
  <si>
    <t>OP-20180785</t>
  </si>
  <si>
    <t>OP-20180786</t>
  </si>
  <si>
    <t>OP-20180787</t>
  </si>
  <si>
    <t>OP-20180788</t>
  </si>
  <si>
    <t>2019-03-09</t>
  </si>
  <si>
    <t>OP-20180789</t>
  </si>
  <si>
    <t>OP-20180790</t>
  </si>
  <si>
    <t>2020-07-04</t>
  </si>
  <si>
    <t>OP-20180791</t>
  </si>
  <si>
    <t>OP-20180792</t>
  </si>
  <si>
    <t>OP-20180793</t>
  </si>
  <si>
    <t>2018-08-29</t>
  </si>
  <si>
    <t>OP-20180794</t>
  </si>
  <si>
    <t>2019-01-20</t>
  </si>
  <si>
    <t>OP-20180795</t>
  </si>
  <si>
    <t>OP-20180796</t>
  </si>
  <si>
    <t>2019-11-11</t>
  </si>
  <si>
    <t>2019-11-18</t>
  </si>
  <si>
    <t>OP-20180797</t>
  </si>
  <si>
    <t>2018-12-03</t>
  </si>
  <si>
    <t>OP-20180798</t>
  </si>
  <si>
    <t>2020-02-09</t>
  </si>
  <si>
    <t>2020-02-12</t>
  </si>
  <si>
    <t>OP-20180799</t>
  </si>
  <si>
    <t>2019-11-26</t>
  </si>
  <si>
    <t>OP-20180800</t>
  </si>
  <si>
    <t>2020-04-28</t>
  </si>
  <si>
    <t>OP-20180801</t>
  </si>
  <si>
    <t>OP-20180802</t>
  </si>
  <si>
    <t>OP-20180803</t>
  </si>
  <si>
    <t>OP-20180804</t>
  </si>
  <si>
    <t>OP-20180805</t>
  </si>
  <si>
    <t>2018-06-25</t>
  </si>
  <si>
    <t>2018-06-29</t>
  </si>
  <si>
    <t>OP-20180806</t>
  </si>
  <si>
    <t>OP-20180807</t>
  </si>
  <si>
    <t>OP-20180808</t>
  </si>
  <si>
    <t>OP-20180809</t>
  </si>
  <si>
    <t>OP-20180810</t>
  </si>
  <si>
    <t>2018-03-14</t>
  </si>
  <si>
    <t>OP-20180811</t>
  </si>
  <si>
    <t>2019-04-01</t>
  </si>
  <si>
    <t>OP-20180812</t>
  </si>
  <si>
    <t>OP-20180813</t>
  </si>
  <si>
    <t>OP-20180814</t>
  </si>
  <si>
    <t>2020-06-16</t>
  </si>
  <si>
    <t>2020-06-22</t>
  </si>
  <si>
    <t>OP-20180815</t>
  </si>
  <si>
    <t>OP-20180816</t>
  </si>
  <si>
    <t>2019-01-22</t>
  </si>
  <si>
    <t>OP-20180817</t>
  </si>
  <si>
    <t>OP-20180818</t>
  </si>
  <si>
    <t>2019-12-08</t>
  </si>
  <si>
    <t>OP-20180819</t>
  </si>
  <si>
    <t>OP-20180820</t>
  </si>
  <si>
    <t>2020-10-31</t>
  </si>
  <si>
    <t>OP-20180821</t>
  </si>
  <si>
    <t>OP-20180822</t>
  </si>
  <si>
    <t>2019-09-18</t>
  </si>
  <si>
    <t>OP-20180823</t>
  </si>
  <si>
    <t>2019-07-04</t>
  </si>
  <si>
    <t>OP-20180824</t>
  </si>
  <si>
    <t>2018-09-27</t>
  </si>
  <si>
    <t>OP-20180825</t>
  </si>
  <si>
    <t>OP-20180826</t>
  </si>
  <si>
    <t>2019-07-10</t>
  </si>
  <si>
    <t>OP-20180827</t>
  </si>
  <si>
    <t>OP-20180828</t>
  </si>
  <si>
    <t>OP-20180829</t>
  </si>
  <si>
    <t>OP-20180830</t>
  </si>
  <si>
    <t>OP-20180831</t>
  </si>
  <si>
    <t>OP-20180832</t>
  </si>
  <si>
    <t>2019-04-26</t>
  </si>
  <si>
    <t>OP-20180833</t>
  </si>
  <si>
    <t>2019-08-30</t>
  </si>
  <si>
    <t>2019-09-01</t>
  </si>
  <si>
    <t>OP-20180834</t>
  </si>
  <si>
    <t>2018-01-21</t>
  </si>
  <si>
    <t>OP-20180835</t>
  </si>
  <si>
    <t>OP-20180836</t>
  </si>
  <si>
    <t>OP-20180837</t>
  </si>
  <si>
    <t>OP-20180838</t>
  </si>
  <si>
    <t>OP-20180839</t>
  </si>
  <si>
    <t>OP-20180840</t>
  </si>
  <si>
    <t>OP-20180841</t>
  </si>
  <si>
    <t>2018-10-29</t>
  </si>
  <si>
    <t>OP-20180842</t>
  </si>
  <si>
    <t>OP-20180843</t>
  </si>
  <si>
    <t>OP-20180844</t>
  </si>
  <si>
    <t>OP-20180845</t>
  </si>
  <si>
    <t>OP-20180846</t>
  </si>
  <si>
    <t>OP-20180847</t>
  </si>
  <si>
    <t>OP-20180848</t>
  </si>
  <si>
    <t>2020-12-23</t>
  </si>
  <si>
    <t>OP-20180849</t>
  </si>
  <si>
    <t>OP-20180850</t>
  </si>
  <si>
    <t>OP-20180851</t>
  </si>
  <si>
    <t>OP-20180852</t>
  </si>
  <si>
    <t>OP-20180853</t>
  </si>
  <si>
    <t>OP-20180854</t>
  </si>
  <si>
    <t>OP-20180855</t>
  </si>
  <si>
    <t>2019-10-09</t>
  </si>
  <si>
    <t>OP-20180856</t>
  </si>
  <si>
    <t>2019-02-27</t>
  </si>
  <si>
    <t>OP-20180857</t>
  </si>
  <si>
    <t>2018-12-22</t>
  </si>
  <si>
    <t>OP-20180858</t>
  </si>
  <si>
    <t>2019-04-09</t>
  </si>
  <si>
    <t>OP-20180859</t>
  </si>
  <si>
    <t>OP-20180860</t>
  </si>
  <si>
    <t>OP-20180861</t>
  </si>
  <si>
    <t>OP-20180862</t>
  </si>
  <si>
    <t>OP-20180863</t>
  </si>
  <si>
    <t>OP-20180864</t>
  </si>
  <si>
    <t>OP-20180865</t>
  </si>
  <si>
    <t>OP-20180866</t>
  </si>
  <si>
    <t>OP-20180867</t>
  </si>
  <si>
    <t>OP-20180868</t>
  </si>
  <si>
    <t>OP-20180869</t>
  </si>
  <si>
    <t>OP-20180870</t>
  </si>
  <si>
    <t>OP-20180871</t>
  </si>
  <si>
    <t>2018-03-27</t>
  </si>
  <si>
    <t>2018-04-01</t>
  </si>
  <si>
    <t>OP-20180872</t>
  </si>
  <si>
    <t>2018-05-25</t>
  </si>
  <si>
    <t>2018-05-30</t>
  </si>
  <si>
    <t>OP-20180873</t>
  </si>
  <si>
    <t>OP-20180874</t>
  </si>
  <si>
    <t>2018-04-07</t>
  </si>
  <si>
    <t>OP-20180875</t>
  </si>
  <si>
    <t>OP-20180876</t>
  </si>
  <si>
    <t>OP-20180877</t>
  </si>
  <si>
    <t>OP-20180878</t>
  </si>
  <si>
    <t>OP-20180879</t>
  </si>
  <si>
    <t>OP-20180880</t>
  </si>
  <si>
    <t>OP-20180881</t>
  </si>
  <si>
    <t>OP-20180882</t>
  </si>
  <si>
    <t>OP-20180883</t>
  </si>
  <si>
    <t>OP-20180884</t>
  </si>
  <si>
    <t>OP-20180885</t>
  </si>
  <si>
    <t>OP-20180886</t>
  </si>
  <si>
    <t>2018-01-18</t>
  </si>
  <si>
    <t>OP-20180887</t>
  </si>
  <si>
    <t>OP-20180888</t>
  </si>
  <si>
    <t>2019-07-06</t>
  </si>
  <si>
    <t>OP-20180889</t>
  </si>
  <si>
    <t>2018-05-29</t>
  </si>
  <si>
    <t>OP-20180890</t>
  </si>
  <si>
    <t>OP-20180891</t>
  </si>
  <si>
    <t>OP-20180892</t>
  </si>
  <si>
    <t>OP-20180893</t>
  </si>
  <si>
    <t>2020-11-21</t>
  </si>
  <si>
    <t>OP-20180894</t>
  </si>
  <si>
    <t>2020-11-08</t>
  </si>
  <si>
    <t>OP-20180895</t>
  </si>
  <si>
    <t>OP-20180896</t>
  </si>
  <si>
    <t>OP-20180897</t>
  </si>
  <si>
    <t>2018-12-09</t>
  </si>
  <si>
    <t>OP-20180898</t>
  </si>
  <si>
    <t>OP-20180899</t>
  </si>
  <si>
    <t>OP-20180900</t>
  </si>
  <si>
    <t>2018-03-01</t>
  </si>
  <si>
    <t>OP-20180901</t>
  </si>
  <si>
    <t>OP-20180902</t>
  </si>
  <si>
    <t>2018-07-06</t>
  </si>
  <si>
    <t>OP-20180903</t>
  </si>
  <si>
    <t>2019-05-02</t>
  </si>
  <si>
    <t>OP-20180904</t>
  </si>
  <si>
    <t>OP-20180905</t>
  </si>
  <si>
    <t>2019-01-06</t>
  </si>
  <si>
    <t>OP-20180906</t>
  </si>
  <si>
    <t>OP-20180907</t>
  </si>
  <si>
    <t>2019-03-17</t>
  </si>
  <si>
    <t>OP-20180908</t>
  </si>
  <si>
    <t>OP-20180909</t>
  </si>
  <si>
    <t>2019-09-03</t>
  </si>
  <si>
    <t>OP-20180910</t>
  </si>
  <si>
    <t>2018-01-17</t>
  </si>
  <si>
    <t>OP-20180911</t>
  </si>
  <si>
    <t>OP-20180912</t>
  </si>
  <si>
    <t>OP-20180913</t>
  </si>
  <si>
    <t>2018-03-31</t>
  </si>
  <si>
    <t>OP-20180914</t>
  </si>
  <si>
    <t>OP-20180915</t>
  </si>
  <si>
    <t>OP-20180916</t>
  </si>
  <si>
    <t>OP-20180917</t>
  </si>
  <si>
    <t>OP-20180918</t>
  </si>
  <si>
    <t>OP-20180919</t>
  </si>
  <si>
    <t>OP-20180920</t>
  </si>
  <si>
    <t>OP-20180921</t>
  </si>
  <si>
    <t>OP-20180922</t>
  </si>
  <si>
    <t>2019-08-19</t>
  </si>
  <si>
    <t>OP-20180923</t>
  </si>
  <si>
    <t>OP-20180924</t>
  </si>
  <si>
    <t>OP-20180925</t>
  </si>
  <si>
    <t>OP-20180926</t>
  </si>
  <si>
    <t>OP-20180927</t>
  </si>
  <si>
    <t>OP-20180928</t>
  </si>
  <si>
    <t>2020-03-23</t>
  </si>
  <si>
    <t>OP-20180929</t>
  </si>
  <si>
    <t>2020-11-22</t>
  </si>
  <si>
    <t>OP-20180930</t>
  </si>
  <si>
    <t>OP-20180931</t>
  </si>
  <si>
    <t>OP-20180932</t>
  </si>
  <si>
    <t>2019-02-21</t>
  </si>
  <si>
    <t>2019-02-28</t>
  </si>
  <si>
    <t>OP-20180933</t>
  </si>
  <si>
    <t>OP-20180934</t>
  </si>
  <si>
    <t>2018-09-12</t>
  </si>
  <si>
    <t>OP-20180935</t>
  </si>
  <si>
    <t>2019-04-19</t>
  </si>
  <si>
    <t>OP-20180936</t>
  </si>
  <si>
    <t>OP-20180937</t>
  </si>
  <si>
    <t>2019-11-03</t>
  </si>
  <si>
    <t>OP-20180938</t>
  </si>
  <si>
    <t>OP-20180939</t>
  </si>
  <si>
    <t>OP-20180940</t>
  </si>
  <si>
    <t>2018-04-24</t>
  </si>
  <si>
    <t>OP-20180941</t>
  </si>
  <si>
    <t>OP-20180942</t>
  </si>
  <si>
    <t>OP-20180943</t>
  </si>
  <si>
    <t>OP-20180944</t>
  </si>
  <si>
    <t>OP-20180945</t>
  </si>
  <si>
    <t>OP-20180946</t>
  </si>
  <si>
    <t>2019-09-24</t>
  </si>
  <si>
    <t>OP-20180947</t>
  </si>
  <si>
    <t>OP-20180948</t>
  </si>
  <si>
    <t>2019-08-08</t>
  </si>
  <si>
    <t>OP-20180949</t>
  </si>
  <si>
    <t>OP-20180950</t>
  </si>
  <si>
    <t>OP-20180951</t>
  </si>
  <si>
    <t>2019-01-09</t>
  </si>
  <si>
    <t>OP-20180952</t>
  </si>
  <si>
    <t>2019-08-06</t>
  </si>
  <si>
    <t>2019-08-10</t>
  </si>
  <si>
    <t>OP-20180953</t>
  </si>
  <si>
    <t>2019-06-27</t>
  </si>
  <si>
    <t>OP-20180954</t>
  </si>
  <si>
    <t>2020-06-14</t>
  </si>
  <si>
    <t>OP-20180955</t>
  </si>
  <si>
    <t>OP-20180956</t>
  </si>
  <si>
    <t>2020-03-03</t>
  </si>
  <si>
    <t>OP-20180957</t>
  </si>
  <si>
    <t>2020-07-25</t>
  </si>
  <si>
    <t>OP-20180958</t>
  </si>
  <si>
    <t>OP-20180959</t>
  </si>
  <si>
    <t>2019-07-25</t>
  </si>
  <si>
    <t>OP-20180960</t>
  </si>
  <si>
    <t>OP-20180961</t>
  </si>
  <si>
    <t>2018-08-24</t>
  </si>
  <si>
    <t>OP-20180962</t>
  </si>
  <si>
    <t>2019-01-10</t>
  </si>
  <si>
    <t>OP-20180963</t>
  </si>
  <si>
    <t>2020-01-16</t>
  </si>
  <si>
    <t>OP-20180964</t>
  </si>
  <si>
    <t>2018-10-20</t>
  </si>
  <si>
    <t>OP-20180965</t>
  </si>
  <si>
    <t>OP-20180966</t>
  </si>
  <si>
    <t>OP-20180967</t>
  </si>
  <si>
    <t>OP-20180968</t>
  </si>
  <si>
    <t>OP-20180969</t>
  </si>
  <si>
    <t>OP-20180970</t>
  </si>
  <si>
    <t>OP-20180971</t>
  </si>
  <si>
    <t>2020-07-19</t>
  </si>
  <si>
    <t>OP-20180972</t>
  </si>
  <si>
    <t>OP-20180973</t>
  </si>
  <si>
    <t>OP-20180974</t>
  </si>
  <si>
    <t>2019-11-30</t>
  </si>
  <si>
    <t>2019-12-07</t>
  </si>
  <si>
    <t>OP-20180975</t>
  </si>
  <si>
    <t>OP-20180976</t>
  </si>
  <si>
    <t>OP-20180977</t>
  </si>
  <si>
    <t>2018-06-23</t>
  </si>
  <si>
    <t>OP-20180978</t>
  </si>
  <si>
    <t>OP-20180979</t>
  </si>
  <si>
    <t>OP-20180980</t>
  </si>
  <si>
    <t>OP-20180981</t>
  </si>
  <si>
    <t>OP-20180982</t>
  </si>
  <si>
    <t>OP-20180983</t>
  </si>
  <si>
    <t>OP-20180984</t>
  </si>
  <si>
    <t>OP-20180985</t>
  </si>
  <si>
    <t>2018-06-09</t>
  </si>
  <si>
    <t>2018-06-11</t>
  </si>
  <si>
    <t>OP-20180986</t>
  </si>
  <si>
    <t>2019-03-06</t>
  </si>
  <si>
    <t>OP-20180987</t>
  </si>
  <si>
    <t>OP-20180988</t>
  </si>
  <si>
    <t>OP-20180989</t>
  </si>
  <si>
    <t>2018-08-05</t>
  </si>
  <si>
    <t>OP-20180990</t>
  </si>
  <si>
    <t>OP-20180991</t>
  </si>
  <si>
    <t>OP-20180992</t>
  </si>
  <si>
    <t>OP-20180993</t>
  </si>
  <si>
    <t>OP-20180994</t>
  </si>
  <si>
    <t>OP-20180995</t>
  </si>
  <si>
    <t>OP-20180996</t>
  </si>
  <si>
    <t>OP-20180997</t>
  </si>
  <si>
    <t>OP-20180998</t>
  </si>
  <si>
    <t>OP-20180999</t>
  </si>
  <si>
    <t>OP-20181000</t>
  </si>
  <si>
    <t>OP-20181001</t>
  </si>
  <si>
    <t>OP-20181002</t>
  </si>
  <si>
    <t>OP-20181003</t>
  </si>
  <si>
    <t>OP-20181004</t>
  </si>
  <si>
    <t>OP-20181005</t>
  </si>
  <si>
    <t>OP-20181006</t>
  </si>
  <si>
    <t>OP-20181007</t>
  </si>
  <si>
    <t>OP-20181008</t>
  </si>
  <si>
    <t>OP-20181009</t>
  </si>
  <si>
    <t>2019-09-06</t>
  </si>
  <si>
    <t>OP-20181010</t>
  </si>
  <si>
    <t>OP-20181011</t>
  </si>
  <si>
    <t>OP-20181012</t>
  </si>
  <si>
    <t>OP-20181013</t>
  </si>
  <si>
    <t>OP-20181014</t>
  </si>
  <si>
    <t>2019-12-02</t>
  </si>
  <si>
    <t>OP-20181015</t>
  </si>
  <si>
    <t>OP-20181016</t>
  </si>
  <si>
    <t>OP-20181017</t>
  </si>
  <si>
    <t>2020-03-29</t>
  </si>
  <si>
    <t>OP-20181018</t>
  </si>
  <si>
    <t>2019-01-24</t>
  </si>
  <si>
    <t>2019-01-27</t>
  </si>
  <si>
    <t>OP-20181019</t>
  </si>
  <si>
    <t>OP-20181020</t>
  </si>
  <si>
    <t>2018-07-07</t>
  </si>
  <si>
    <t>OP-20181021</t>
  </si>
  <si>
    <t>2019-05-13</t>
  </si>
  <si>
    <t>OP-20181022</t>
  </si>
  <si>
    <t>OP-20181023</t>
  </si>
  <si>
    <t>OP-20181024</t>
  </si>
  <si>
    <t>OP-20181025</t>
  </si>
  <si>
    <t>OP-20181026</t>
  </si>
  <si>
    <t>OP-20181027</t>
  </si>
  <si>
    <t>OP-20181028</t>
  </si>
  <si>
    <t>OP-20181029</t>
  </si>
  <si>
    <t>OP-20181030</t>
  </si>
  <si>
    <t>OP-20181031</t>
  </si>
  <si>
    <t>OP-20181032</t>
  </si>
  <si>
    <t>OP-20181033</t>
  </si>
  <si>
    <t>2019-02-14</t>
  </si>
  <si>
    <t>OP-20181034</t>
  </si>
  <si>
    <t>OP-20181035</t>
  </si>
  <si>
    <t>2018-01-27</t>
  </si>
  <si>
    <t>2018-02-03</t>
  </si>
  <si>
    <t>OP-20181036</t>
  </si>
  <si>
    <t>2020-01-04</t>
  </si>
  <si>
    <t>OP-20181037</t>
  </si>
  <si>
    <t>2020-12-20</t>
  </si>
  <si>
    <t>OP-20181038</t>
  </si>
  <si>
    <t>2020-03-06</t>
  </si>
  <si>
    <t>OP-20181039</t>
  </si>
  <si>
    <t>2019-06-09</t>
  </si>
  <si>
    <t>OP-20181040</t>
  </si>
  <si>
    <t>OP-20181041</t>
  </si>
  <si>
    <t>2018-10-07</t>
  </si>
  <si>
    <t>OP-20181042</t>
  </si>
  <si>
    <t>OP-20181043</t>
  </si>
  <si>
    <t>OP-20181044</t>
  </si>
  <si>
    <t>OP-20181045</t>
  </si>
  <si>
    <t>OP-20181046</t>
  </si>
  <si>
    <t>OP-20181047</t>
  </si>
  <si>
    <t>OP-20181048</t>
  </si>
  <si>
    <t>OP-20181049</t>
  </si>
  <si>
    <t>2019-10-13</t>
  </si>
  <si>
    <t>OP-20181050</t>
  </si>
  <si>
    <t>OP-20181051</t>
  </si>
  <si>
    <t>2020-02-18</t>
  </si>
  <si>
    <t>OP-20181052</t>
  </si>
  <si>
    <t>OP-20181053</t>
  </si>
  <si>
    <t>OP-20181054</t>
  </si>
  <si>
    <t>OP-20181055</t>
  </si>
  <si>
    <t>OP-20181056</t>
  </si>
  <si>
    <t>OP-20181057</t>
  </si>
  <si>
    <t>2018-12-14</t>
  </si>
  <si>
    <t>2018-12-17</t>
  </si>
  <si>
    <t>OP-20181058</t>
  </si>
  <si>
    <t>OP-20181059</t>
  </si>
  <si>
    <t>OP-20181060</t>
  </si>
  <si>
    <t>OP-20181061</t>
  </si>
  <si>
    <t>OP-20181062</t>
  </si>
  <si>
    <t>OP-20181063</t>
  </si>
  <si>
    <t>OP-20181064</t>
  </si>
  <si>
    <t>OP-20181065</t>
  </si>
  <si>
    <t>OP-20181066</t>
  </si>
  <si>
    <t>OP-20181067</t>
  </si>
  <si>
    <t>OP-20181068</t>
  </si>
  <si>
    <t>OP-20181069</t>
  </si>
  <si>
    <t>2018-03-18</t>
  </si>
  <si>
    <t>OP-20181070</t>
  </si>
  <si>
    <t>OP-20181071</t>
  </si>
  <si>
    <t>OP-20181072</t>
  </si>
  <si>
    <t>OP-20181073</t>
  </si>
  <si>
    <t>2018-08-28</t>
  </si>
  <si>
    <t>OP-20181074</t>
  </si>
  <si>
    <t>2019-11-25</t>
  </si>
  <si>
    <t>OP-20181075</t>
  </si>
  <si>
    <t>OP-20181076</t>
  </si>
  <si>
    <t>2020-12-25</t>
  </si>
  <si>
    <t>OP-20181077</t>
  </si>
  <si>
    <t>2019-01-21</t>
  </si>
  <si>
    <t>OP-20181078</t>
  </si>
  <si>
    <t>OP-20181079</t>
  </si>
  <si>
    <t>2020-02-26</t>
  </si>
  <si>
    <t>OP-20181080</t>
  </si>
  <si>
    <t>OP-20181081</t>
  </si>
  <si>
    <t>OP-20181082</t>
  </si>
  <si>
    <t>OP-20181083</t>
  </si>
  <si>
    <t>OP-20181084</t>
  </si>
  <si>
    <t>2019-11-17</t>
  </si>
  <si>
    <t>2019-11-20</t>
  </si>
  <si>
    <t>OP-20181085</t>
  </si>
  <si>
    <t>2019-04-13</t>
  </si>
  <si>
    <t>OP-20181086</t>
  </si>
  <si>
    <t>OP-20181087</t>
  </si>
  <si>
    <t>OP-20181088</t>
  </si>
  <si>
    <t>2019-02-18</t>
  </si>
  <si>
    <t>OP-20181089</t>
  </si>
  <si>
    <t>OP-20181090</t>
  </si>
  <si>
    <t>OP-20181091</t>
  </si>
  <si>
    <t>OP-20181092</t>
  </si>
  <si>
    <t>OP-20181093</t>
  </si>
  <si>
    <t>OP-20181094</t>
  </si>
  <si>
    <t>OP-20181095</t>
  </si>
  <si>
    <t>2019-11-21</t>
  </si>
  <si>
    <t>OP-20181096</t>
  </si>
  <si>
    <t>OP-20181097</t>
  </si>
  <si>
    <t>OP-20181098</t>
  </si>
  <si>
    <t>2019-03-16</t>
  </si>
  <si>
    <t>OP-20181099</t>
  </si>
  <si>
    <t>OP-20181100</t>
  </si>
  <si>
    <t>OP-20181101</t>
  </si>
  <si>
    <t>OP-20181102</t>
  </si>
  <si>
    <t>OP-20181103</t>
  </si>
  <si>
    <t>OP-20181104</t>
  </si>
  <si>
    <t>OP-20181105</t>
  </si>
  <si>
    <t>2019-03-04</t>
  </si>
  <si>
    <t>2019-03-07</t>
  </si>
  <si>
    <t>OP-20181106</t>
  </si>
  <si>
    <t>OP-20181107</t>
  </si>
  <si>
    <t>OP-20181108</t>
  </si>
  <si>
    <t>OP-20181109</t>
  </si>
  <si>
    <t>OP-20181110</t>
  </si>
  <si>
    <t>OP-20181111</t>
  </si>
  <si>
    <t>OP-20181112</t>
  </si>
  <si>
    <t>2018-12-08</t>
  </si>
  <si>
    <t>OP-20181113</t>
  </si>
  <si>
    <t>OP-20181114</t>
  </si>
  <si>
    <t>2018-12-25</t>
  </si>
  <si>
    <t>OP-20181115</t>
  </si>
  <si>
    <t>2020-04-30</t>
  </si>
  <si>
    <t>OP-20181116</t>
  </si>
  <si>
    <t>2020-04-11</t>
  </si>
  <si>
    <t>OP-20181117</t>
  </si>
  <si>
    <t>OP-20181118</t>
  </si>
  <si>
    <t>2019-05-03</t>
  </si>
  <si>
    <t>OP-20181119</t>
  </si>
  <si>
    <t>2018-01-06</t>
  </si>
  <si>
    <t>2018-01-08</t>
  </si>
  <si>
    <t>OP-20181120</t>
  </si>
  <si>
    <t>OP-20181121</t>
  </si>
  <si>
    <t>OP-20181122</t>
  </si>
  <si>
    <t>2018-06-18</t>
  </si>
  <si>
    <t>OP-20181123</t>
  </si>
  <si>
    <t>OP-20181124</t>
  </si>
  <si>
    <t>OP-20181125</t>
  </si>
  <si>
    <t>OP-20181126</t>
  </si>
  <si>
    <t>OP-20181127</t>
  </si>
  <si>
    <t>OP-20181128</t>
  </si>
  <si>
    <t>2019-03-08</t>
  </si>
  <si>
    <t>OP-20181129</t>
  </si>
  <si>
    <t>OP-20181130</t>
  </si>
  <si>
    <t>OP-20181131</t>
  </si>
  <si>
    <t>OP-20181132</t>
  </si>
  <si>
    <t>OP-20181133</t>
  </si>
  <si>
    <t>OP-20181134</t>
  </si>
  <si>
    <t>OP-20181135</t>
  </si>
  <si>
    <t>OP-20181136</t>
  </si>
  <si>
    <t>OP-20181137</t>
  </si>
  <si>
    <t>OP-20181138</t>
  </si>
  <si>
    <t>OP-20181139</t>
  </si>
  <si>
    <t>OP-20181140</t>
  </si>
  <si>
    <t>OP-20181141</t>
  </si>
  <si>
    <t>OP-20181142</t>
  </si>
  <si>
    <t>OP-20181143</t>
  </si>
  <si>
    <t>2020-12-17</t>
  </si>
  <si>
    <t>OP-20181144</t>
  </si>
  <si>
    <t>OP-20181145</t>
  </si>
  <si>
    <t>OP-20181146</t>
  </si>
  <si>
    <t>OP-20181147</t>
  </si>
  <si>
    <t>2018-03-22</t>
  </si>
  <si>
    <t>OP-20181148</t>
  </si>
  <si>
    <t>OP-20181149</t>
  </si>
  <si>
    <t>OP-20181150</t>
  </si>
  <si>
    <t>2020-04-16</t>
  </si>
  <si>
    <t>OP-20181151</t>
  </si>
  <si>
    <t>OP-20181152</t>
  </si>
  <si>
    <t>OP-20181153</t>
  </si>
  <si>
    <t>OP-20181154</t>
  </si>
  <si>
    <t>OP-20181155</t>
  </si>
  <si>
    <t>OP-20181156</t>
  </si>
  <si>
    <t>OP-20181157</t>
  </si>
  <si>
    <t>2018-08-18</t>
  </si>
  <si>
    <t>OP-20181158</t>
  </si>
  <si>
    <t>OP-20181159</t>
  </si>
  <si>
    <t>OP-20181160</t>
  </si>
  <si>
    <t>OP-20181161</t>
  </si>
  <si>
    <t>OP-20181162</t>
  </si>
  <si>
    <t>OP-20181163</t>
  </si>
  <si>
    <t>OP-20181164</t>
  </si>
  <si>
    <t>2019-03-02</t>
  </si>
  <si>
    <t>OP-20181165</t>
  </si>
  <si>
    <t>OP-20181166</t>
  </si>
  <si>
    <t>OP-20181167</t>
  </si>
  <si>
    <t>OP-20181168</t>
  </si>
  <si>
    <t>OP-20181169</t>
  </si>
  <si>
    <t>2018-02-28</t>
  </si>
  <si>
    <t>2018-03-06</t>
  </si>
  <si>
    <t>OP-20181170</t>
  </si>
  <si>
    <t>OP-20181171</t>
  </si>
  <si>
    <t>OP-20181172</t>
  </si>
  <si>
    <t>OP-20181173</t>
  </si>
  <si>
    <t>OP-20181174</t>
  </si>
  <si>
    <t>OP-20181175</t>
  </si>
  <si>
    <t>OP-20181176</t>
  </si>
  <si>
    <t>2020-08-06</t>
  </si>
  <si>
    <t>OP-20181177</t>
  </si>
  <si>
    <t>OP-20181178</t>
  </si>
  <si>
    <t>2019-06-11</t>
  </si>
  <si>
    <t>OP-20181179</t>
  </si>
  <si>
    <t>OP-20181180</t>
  </si>
  <si>
    <t>OP-20181181</t>
  </si>
  <si>
    <t>OP-20181182</t>
  </si>
  <si>
    <t>2018-06-07</t>
  </si>
  <si>
    <t>OP-20181183</t>
  </si>
  <si>
    <t>2019-06-14</t>
  </si>
  <si>
    <t>OP-20181184</t>
  </si>
  <si>
    <t>OP-20181185</t>
  </si>
  <si>
    <t>2020-10-20</t>
  </si>
  <si>
    <t>OP-20181186</t>
  </si>
  <si>
    <t>OP-20181187</t>
  </si>
  <si>
    <t>OP-20181188</t>
  </si>
  <si>
    <t>OP-20181189</t>
  </si>
  <si>
    <t>2018-06-03</t>
  </si>
  <si>
    <t>OP-20181190</t>
  </si>
  <si>
    <t>OP-20181191</t>
  </si>
  <si>
    <t>OP-20181192</t>
  </si>
  <si>
    <t>OP-20181193</t>
  </si>
  <si>
    <t>OP-20181194</t>
  </si>
  <si>
    <t>OP-20181195</t>
  </si>
  <si>
    <t>OP-20181196</t>
  </si>
  <si>
    <t>OP-20181197</t>
  </si>
  <si>
    <t>OP-20181198</t>
  </si>
  <si>
    <t>OP-20181199</t>
  </si>
  <si>
    <t>2020-08-26</t>
  </si>
  <si>
    <t>OP-20181200</t>
  </si>
  <si>
    <t>OP-20181201</t>
  </si>
  <si>
    <t>OP-20181202</t>
  </si>
  <si>
    <t>OP-20181203</t>
  </si>
  <si>
    <t>OP-20181204</t>
  </si>
  <si>
    <t>OP-20181205</t>
  </si>
  <si>
    <t>OP-20181206</t>
  </si>
  <si>
    <t>2020-06-11</t>
  </si>
  <si>
    <t>OP-20181207</t>
  </si>
  <si>
    <t>OP-20181208</t>
  </si>
  <si>
    <t>OP-20181209</t>
  </si>
  <si>
    <t>OP-20181210</t>
  </si>
  <si>
    <t>OP-20181211</t>
  </si>
  <si>
    <t>OP-20181212</t>
  </si>
  <si>
    <t>OP-20181213</t>
  </si>
  <si>
    <t>OP-20181214</t>
  </si>
  <si>
    <t>OP-20181215</t>
  </si>
  <si>
    <t>OP-20181216</t>
  </si>
  <si>
    <t>OP-20181217</t>
  </si>
  <si>
    <t>2019-06-10</t>
  </si>
  <si>
    <t>OP-20181218</t>
  </si>
  <si>
    <t>2018-02-24</t>
  </si>
  <si>
    <t>OP-20181219</t>
  </si>
  <si>
    <t>OP-20181220</t>
  </si>
  <si>
    <t>OP-20181221</t>
  </si>
  <si>
    <t>2020-11-26</t>
  </si>
  <si>
    <t>OP-20181222</t>
  </si>
  <si>
    <t>OP-20181223</t>
  </si>
  <si>
    <t>2019-11-02</t>
  </si>
  <si>
    <t>OP-20181224</t>
  </si>
  <si>
    <t>OP-20181225</t>
  </si>
  <si>
    <t>2019-08-14</t>
  </si>
  <si>
    <t>OP-20181226</t>
  </si>
  <si>
    <t>OP-20181227</t>
  </si>
  <si>
    <t>OP-20181228</t>
  </si>
  <si>
    <t>OP-20181229</t>
  </si>
  <si>
    <t>OP-20181230</t>
  </si>
  <si>
    <t>OP-20181231</t>
  </si>
  <si>
    <t>2018-08-26</t>
  </si>
  <si>
    <t>OP-20181232</t>
  </si>
  <si>
    <t>OP-20181233</t>
  </si>
  <si>
    <t>OP-20181234</t>
  </si>
  <si>
    <t>OP-20181235</t>
  </si>
  <si>
    <t>OP-20181236</t>
  </si>
  <si>
    <t>OP-20181237</t>
  </si>
  <si>
    <t>OP-20181238</t>
  </si>
  <si>
    <t>OP-20181239</t>
  </si>
  <si>
    <t>OP-20181240</t>
  </si>
  <si>
    <t>OP-20181241</t>
  </si>
  <si>
    <t>OP-20181242</t>
  </si>
  <si>
    <t>OP-20181243</t>
  </si>
  <si>
    <t>OP-20181244</t>
  </si>
  <si>
    <t>OP-20181245</t>
  </si>
  <si>
    <t>OP-20181246</t>
  </si>
  <si>
    <t>OP-20181247</t>
  </si>
  <si>
    <t>2019-01-04</t>
  </si>
  <si>
    <t>OP-20181248</t>
  </si>
  <si>
    <t>OP-20181249</t>
  </si>
  <si>
    <t>OP-20181250</t>
  </si>
  <si>
    <t>OP-20181251</t>
  </si>
  <si>
    <t>OP-20181252</t>
  </si>
  <si>
    <t>2018-02-06</t>
  </si>
  <si>
    <t>OP-20181253</t>
  </si>
  <si>
    <t>2019-08-21</t>
  </si>
  <si>
    <t>2019-08-25</t>
  </si>
  <si>
    <t>OP-20181254</t>
  </si>
  <si>
    <t>OP-20181255</t>
  </si>
  <si>
    <t>OP-20181256</t>
  </si>
  <si>
    <t>OP-20181257</t>
  </si>
  <si>
    <t>OP-20181258</t>
  </si>
  <si>
    <t>OP-20181259</t>
  </si>
  <si>
    <t>OP-20181260</t>
  </si>
  <si>
    <t>OP-20181261</t>
  </si>
  <si>
    <t>OP-20181262</t>
  </si>
  <si>
    <t>OP-20181263</t>
  </si>
  <si>
    <t>OP-20181264</t>
  </si>
  <si>
    <t>OP-20181265</t>
  </si>
  <si>
    <t>OP-20181266</t>
  </si>
  <si>
    <t>OP-20181267</t>
  </si>
  <si>
    <t>OP-20181268</t>
  </si>
  <si>
    <t>OP-20181269</t>
  </si>
  <si>
    <t>OP-20181270</t>
  </si>
  <si>
    <t>OP-20181271</t>
  </si>
  <si>
    <t>OP-20181272</t>
  </si>
  <si>
    <t>OP-20181273</t>
  </si>
  <si>
    <t>OP-20181274</t>
  </si>
  <si>
    <t>OP-20181275</t>
  </si>
  <si>
    <t>OP-20181276</t>
  </si>
  <si>
    <t>OP-20181277</t>
  </si>
  <si>
    <t>2020-03-25</t>
  </si>
  <si>
    <t>OP-20181278</t>
  </si>
  <si>
    <t>OP-20181279</t>
  </si>
  <si>
    <t>OP-20181280</t>
  </si>
  <si>
    <t>OP-20181281</t>
  </si>
  <si>
    <t>2019-09-02</t>
  </si>
  <si>
    <t>OP-20181282</t>
  </si>
  <si>
    <t>OP-20181283</t>
  </si>
  <si>
    <t>OP-20181284</t>
  </si>
  <si>
    <t>OP-20181285</t>
  </si>
  <si>
    <t>OP-20181286</t>
  </si>
  <si>
    <t>OP-20181287</t>
  </si>
  <si>
    <t>OP-20181288</t>
  </si>
  <si>
    <t>OP-20181289</t>
  </si>
  <si>
    <t>OP-20181290</t>
  </si>
  <si>
    <t>OP-20181291</t>
  </si>
  <si>
    <t>2020-12-30</t>
  </si>
  <si>
    <t>OP-20181292</t>
  </si>
  <si>
    <t>OP-20181293</t>
  </si>
  <si>
    <t>OP-20181294</t>
  </si>
  <si>
    <t>2020-08-31</t>
  </si>
  <si>
    <t>OP-20181295</t>
  </si>
  <si>
    <t>OP-20181296</t>
  </si>
  <si>
    <t>OP-20181297</t>
  </si>
  <si>
    <t>OP-20181298</t>
  </si>
  <si>
    <t>OP-20181299</t>
  </si>
  <si>
    <t>OP-20181300</t>
  </si>
  <si>
    <t>OP-20181301</t>
  </si>
  <si>
    <t>2020-08-05</t>
  </si>
  <si>
    <t>OP-20181302</t>
  </si>
  <si>
    <t>OP-20181303</t>
  </si>
  <si>
    <t>OP-20181304</t>
  </si>
  <si>
    <t>OP-20181305</t>
  </si>
  <si>
    <t>2018-02-14</t>
  </si>
  <si>
    <t>OP-20181306</t>
  </si>
  <si>
    <t>OP-20181307</t>
  </si>
  <si>
    <t>OP-20181308</t>
  </si>
  <si>
    <t>OP-20181309</t>
  </si>
  <si>
    <t>OP-20181310</t>
  </si>
  <si>
    <t>OP-20181311</t>
  </si>
  <si>
    <t>OP-20181312</t>
  </si>
  <si>
    <t>OP-20181313</t>
  </si>
  <si>
    <t>2020-03-30</t>
  </si>
  <si>
    <t>OP-20181314</t>
  </si>
  <si>
    <t>OP-20181315</t>
  </si>
  <si>
    <t>OP-20181316</t>
  </si>
  <si>
    <t>OP-20181317</t>
  </si>
  <si>
    <t>OP-20181318</t>
  </si>
  <si>
    <t>OP-20181319</t>
  </si>
  <si>
    <t>OP-20181320</t>
  </si>
  <si>
    <t>2019-12-24</t>
  </si>
  <si>
    <t>OP-20181321</t>
  </si>
  <si>
    <t>OP-20181322</t>
  </si>
  <si>
    <t>OP-20181323</t>
  </si>
  <si>
    <t>OP-20181324</t>
  </si>
  <si>
    <t>OP-20181325</t>
  </si>
  <si>
    <t>2020-07-10</t>
  </si>
  <si>
    <t>OP-20181326</t>
  </si>
  <si>
    <t>OP-20181327</t>
  </si>
  <si>
    <t>OP-20181328</t>
  </si>
  <si>
    <t>OP-20181329</t>
  </si>
  <si>
    <t>OP-20181330</t>
  </si>
  <si>
    <t>2020-10-25</t>
  </si>
  <si>
    <t>OP-20181331</t>
  </si>
  <si>
    <t>2018-04-12</t>
  </si>
  <si>
    <t>OP-20181332</t>
  </si>
  <si>
    <t>OP-20181333</t>
  </si>
  <si>
    <t>OP-20181334</t>
  </si>
  <si>
    <t>OP-20181335</t>
  </si>
  <si>
    <t>2020-01-15</t>
  </si>
  <si>
    <t>OP-20181336</t>
  </si>
  <si>
    <t>OP-20181337</t>
  </si>
  <si>
    <t>OP-20181338</t>
  </si>
  <si>
    <t>OP-20181339</t>
  </si>
  <si>
    <t>OP-20181340</t>
  </si>
  <si>
    <t>OP-20181341</t>
  </si>
  <si>
    <t>OP-20181342</t>
  </si>
  <si>
    <t>OP-20181343</t>
  </si>
  <si>
    <t>OP-20181344</t>
  </si>
  <si>
    <t>OP-20181345</t>
  </si>
  <si>
    <t>2018-01-20</t>
  </si>
  <si>
    <t>OP-20181346</t>
  </si>
  <si>
    <t>OP-20181347</t>
  </si>
  <si>
    <t>2018-04-05</t>
  </si>
  <si>
    <t>2018-04-08</t>
  </si>
  <si>
    <t>OP-20181348</t>
  </si>
  <si>
    <t>2019-06-21</t>
  </si>
  <si>
    <t>OP-20181349</t>
  </si>
  <si>
    <t>OP-20181350</t>
  </si>
  <si>
    <t>2019-03-03</t>
  </si>
  <si>
    <t>OP-20181351</t>
  </si>
  <si>
    <t>OP-20181352</t>
  </si>
  <si>
    <t>OP-20181353</t>
  </si>
  <si>
    <t>OP-20181354</t>
  </si>
  <si>
    <t>OP-20181355</t>
  </si>
  <si>
    <t>OP-20181356</t>
  </si>
  <si>
    <t>OP-20181357</t>
  </si>
  <si>
    <t>OP-20181358</t>
  </si>
  <si>
    <t>2020-10-24</t>
  </si>
  <si>
    <t>OP-20181359</t>
  </si>
  <si>
    <t>OP-20181360</t>
  </si>
  <si>
    <t>OP-20181361</t>
  </si>
  <si>
    <t>OP-20181362</t>
  </si>
  <si>
    <t>OP-20181363</t>
  </si>
  <si>
    <t>2018-01-23</t>
  </si>
  <si>
    <t>OP-20181364</t>
  </si>
  <si>
    <t>OP-20181365</t>
  </si>
  <si>
    <t>OP-20181366</t>
  </si>
  <si>
    <t>OP-20181367</t>
  </si>
  <si>
    <t>OP-20181368</t>
  </si>
  <si>
    <t>OP-20181369</t>
  </si>
  <si>
    <t>OP-20181370</t>
  </si>
  <si>
    <t>OP-20181371</t>
  </si>
  <si>
    <t>OP-20181372</t>
  </si>
  <si>
    <t>OP-20181373</t>
  </si>
  <si>
    <t>OP-20181374</t>
  </si>
  <si>
    <t>OP-20181375</t>
  </si>
  <si>
    <t>OP-20181376</t>
  </si>
  <si>
    <t>OP-20181377</t>
  </si>
  <si>
    <t>2020-08-24</t>
  </si>
  <si>
    <t>OP-20181378</t>
  </si>
  <si>
    <t>OP-20181379</t>
  </si>
  <si>
    <t>OP-20181380</t>
  </si>
  <si>
    <t>OP-20181381</t>
  </si>
  <si>
    <t>OP-20181382</t>
  </si>
  <si>
    <t>OP-20181383</t>
  </si>
  <si>
    <t>2019-06-13</t>
  </si>
  <si>
    <t>OP-20181384</t>
  </si>
  <si>
    <t>OP-20181385</t>
  </si>
  <si>
    <t>OP-20181386</t>
  </si>
  <si>
    <t>OP-20181387</t>
  </si>
  <si>
    <t>OP-20181388</t>
  </si>
  <si>
    <t>OP-20181389</t>
  </si>
  <si>
    <t>OP-20181390</t>
  </si>
  <si>
    <t>OP-20181391</t>
  </si>
  <si>
    <t>2018-03-16</t>
  </si>
  <si>
    <t>OP-20181392</t>
  </si>
  <si>
    <t>OP-20181393</t>
  </si>
  <si>
    <t>2019-03-26</t>
  </si>
  <si>
    <t>OP-20181394</t>
  </si>
  <si>
    <t>OP-20181395</t>
  </si>
  <si>
    <t>OP-20181396</t>
  </si>
  <si>
    <t>OP-20181397</t>
  </si>
  <si>
    <t>OP-20181398</t>
  </si>
  <si>
    <t>OP-20181399</t>
  </si>
  <si>
    <t>2020-01-20</t>
  </si>
  <si>
    <t>OP-20181400</t>
  </si>
  <si>
    <t>OP-20181401</t>
  </si>
  <si>
    <t>OP-20181402</t>
  </si>
  <si>
    <t>OP-20181403</t>
  </si>
  <si>
    <t>OP-20181404</t>
  </si>
  <si>
    <t>OP-20181405</t>
  </si>
  <si>
    <t>OP-20181406</t>
  </si>
  <si>
    <t>OP-20181407</t>
  </si>
  <si>
    <t>OP-20181408</t>
  </si>
  <si>
    <t>2019-07-21</t>
  </si>
  <si>
    <t>OP-20181409</t>
  </si>
  <si>
    <t>OP-20181410</t>
  </si>
  <si>
    <t>OP-20181411</t>
  </si>
  <si>
    <t>2018-10-19</t>
  </si>
  <si>
    <t>OP-20181412</t>
  </si>
  <si>
    <t>OP-20181413</t>
  </si>
  <si>
    <t>OP-20181414</t>
  </si>
  <si>
    <t>OP-20181415</t>
  </si>
  <si>
    <t>OP-20181416</t>
  </si>
  <si>
    <t>OP-20181417</t>
  </si>
  <si>
    <t>OP-20181418</t>
  </si>
  <si>
    <t>OP-20181419</t>
  </si>
  <si>
    <t>OP-20181420</t>
  </si>
  <si>
    <t>2018-04-17</t>
  </si>
  <si>
    <t>OP-20181421</t>
  </si>
  <si>
    <t>OP-20181422</t>
  </si>
  <si>
    <t>2018-09-05</t>
  </si>
  <si>
    <t>OP-20181423</t>
  </si>
  <si>
    <t>OP-20181424</t>
  </si>
  <si>
    <t>OP-20181425</t>
  </si>
  <si>
    <t>2018-02-07</t>
  </si>
  <si>
    <t>OP-20181426</t>
  </si>
  <si>
    <t>2019-04-14</t>
  </si>
  <si>
    <t>OP-20181427</t>
  </si>
  <si>
    <t>2020-12-18</t>
  </si>
  <si>
    <t>OP-20181428</t>
  </si>
  <si>
    <t>OP-20181429</t>
  </si>
  <si>
    <t>OP-20181430</t>
  </si>
  <si>
    <t>OP-20181431</t>
  </si>
  <si>
    <t>OP-20181432</t>
  </si>
  <si>
    <t>OP-20181433</t>
  </si>
  <si>
    <t>OP-20181434</t>
  </si>
  <si>
    <t>OP-20181435</t>
  </si>
  <si>
    <t>OP-20181436</t>
  </si>
  <si>
    <t>2020-11-03</t>
  </si>
  <si>
    <t>OP-20181437</t>
  </si>
  <si>
    <t>OP-20181438</t>
  </si>
  <si>
    <t>OP-20181439</t>
  </si>
  <si>
    <t>OP-20181440</t>
  </si>
  <si>
    <t>OP-20181441</t>
  </si>
  <si>
    <t>OP-20181442</t>
  </si>
  <si>
    <t>OP-20181443</t>
  </si>
  <si>
    <t>OP-20181444</t>
  </si>
  <si>
    <t>OP-20181445</t>
  </si>
  <si>
    <t>OP-20181446</t>
  </si>
  <si>
    <t>OP-20181447</t>
  </si>
  <si>
    <t>OP-20181448</t>
  </si>
  <si>
    <t>OP-20181449</t>
  </si>
  <si>
    <t>OP-20181450</t>
  </si>
  <si>
    <t>OP-20181451</t>
  </si>
  <si>
    <t>OP-20181452</t>
  </si>
  <si>
    <t>OP-20181453</t>
  </si>
  <si>
    <t>OP-20181454</t>
  </si>
  <si>
    <t>OP-20181455</t>
  </si>
  <si>
    <t>OP-20181456</t>
  </si>
  <si>
    <t>OP-20181457</t>
  </si>
  <si>
    <t>OP-20181458</t>
  </si>
  <si>
    <t>OP-20181459</t>
  </si>
  <si>
    <t>OP-20181460</t>
  </si>
  <si>
    <t>OP-20181461</t>
  </si>
  <si>
    <t>OP-20181462</t>
  </si>
  <si>
    <t>OP-20181463</t>
  </si>
  <si>
    <t>OP-20181464</t>
  </si>
  <si>
    <t>OP-20181465</t>
  </si>
  <si>
    <t>OP-20181466</t>
  </si>
  <si>
    <t>OP-20181467</t>
  </si>
  <si>
    <t>OP-20181468</t>
  </si>
  <si>
    <t>OP-20181469</t>
  </si>
  <si>
    <t>OP-20181470</t>
  </si>
  <si>
    <t>OP-20181471</t>
  </si>
  <si>
    <t>OP-20181472</t>
  </si>
  <si>
    <t>OP-20181473</t>
  </si>
  <si>
    <t>OP-20181474</t>
  </si>
  <si>
    <t>OP-20181475</t>
  </si>
  <si>
    <t>2019-10-31</t>
  </si>
  <si>
    <t>OP-20181476</t>
  </si>
  <si>
    <t>OP-20181477</t>
  </si>
  <si>
    <t>OP-20181478</t>
  </si>
  <si>
    <t>OP-20181479</t>
  </si>
  <si>
    <t>OP-20181480</t>
  </si>
  <si>
    <t>OP-20181481</t>
  </si>
  <si>
    <t>OP-20181482</t>
  </si>
  <si>
    <t>OP-20181483</t>
  </si>
  <si>
    <t>2018-10-03</t>
  </si>
  <si>
    <t>OP-20181484</t>
  </si>
  <si>
    <t>OP-20181485</t>
  </si>
  <si>
    <t>OP-20181486</t>
  </si>
  <si>
    <t>OP-20181487</t>
  </si>
  <si>
    <t>OP-20181488</t>
  </si>
  <si>
    <t>OP-20181489</t>
  </si>
  <si>
    <t>OP-20181490</t>
  </si>
  <si>
    <t>OP-20181491</t>
  </si>
  <si>
    <t>2019-02-19</t>
  </si>
  <si>
    <t>OP-20181492</t>
  </si>
  <si>
    <t>OP-20181493</t>
  </si>
  <si>
    <t>OP-20181494</t>
  </si>
  <si>
    <t>OP-20181495</t>
  </si>
  <si>
    <t>OP-20181496</t>
  </si>
  <si>
    <t>OP-20181497</t>
  </si>
  <si>
    <t>OP-20181498</t>
  </si>
  <si>
    <t>OP-20181499</t>
  </si>
  <si>
    <t>OP-20181500</t>
  </si>
  <si>
    <t>Row Labels</t>
  </si>
  <si>
    <t>Grand Total</t>
  </si>
  <si>
    <t>Sum of sales</t>
  </si>
  <si>
    <t>Sum of discount</t>
  </si>
  <si>
    <t>Sum of discount_value</t>
  </si>
  <si>
    <t>Sum of profit</t>
  </si>
  <si>
    <t>Column Labels</t>
  </si>
  <si>
    <t>Delivery_Month_Year</t>
  </si>
  <si>
    <t>Total Sum of sales</t>
  </si>
  <si>
    <t>Total Sum of profit</t>
  </si>
  <si>
    <t>Sum of quantity</t>
  </si>
  <si>
    <t>Net Revenue</t>
  </si>
  <si>
    <t>Quantity Sold</t>
  </si>
  <si>
    <t>Total Discount</t>
  </si>
  <si>
    <t>Total Profit</t>
  </si>
  <si>
    <t>Order_Month_Date</t>
  </si>
  <si>
    <t>2018</t>
  </si>
  <si>
    <t>2019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</si>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</sst>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
    <numFmt numFmtId="167" formatCode="[$-F800]dddd\,\ mmmm\ dd\,\ yyyy"/>
  </numFmts>
  <fonts count="4" x14ac:knownFonts="1">
    <font>
      <sz val="11"/>
      <color theme="1"/>
      <name val="Calibri"/>
      <family val="2"/>
      <scheme val="minor"/>
    </font>
    <font>
      <b/>
      <sz val="10"/>
      <color rgb="FFFFFFFF"/>
      <name val="Segoe UI"/>
    </font>
    <font>
      <sz val="10"/>
      <color rgb="FF1F2937"/>
      <name val="Segoe UI"/>
    </font>
    <font>
      <sz val="11"/>
      <color theme="0"/>
      <name val="Calibri"/>
      <family val="2"/>
      <scheme val="minor"/>
    </font>
  </fonts>
  <fills count="9">
    <fill>
      <patternFill patternType="none"/>
    </fill>
    <fill>
      <patternFill patternType="gray125"/>
    </fill>
    <fill>
      <patternFill patternType="solid">
        <fgColor rgb="FF1F2421"/>
        <bgColor rgb="FF1F2421"/>
      </patternFill>
    </fill>
    <fill>
      <patternFill patternType="solid">
        <fgColor rgb="FFF9FAFB"/>
        <bgColor rgb="FFF9FAFB"/>
      </patternFill>
    </fill>
    <fill>
      <patternFill patternType="solid">
        <fgColor theme="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1" tint="0.34998626667073579"/>
        <bgColor indexed="64"/>
      </patternFill>
    </fill>
    <fill>
      <patternFill patternType="solid">
        <fgColor theme="0"/>
        <bgColor indexed="64"/>
      </patternFill>
    </fill>
  </fills>
  <borders count="4">
    <border>
      <left/>
      <right/>
      <top/>
      <bottom/>
      <diagonal/>
    </border>
    <border>
      <left style="thin">
        <color rgb="FFE5E7EB"/>
      </left>
      <right style="thin">
        <color rgb="FFE5E7EB"/>
      </right>
      <top style="thin">
        <color rgb="FFE5E7EB"/>
      </top>
      <bottom style="thin">
        <color rgb="FFE5E7EB"/>
      </bottom>
      <diagonal/>
    </border>
    <border>
      <left/>
      <right style="thin">
        <color rgb="FFE5E7EB"/>
      </right>
      <top/>
      <bottom/>
      <diagonal/>
    </border>
    <border>
      <left style="thin">
        <color rgb="FFE5E7EB"/>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3" fontId="2" fillId="3" borderId="1" xfId="0" applyNumberFormat="1" applyFont="1" applyFill="1" applyBorder="1" applyAlignment="1">
      <alignment horizontal="right"/>
    </xf>
    <xf numFmtId="165" fontId="2" fillId="3" borderId="1" xfId="0" applyNumberFormat="1" applyFont="1" applyFill="1" applyBorder="1" applyAlignment="1">
      <alignment horizontal="right"/>
    </xf>
    <xf numFmtId="166" fontId="2" fillId="3" borderId="1" xfId="0" applyNumberFormat="1" applyFont="1" applyFill="1" applyBorder="1" applyAlignment="1">
      <alignment horizontal="right"/>
    </xf>
    <xf numFmtId="0" fontId="2" fillId="0" borderId="1" xfId="0" applyFont="1" applyBorder="1" applyAlignment="1">
      <alignment horizontal="center"/>
    </xf>
    <xf numFmtId="0" fontId="2" fillId="0" borderId="1" xfId="0" applyFont="1" applyBorder="1" applyAlignment="1">
      <alignment horizontal="left"/>
    </xf>
    <xf numFmtId="164" fontId="2" fillId="0" borderId="1" xfId="0" applyNumberFormat="1" applyFont="1" applyBorder="1" applyAlignment="1">
      <alignment horizontal="right"/>
    </xf>
    <xf numFmtId="3" fontId="2" fillId="0" borderId="1" xfId="0" applyNumberFormat="1" applyFont="1" applyBorder="1" applyAlignment="1">
      <alignment horizontal="right"/>
    </xf>
    <xf numFmtId="165" fontId="2" fillId="0" borderId="1" xfId="0" applyNumberFormat="1" applyFont="1" applyBorder="1" applyAlignment="1">
      <alignment horizontal="right"/>
    </xf>
    <xf numFmtId="166" fontId="2" fillId="0" borderId="1" xfId="0" applyNumberFormat="1" applyFont="1" applyBorder="1" applyAlignment="1">
      <alignment horizontal="right"/>
    </xf>
    <xf numFmtId="0" fontId="0" fillId="0" borderId="0" xfId="0" pivotButton="1"/>
    <xf numFmtId="0" fontId="0" fillId="0" borderId="0" xfId="0" applyAlignment="1">
      <alignment horizontal="left"/>
    </xf>
    <xf numFmtId="166" fontId="0" fillId="0" borderId="0" xfId="0" applyNumberFormat="1"/>
    <xf numFmtId="165" fontId="0" fillId="0" borderId="0" xfId="0" applyNumberFormat="1"/>
    <xf numFmtId="167" fontId="2" fillId="3" borderId="1" xfId="0" applyNumberFormat="1" applyFont="1" applyFill="1" applyBorder="1" applyAlignment="1">
      <alignment horizontal="center"/>
    </xf>
    <xf numFmtId="167" fontId="2" fillId="0" borderId="1" xfId="0" applyNumberFormat="1" applyFont="1" applyBorder="1" applyAlignment="1">
      <alignment horizontal="center"/>
    </xf>
    <xf numFmtId="0" fontId="3" fillId="4" borderId="0" xfId="0" applyFont="1" applyFill="1"/>
    <xf numFmtId="3" fontId="0" fillId="0" borderId="0" xfId="0" applyNumberFormat="1"/>
    <xf numFmtId="0" fontId="0" fillId="5" borderId="0" xfId="0" applyFill="1" applyAlignment="1">
      <alignment horizontal="center"/>
    </xf>
    <xf numFmtId="0" fontId="0" fillId="5" borderId="0" xfId="0" applyFill="1" applyAlignment="1">
      <alignment horizontal="center" vertical="center"/>
    </xf>
    <xf numFmtId="3"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2" xfId="0" applyBorder="1"/>
    <xf numFmtId="167" fontId="0" fillId="0" borderId="0" xfId="0" applyNumberFormat="1"/>
    <xf numFmtId="0" fontId="0" fillId="0" borderId="3" xfId="0" applyBorder="1"/>
    <xf numFmtId="166" fontId="0" fillId="6" borderId="0" xfId="0" applyNumberFormat="1" applyFill="1"/>
    <xf numFmtId="167" fontId="0" fillId="0" borderId="0" xfId="0" applyNumberFormat="1" applyAlignment="1">
      <alignment horizontal="left"/>
    </xf>
    <xf numFmtId="0" fontId="0" fillId="7" borderId="0" xfId="0" applyFill="1"/>
    <xf numFmtId="0" fontId="0" fillId="8" borderId="0" xfId="0" applyFill="1"/>
  </cellXfs>
  <cellStyles count="1">
    <cellStyle name="Normal" xfId="0" builtinId="0"/>
  </cellStyles>
  <dxfs count="11">
    <dxf>
      <numFmt numFmtId="167" formatCode="[$-F800]dddd\,\ mmmm\ dd\,\ yyyy"/>
    </dxf>
    <dxf>
      <numFmt numFmtId="167" formatCode="[$-F800]dddd\,\ mmmm\ dd\,\ yyyy"/>
    </dxf>
    <dxf>
      <numFmt numFmtId="0" formatCode="General"/>
    </dxf>
    <dxf>
      <border diagonalUp="0" diagonalDown="0" outline="0">
        <left style="thin">
          <color rgb="FFE5E7EB"/>
        </left>
        <right/>
        <top/>
        <bottom/>
      </border>
    </dxf>
    <dxf>
      <border outline="0">
        <left style="thin">
          <color rgb="FFE5E7EB"/>
        </left>
      </border>
    </dxf>
    <dxf>
      <numFmt numFmtId="167" formatCode="[$-F800]dddd\,\ mmmm\ dd\,\ yyyy"/>
    </dxf>
    <dxf>
      <numFmt numFmtId="167" formatCode="[$-F800]dddd\,\ mmmm\ dd\,\ yyyy"/>
    </dxf>
    <dxf>
      <border diagonalUp="0" diagonalDown="0" outline="0">
        <left/>
        <right style="thin">
          <color rgb="FFE5E7EB"/>
        </right>
        <top/>
        <bottom/>
      </border>
    </dxf>
    <dxf>
      <border outline="0">
        <right style="thin">
          <color rgb="FFE5E7EB"/>
        </right>
      </border>
    </dxf>
    <dxf>
      <numFmt numFmtId="166" formatCode="\₹#,##0.00"/>
      <fill>
        <patternFill patternType="solid">
          <fgColor indexed="64"/>
          <bgColor theme="3" tint="0.39997558519241921"/>
        </patternFill>
      </fill>
    </dxf>
    <dxf>
      <numFmt numFmtId="166" formatCode="\₹#,##0.00"/>
      <fill>
        <patternFill patternType="solid">
          <fgColor indexed="64"/>
          <bgColor theme="3"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[OnePlus_Sales_Clean_Dataset.xlsx]Sheet6!PivotTable14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Accessories &amp; Gear</c:v>
                </c:pt>
                <c:pt idx="1">
                  <c:v>Audio &amp; Wearables</c:v>
                </c:pt>
                <c:pt idx="2">
                  <c:v>Flagship Smartphones</c:v>
                </c:pt>
                <c:pt idx="3">
                  <c:v>Mid-Range Smartphones</c:v>
                </c:pt>
                <c:pt idx="4">
                  <c:v>Smart TV &amp; Display</c:v>
                </c:pt>
              </c:strCache>
            </c:strRef>
          </c:cat>
          <c:val>
            <c:numRef>
              <c:f>Sheet6!$B$4:$B$9</c:f>
              <c:numCache>
                <c:formatCode>General</c:formatCode>
                <c:ptCount val="5"/>
                <c:pt idx="0">
                  <c:v>1072083.3999999999</c:v>
                </c:pt>
                <c:pt idx="1">
                  <c:v>1760912.09</c:v>
                </c:pt>
                <c:pt idx="2">
                  <c:v>38892840.420000002</c:v>
                </c:pt>
                <c:pt idx="3">
                  <c:v>4823835.32</c:v>
                </c:pt>
                <c:pt idx="4">
                  <c:v>8118763.5999999996</c:v>
                </c:pt>
              </c:numCache>
            </c:numRef>
          </c:val>
          <c:extLst>
            <c:ext xmlns:c16="http://schemas.microsoft.com/office/drawing/2014/chart" uri="{C3380CC4-5D6E-409C-BE32-E72D297353CC}">
              <c16:uniqueId val="{00000000-EF6B-4793-A935-43C0CB7AE28A}"/>
            </c:ext>
          </c:extLst>
        </c:ser>
        <c:dLbls>
          <c:showLegendKey val="0"/>
          <c:showVal val="0"/>
          <c:showCatName val="0"/>
          <c:showSerName val="0"/>
          <c:showPercent val="0"/>
          <c:showBubbleSize val="0"/>
        </c:dLbls>
        <c:gapWidth val="219"/>
        <c:overlap val="-27"/>
        <c:axId val="1387595919"/>
        <c:axId val="1303056223"/>
      </c:barChart>
      <c:catAx>
        <c:axId val="138759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56223"/>
        <c:crosses val="autoZero"/>
        <c:auto val="1"/>
        <c:lblAlgn val="ctr"/>
        <c:lblOffset val="100"/>
        <c:noMultiLvlLbl val="0"/>
      </c:catAx>
      <c:valAx>
        <c:axId val="130305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59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[OnePlus_Sales_Clean_Dataset.xlsx]Sheet6!PivotTable14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8D-4AE5-A709-7D7315CA0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8D-4AE5-A709-7D7315CA0B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8D-4AE5-A709-7D7315CA0B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8D-4AE5-A709-7D7315CA0B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8D-4AE5-A709-7D7315CA0B52}"/>
              </c:ext>
            </c:extLst>
          </c:dPt>
          <c:cat>
            <c:strRef>
              <c:f>Sheet6!$A$4:$A$9</c:f>
              <c:strCache>
                <c:ptCount val="5"/>
                <c:pt idx="0">
                  <c:v>Accessories &amp; Gear</c:v>
                </c:pt>
                <c:pt idx="1">
                  <c:v>Audio &amp; Wearables</c:v>
                </c:pt>
                <c:pt idx="2">
                  <c:v>Flagship Smartphones</c:v>
                </c:pt>
                <c:pt idx="3">
                  <c:v>Mid-Range Smartphones</c:v>
                </c:pt>
                <c:pt idx="4">
                  <c:v>Smart TV &amp; Display</c:v>
                </c:pt>
              </c:strCache>
            </c:strRef>
          </c:cat>
          <c:val>
            <c:numRef>
              <c:f>Sheet6!$B$4:$B$9</c:f>
              <c:numCache>
                <c:formatCode>General</c:formatCode>
                <c:ptCount val="5"/>
                <c:pt idx="0">
                  <c:v>1072083.3999999999</c:v>
                </c:pt>
                <c:pt idx="1">
                  <c:v>1760912.09</c:v>
                </c:pt>
                <c:pt idx="2">
                  <c:v>38892840.420000002</c:v>
                </c:pt>
                <c:pt idx="3">
                  <c:v>4823835.32</c:v>
                </c:pt>
                <c:pt idx="4">
                  <c:v>8118763.5999999996</c:v>
                </c:pt>
              </c:numCache>
            </c:numRef>
          </c:val>
          <c:extLst>
            <c:ext xmlns:c16="http://schemas.microsoft.com/office/drawing/2014/chart" uri="{C3380CC4-5D6E-409C-BE32-E72D297353CC}">
              <c16:uniqueId val="{00000000-56D4-4C4F-AC7A-577BA3D7FA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Sheet4!$R$11</c:f>
              <c:strCache>
                <c:ptCount val="1"/>
                <c:pt idx="0">
                  <c:v>Total</c:v>
                </c:pt>
              </c:strCache>
            </c:strRef>
          </c:tx>
          <c:dPt>
            <c:idx val="0"/>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4C-4472-83BD-418E64350459}"/>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4C-4472-83BD-418E64350459}"/>
              </c:ext>
            </c:extLst>
          </c:dPt>
          <c:dPt>
            <c:idx val="2"/>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4C-4472-83BD-418E64350459}"/>
              </c:ext>
            </c:extLst>
          </c:dPt>
          <c:dPt>
            <c:idx val="3"/>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4C-4472-83BD-418E64350459}"/>
              </c:ext>
            </c:extLst>
          </c:dPt>
          <c:dPt>
            <c:idx val="4"/>
            <c:bubble3D val="0"/>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04C-4472-83BD-418E64350459}"/>
              </c:ext>
            </c:extLst>
          </c:dPt>
          <c:cat>
            <c:strRef>
              <c:f>Sheet4!$Q$12:$Q$17</c:f>
              <c:strCache>
                <c:ptCount val="5"/>
                <c:pt idx="0">
                  <c:v>Accessories &amp; Gear</c:v>
                </c:pt>
                <c:pt idx="1">
                  <c:v>Audio &amp; Wearables</c:v>
                </c:pt>
                <c:pt idx="2">
                  <c:v>Flagship Smartphones</c:v>
                </c:pt>
                <c:pt idx="3">
                  <c:v>Mid-Range Smartphones</c:v>
                </c:pt>
                <c:pt idx="4">
                  <c:v>Smart TV &amp; Display</c:v>
                </c:pt>
              </c:strCache>
            </c:strRef>
          </c:cat>
          <c:val>
            <c:numRef>
              <c:f>Sheet4!$R$12:$R$17</c:f>
              <c:numCache>
                <c:formatCode>\₹#,##0.00</c:formatCode>
                <c:ptCount val="5"/>
                <c:pt idx="0">
                  <c:v>1072083.4000000006</c:v>
                </c:pt>
                <c:pt idx="1">
                  <c:v>1760912.0900000015</c:v>
                </c:pt>
                <c:pt idx="2">
                  <c:v>38892840.419999972</c:v>
                </c:pt>
                <c:pt idx="3">
                  <c:v>4823835.3200000022</c:v>
                </c:pt>
                <c:pt idx="4">
                  <c:v>8118763.5999999968</c:v>
                </c:pt>
              </c:numCache>
            </c:numRef>
          </c:val>
          <c:extLst>
            <c:ext xmlns:c16="http://schemas.microsoft.com/office/drawing/2014/chart" uri="{C3380CC4-5D6E-409C-BE32-E72D297353CC}">
              <c16:uniqueId val="{0000000A-A04C-4472-83BD-418E643504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[OnePlus_Sales_Clean_Dataset.xlsx]Sheet4!PivotTable10</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Sheet4!$I$13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198-4048-A0E2-554824B16309}"/>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198-4048-A0E2-554824B16309}"/>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198-4048-A0E2-554824B16309}"/>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198-4048-A0E2-554824B163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Sheet4!$H$14:$H$18</c:f>
              <c:strCache>
                <c:ptCount val="4"/>
                <c:pt idx="0">
                  <c:v>East</c:v>
                </c:pt>
                <c:pt idx="1">
                  <c:v>North</c:v>
                </c:pt>
                <c:pt idx="2">
                  <c:v>South</c:v>
                </c:pt>
                <c:pt idx="3">
                  <c:v>West</c:v>
                </c:pt>
              </c:strCache>
            </c:strRef>
          </c:cat>
          <c:val>
            <c:numRef>
              <c:f>Sheet4!$I$14:$I$18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8-B198-4048-A0E2-554824B1630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[OnePlus_Sales_Clean_Dataset.xlsx]Sheet4!PivotTable13</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742D-4B16-AC55-F5EB028692BF}"/>
            </c:ext>
          </c:extLst>
        </c:ser>
        <c:dLbls>
          <c:showLegendKey val="0"/>
          <c:showVal val="0"/>
          <c:showCatName val="0"/>
          <c:showSerName val="0"/>
          <c:showPercent val="0"/>
          <c:showBubbleSize val="0"/>
        </c:dLbls>
        <c:marker val="1"/>
        <c:smooth val="0"/>
        <c:axId val="1479058592"/>
        <c:axId val="1511941568"/>
      </c:lineChart>
      <c:catAx>
        <c:axId val="14790585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Sum of sales</c:v>
                </c:pt>
              </c:strCache>
            </c:strRef>
          </c:tx>
          <c:spPr>
            <a:noFill/>
            <a:ln w="9525" cap="flat" cmpd="sng" algn="ctr">
              <a:solidFill>
                <a:schemeClr val="accent2">
                  <a:shade val="53000"/>
                </a:schemeClr>
              </a:solidFill>
              <a:miter lim="800000"/>
            </a:ln>
            <a:effectLst>
              <a:glow rad="63500">
                <a:schemeClr val="accent2">
                  <a:shade val="53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Sheet4!$B$14:$B$18</c:f>
              <c:numCache>
                <c:formatCode>\₹#,##0.00</c:formatCode>
                <c:ptCount val="4"/>
                <c:pt idx="0">
                  <c:v>6562065.4499999993</c:v>
                </c:pt>
                <c:pt idx="1">
                  <c:v>15032858.890000008</c:v>
                </c:pt>
                <c:pt idx="2">
                  <c:v>19822870.54000001</c:v>
                </c:pt>
                <c:pt idx="3">
                  <c:v>13250639.950000009</c:v>
                </c:pt>
              </c:numCache>
            </c:numRef>
          </c:val>
          <c:extLst>
            <c:ext xmlns:c16="http://schemas.microsoft.com/office/drawing/2014/chart" uri="{C3380CC4-5D6E-409C-BE32-E72D297353CC}">
              <c16:uniqueId val="{00000000-667F-4B42-91DD-E0ED413AAEE8}"/>
            </c:ext>
          </c:extLst>
        </c:ser>
        <c:ser>
          <c:idx val="1"/>
          <c:order val="1"/>
          <c:tx>
            <c:strRef>
              <c:f>Sheet4!$C$13</c:f>
              <c:strCache>
                <c:ptCount val="1"/>
                <c:pt idx="0">
                  <c:v>Sum of profit</c:v>
                </c:pt>
              </c:strCache>
            </c:strRef>
          </c:tx>
          <c:spPr>
            <a:noFill/>
            <a:ln w="9525" cap="flat" cmpd="sng" algn="ctr">
              <a:solidFill>
                <a:schemeClr val="accent2">
                  <a:shade val="76000"/>
                </a:schemeClr>
              </a:solidFill>
              <a:miter lim="800000"/>
            </a:ln>
            <a:effectLst>
              <a:glow rad="63500">
                <a:schemeClr val="accent2">
                  <a:shade val="76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Sheet4!$C$14:$C$18</c:f>
              <c:numCache>
                <c:formatCode>\₹#,##0.00</c:formatCode>
                <c:ptCount val="4"/>
                <c:pt idx="0">
                  <c:v>1358549.01</c:v>
                </c:pt>
                <c:pt idx="1">
                  <c:v>2983672.5399999982</c:v>
                </c:pt>
                <c:pt idx="2">
                  <c:v>3985458.6499999962</c:v>
                </c:pt>
                <c:pt idx="3">
                  <c:v>2684528.4200000013</c:v>
                </c:pt>
              </c:numCache>
            </c:numRef>
          </c:val>
          <c:extLst>
            <c:ext xmlns:c16="http://schemas.microsoft.com/office/drawing/2014/chart" uri="{C3380CC4-5D6E-409C-BE32-E72D297353CC}">
              <c16:uniqueId val="{00000001-667F-4B42-91DD-E0ED413AAEE8}"/>
            </c:ext>
          </c:extLst>
        </c:ser>
        <c:ser>
          <c:idx val="2"/>
          <c:order val="2"/>
          <c:tx>
            <c:strRef>
              <c:f>Sheet4!$D$13</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Sheet4!$D$14:$D$18</c:f>
              <c:numCache>
                <c:formatCode>#,##0</c:formatCode>
                <c:ptCount val="4"/>
                <c:pt idx="0">
                  <c:v>332</c:v>
                </c:pt>
                <c:pt idx="1">
                  <c:v>700</c:v>
                </c:pt>
                <c:pt idx="2">
                  <c:v>822</c:v>
                </c:pt>
                <c:pt idx="3">
                  <c:v>581</c:v>
                </c:pt>
              </c:numCache>
            </c:numRef>
          </c:val>
          <c:extLst>
            <c:ext xmlns:c16="http://schemas.microsoft.com/office/drawing/2014/chart" uri="{C3380CC4-5D6E-409C-BE32-E72D297353CC}">
              <c16:uniqueId val="{00000002-667F-4B42-91DD-E0ED413AAEE8}"/>
            </c:ext>
          </c:extLst>
        </c:ser>
        <c:ser>
          <c:idx val="3"/>
          <c:order val="3"/>
          <c:tx>
            <c:strRef>
              <c:f>Sheet4!$E$13</c:f>
              <c:strCache>
                <c:ptCount val="1"/>
                <c:pt idx="0">
                  <c:v>Sum of discount</c:v>
                </c:pt>
              </c:strCache>
            </c:strRef>
          </c:tx>
          <c:spPr>
            <a:noFill/>
            <a:ln w="9525" cap="flat" cmpd="sng" algn="ctr">
              <a:solidFill>
                <a:schemeClr val="accent2">
                  <a:tint val="77000"/>
                </a:schemeClr>
              </a:solidFill>
              <a:miter lim="800000"/>
            </a:ln>
            <a:effectLst>
              <a:glow rad="63500">
                <a:schemeClr val="accent2">
                  <a:tint val="77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Sheet4!$E$14:$E$18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3-667F-4B42-91DD-E0ED413AAEE8}"/>
            </c:ext>
          </c:extLst>
        </c:ser>
        <c:ser>
          <c:idx val="4"/>
          <c:order val="4"/>
          <c:tx>
            <c:strRef>
              <c:f>Sheet4!$F$13</c:f>
              <c:strCache>
                <c:ptCount val="1"/>
                <c:pt idx="0">
                  <c:v>Sum of discount_value</c:v>
                </c:pt>
              </c:strCache>
            </c:strRef>
          </c:tx>
          <c:spPr>
            <a:noFill/>
            <a:ln w="9525" cap="flat" cmpd="sng" algn="ctr">
              <a:solidFill>
                <a:schemeClr val="accent2">
                  <a:tint val="54000"/>
                </a:schemeClr>
              </a:solidFill>
              <a:miter lim="800000"/>
            </a:ln>
            <a:effectLst>
              <a:glow rad="63500">
                <a:schemeClr val="accent2">
                  <a:tint val="54000"/>
                  <a:satMod val="175000"/>
                  <a:alpha val="25000"/>
                </a:schemeClr>
              </a:glow>
            </a:effectLst>
          </c:spPr>
          <c:invertIfNegative val="0"/>
          <c:cat>
            <c:strRef>
              <c:f>Sheet4!$A$14:$A$18</c:f>
              <c:strCache>
                <c:ptCount val="4"/>
                <c:pt idx="0">
                  <c:v>East</c:v>
                </c:pt>
                <c:pt idx="1">
                  <c:v>North</c:v>
                </c:pt>
                <c:pt idx="2">
                  <c:v>South</c:v>
                </c:pt>
                <c:pt idx="3">
                  <c:v>West</c:v>
                </c:pt>
              </c:strCache>
            </c:strRef>
          </c:cat>
          <c:val>
            <c:numRef>
              <c:f>Sheet4!$F$14:$F$18</c:f>
              <c:numCache>
                <c:formatCode>\₹#,##0.00</c:formatCode>
                <c:ptCount val="4"/>
                <c:pt idx="0">
                  <c:v>424131.5500000004</c:v>
                </c:pt>
                <c:pt idx="1">
                  <c:v>959193.10999999987</c:v>
                </c:pt>
                <c:pt idx="2">
                  <c:v>1309296.4599999986</c:v>
                </c:pt>
                <c:pt idx="3">
                  <c:v>828509.05</c:v>
                </c:pt>
              </c:numCache>
            </c:numRef>
          </c:val>
          <c:extLst>
            <c:ext xmlns:c16="http://schemas.microsoft.com/office/drawing/2014/chart" uri="{C3380CC4-5D6E-409C-BE32-E72D297353CC}">
              <c16:uniqueId val="{00000004-667F-4B42-91DD-E0ED413AAEE8}"/>
            </c:ext>
          </c:extLst>
        </c:ser>
        <c:dLbls>
          <c:showLegendKey val="0"/>
          <c:showVal val="0"/>
          <c:showCatName val="0"/>
          <c:showSerName val="0"/>
          <c:showPercent val="0"/>
          <c:showBubbleSize val="0"/>
        </c:dLbls>
        <c:gapWidth val="315"/>
        <c:overlap val="-40"/>
        <c:axId val="1705956976"/>
        <c:axId val="1693500800"/>
      </c:barChart>
      <c:catAx>
        <c:axId val="1705956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3500800"/>
        <c:crosses val="autoZero"/>
        <c:auto val="1"/>
        <c:lblAlgn val="ctr"/>
        <c:lblOffset val="100"/>
        <c:noMultiLvlLbl val="0"/>
      </c:catAx>
      <c:valAx>
        <c:axId val="1693500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9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[OnePlus_Sales_Clean_Dataset.xlsx]Sheet4!PivotTable11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Sheet4!$L$13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Sheet4!$K$14:$K$848</c:f>
              <c:strCache>
                <c:ptCount val="834"/>
                <c:pt idx="0">
                  <c:v>43101</c:v>
                </c:pt>
                <c:pt idx="1">
                  <c:v>43102</c:v>
                </c:pt>
                <c:pt idx="2">
                  <c:v>43103</c:v>
                </c:pt>
                <c:pt idx="3">
                  <c:v>43105</c:v>
                </c:pt>
                <c:pt idx="4">
                  <c:v>43106</c:v>
                </c:pt>
                <c:pt idx="5">
                  <c:v>43110</c:v>
                </c:pt>
                <c:pt idx="6">
                  <c:v>43111</c:v>
                </c:pt>
                <c:pt idx="7">
                  <c:v>43112</c:v>
                </c:pt>
                <c:pt idx="8">
                  <c:v>43113</c:v>
                </c:pt>
                <c:pt idx="9">
                  <c:v>43114</c:v>
                </c:pt>
                <c:pt idx="10">
                  <c:v>43115</c:v>
                </c:pt>
                <c:pt idx="11">
                  <c:v>43116</c:v>
                </c:pt>
                <c:pt idx="12">
                  <c:v>43118</c:v>
                </c:pt>
                <c:pt idx="13">
                  <c:v>43119</c:v>
                </c:pt>
                <c:pt idx="14">
                  <c:v>43120</c:v>
                </c:pt>
                <c:pt idx="15">
                  <c:v>43121</c:v>
                </c:pt>
                <c:pt idx="16">
                  <c:v>43122</c:v>
                </c:pt>
                <c:pt idx="17">
                  <c:v>43124</c:v>
                </c:pt>
                <c:pt idx="18">
                  <c:v>43125</c:v>
                </c:pt>
                <c:pt idx="19">
                  <c:v>43126</c:v>
                </c:pt>
                <c:pt idx="20">
                  <c:v>43127</c:v>
                </c:pt>
                <c:pt idx="21">
                  <c:v>43128</c:v>
                </c:pt>
                <c:pt idx="22">
                  <c:v>43129</c:v>
                </c:pt>
                <c:pt idx="23">
                  <c:v>43130</c:v>
                </c:pt>
                <c:pt idx="24">
                  <c:v>43131</c:v>
                </c:pt>
                <c:pt idx="25">
                  <c:v>43132</c:v>
                </c:pt>
                <c:pt idx="26">
                  <c:v>43138</c:v>
                </c:pt>
                <c:pt idx="27">
                  <c:v>43139</c:v>
                </c:pt>
                <c:pt idx="28">
                  <c:v>43140</c:v>
                </c:pt>
                <c:pt idx="29">
                  <c:v>43141</c:v>
                </c:pt>
                <c:pt idx="30">
                  <c:v>43144</c:v>
                </c:pt>
                <c:pt idx="31">
                  <c:v>43145</c:v>
                </c:pt>
                <c:pt idx="32">
                  <c:v>43146</c:v>
                </c:pt>
                <c:pt idx="33">
                  <c:v>43147</c:v>
                </c:pt>
                <c:pt idx="34">
                  <c:v>43149</c:v>
                </c:pt>
                <c:pt idx="35">
                  <c:v>43150</c:v>
                </c:pt>
                <c:pt idx="36">
                  <c:v>43152</c:v>
                </c:pt>
                <c:pt idx="37">
                  <c:v>43154</c:v>
                </c:pt>
                <c:pt idx="38">
                  <c:v>43156</c:v>
                </c:pt>
                <c:pt idx="39">
                  <c:v>43157</c:v>
                </c:pt>
                <c:pt idx="40">
                  <c:v>43158</c:v>
                </c:pt>
                <c:pt idx="41">
                  <c:v>43159</c:v>
                </c:pt>
                <c:pt idx="42">
                  <c:v>43161</c:v>
                </c:pt>
                <c:pt idx="43">
                  <c:v>43163</c:v>
                </c:pt>
                <c:pt idx="44">
                  <c:v>43164</c:v>
                </c:pt>
                <c:pt idx="45">
                  <c:v>43167</c:v>
                </c:pt>
                <c:pt idx="46">
                  <c:v>43168</c:v>
                </c:pt>
                <c:pt idx="47">
                  <c:v>43172</c:v>
                </c:pt>
                <c:pt idx="48">
                  <c:v>43173</c:v>
                </c:pt>
                <c:pt idx="49">
                  <c:v>43174</c:v>
                </c:pt>
                <c:pt idx="50">
                  <c:v>43177</c:v>
                </c:pt>
                <c:pt idx="51">
                  <c:v>43178</c:v>
                </c:pt>
                <c:pt idx="52">
                  <c:v>43179</c:v>
                </c:pt>
                <c:pt idx="53">
                  <c:v>43180</c:v>
                </c:pt>
                <c:pt idx="54">
                  <c:v>43182</c:v>
                </c:pt>
                <c:pt idx="55">
                  <c:v>43184</c:v>
                </c:pt>
                <c:pt idx="56">
                  <c:v>43185</c:v>
                </c:pt>
                <c:pt idx="57">
                  <c:v>43186</c:v>
                </c:pt>
                <c:pt idx="58">
                  <c:v>43187</c:v>
                </c:pt>
                <c:pt idx="59">
                  <c:v>43188</c:v>
                </c:pt>
                <c:pt idx="60">
                  <c:v>43193</c:v>
                </c:pt>
                <c:pt idx="61">
                  <c:v>43195</c:v>
                </c:pt>
                <c:pt idx="62">
                  <c:v>43196</c:v>
                </c:pt>
                <c:pt idx="63">
                  <c:v>43197</c:v>
                </c:pt>
                <c:pt idx="64">
                  <c:v>43198</c:v>
                </c:pt>
                <c:pt idx="65">
                  <c:v>43199</c:v>
                </c:pt>
                <c:pt idx="66">
                  <c:v>43204</c:v>
                </c:pt>
                <c:pt idx="67">
                  <c:v>43205</c:v>
                </c:pt>
                <c:pt idx="68">
                  <c:v>43206</c:v>
                </c:pt>
                <c:pt idx="69">
                  <c:v>43207</c:v>
                </c:pt>
                <c:pt idx="70">
                  <c:v>43208</c:v>
                </c:pt>
                <c:pt idx="71">
                  <c:v>43209</c:v>
                </c:pt>
                <c:pt idx="72">
                  <c:v>43210</c:v>
                </c:pt>
                <c:pt idx="73">
                  <c:v>43211</c:v>
                </c:pt>
                <c:pt idx="74">
                  <c:v>43212</c:v>
                </c:pt>
                <c:pt idx="75">
                  <c:v>43213</c:v>
                </c:pt>
                <c:pt idx="76">
                  <c:v>43215</c:v>
                </c:pt>
                <c:pt idx="77">
                  <c:v>43216</c:v>
                </c:pt>
                <c:pt idx="78">
                  <c:v>43217</c:v>
                </c:pt>
                <c:pt idx="79">
                  <c:v>43218</c:v>
                </c:pt>
                <c:pt idx="80">
                  <c:v>43219</c:v>
                </c:pt>
                <c:pt idx="81">
                  <c:v>43220</c:v>
                </c:pt>
                <c:pt idx="82">
                  <c:v>43222</c:v>
                </c:pt>
                <c:pt idx="83">
                  <c:v>43224</c:v>
                </c:pt>
                <c:pt idx="84">
                  <c:v>43226</c:v>
                </c:pt>
                <c:pt idx="85">
                  <c:v>43228</c:v>
                </c:pt>
                <c:pt idx="86">
                  <c:v>43230</c:v>
                </c:pt>
                <c:pt idx="87">
                  <c:v>43231</c:v>
                </c:pt>
                <c:pt idx="88">
                  <c:v>43232</c:v>
                </c:pt>
                <c:pt idx="89">
                  <c:v>43233</c:v>
                </c:pt>
                <c:pt idx="90">
                  <c:v>43234</c:v>
                </c:pt>
                <c:pt idx="91">
                  <c:v>43236</c:v>
                </c:pt>
                <c:pt idx="92">
                  <c:v>43237</c:v>
                </c:pt>
                <c:pt idx="93">
                  <c:v>43238</c:v>
                </c:pt>
                <c:pt idx="94">
                  <c:v>43239</c:v>
                </c:pt>
                <c:pt idx="95">
                  <c:v>43240</c:v>
                </c:pt>
                <c:pt idx="96">
                  <c:v>43242</c:v>
                </c:pt>
                <c:pt idx="97">
                  <c:v>43243</c:v>
                </c:pt>
                <c:pt idx="98">
                  <c:v>43244</c:v>
                </c:pt>
                <c:pt idx="99">
                  <c:v>43245</c:v>
                </c:pt>
                <c:pt idx="100">
                  <c:v>43246</c:v>
                </c:pt>
                <c:pt idx="101">
                  <c:v>43248</c:v>
                </c:pt>
                <c:pt idx="102">
                  <c:v>43249</c:v>
                </c:pt>
                <c:pt idx="103">
                  <c:v>43251</c:v>
                </c:pt>
                <c:pt idx="104">
                  <c:v>43252</c:v>
                </c:pt>
                <c:pt idx="105">
                  <c:v>43253</c:v>
                </c:pt>
                <c:pt idx="106">
                  <c:v>43255</c:v>
                </c:pt>
                <c:pt idx="107">
                  <c:v>43256</c:v>
                </c:pt>
                <c:pt idx="108">
                  <c:v>43259</c:v>
                </c:pt>
                <c:pt idx="109">
                  <c:v>43260</c:v>
                </c:pt>
                <c:pt idx="110">
                  <c:v>43261</c:v>
                </c:pt>
                <c:pt idx="111">
                  <c:v>43262</c:v>
                </c:pt>
                <c:pt idx="112">
                  <c:v>43265</c:v>
                </c:pt>
                <c:pt idx="113">
                  <c:v>43266</c:v>
                </c:pt>
                <c:pt idx="114">
                  <c:v>43269</c:v>
                </c:pt>
                <c:pt idx="115">
                  <c:v>43270</c:v>
                </c:pt>
                <c:pt idx="116">
                  <c:v>43271</c:v>
                </c:pt>
                <c:pt idx="117">
                  <c:v>43272</c:v>
                </c:pt>
                <c:pt idx="118">
                  <c:v>43273</c:v>
                </c:pt>
                <c:pt idx="119">
                  <c:v>43275</c:v>
                </c:pt>
                <c:pt idx="120">
                  <c:v>43276</c:v>
                </c:pt>
                <c:pt idx="121">
                  <c:v>43277</c:v>
                </c:pt>
                <c:pt idx="122">
                  <c:v>43279</c:v>
                </c:pt>
                <c:pt idx="123">
                  <c:v>43280</c:v>
                </c:pt>
                <c:pt idx="124">
                  <c:v>43281</c:v>
                </c:pt>
                <c:pt idx="125">
                  <c:v>43283</c:v>
                </c:pt>
                <c:pt idx="126">
                  <c:v>43284</c:v>
                </c:pt>
                <c:pt idx="127">
                  <c:v>43289</c:v>
                </c:pt>
                <c:pt idx="128">
                  <c:v>43290</c:v>
                </c:pt>
                <c:pt idx="129">
                  <c:v>43291</c:v>
                </c:pt>
                <c:pt idx="130">
                  <c:v>43292</c:v>
                </c:pt>
                <c:pt idx="131">
                  <c:v>43293</c:v>
                </c:pt>
                <c:pt idx="132">
                  <c:v>43294</c:v>
                </c:pt>
                <c:pt idx="133">
                  <c:v>43295</c:v>
                </c:pt>
                <c:pt idx="134">
                  <c:v>43296</c:v>
                </c:pt>
                <c:pt idx="135">
                  <c:v>43297</c:v>
                </c:pt>
                <c:pt idx="136">
                  <c:v>43298</c:v>
                </c:pt>
                <c:pt idx="137">
                  <c:v>43301</c:v>
                </c:pt>
                <c:pt idx="138">
                  <c:v>43302</c:v>
                </c:pt>
                <c:pt idx="139">
                  <c:v>43303</c:v>
                </c:pt>
                <c:pt idx="140">
                  <c:v>43304</c:v>
                </c:pt>
                <c:pt idx="141">
                  <c:v>43305</c:v>
                </c:pt>
                <c:pt idx="142">
                  <c:v>43306</c:v>
                </c:pt>
                <c:pt idx="143">
                  <c:v>43307</c:v>
                </c:pt>
                <c:pt idx="144">
                  <c:v>43308</c:v>
                </c:pt>
                <c:pt idx="145">
                  <c:v>43309</c:v>
                </c:pt>
                <c:pt idx="146">
                  <c:v>43311</c:v>
                </c:pt>
                <c:pt idx="147">
                  <c:v>43312</c:v>
                </c:pt>
                <c:pt idx="148">
                  <c:v>43313</c:v>
                </c:pt>
                <c:pt idx="149">
                  <c:v>43314</c:v>
                </c:pt>
                <c:pt idx="150">
                  <c:v>43316</c:v>
                </c:pt>
                <c:pt idx="151">
                  <c:v>43317</c:v>
                </c:pt>
                <c:pt idx="152">
                  <c:v>43319</c:v>
                </c:pt>
                <c:pt idx="153">
                  <c:v>43320</c:v>
                </c:pt>
                <c:pt idx="154">
                  <c:v>43321</c:v>
                </c:pt>
                <c:pt idx="155">
                  <c:v>43322</c:v>
                </c:pt>
                <c:pt idx="156">
                  <c:v>43323</c:v>
                </c:pt>
                <c:pt idx="157">
                  <c:v>43325</c:v>
                </c:pt>
                <c:pt idx="158">
                  <c:v>43326</c:v>
                </c:pt>
                <c:pt idx="159">
                  <c:v>43327</c:v>
                </c:pt>
                <c:pt idx="160">
                  <c:v>43328</c:v>
                </c:pt>
                <c:pt idx="161">
                  <c:v>43329</c:v>
                </c:pt>
                <c:pt idx="162">
                  <c:v>43330</c:v>
                </c:pt>
                <c:pt idx="163">
                  <c:v>43331</c:v>
                </c:pt>
                <c:pt idx="164">
                  <c:v>43333</c:v>
                </c:pt>
                <c:pt idx="165">
                  <c:v>43334</c:v>
                </c:pt>
                <c:pt idx="166">
                  <c:v>43337</c:v>
                </c:pt>
                <c:pt idx="167">
                  <c:v>43338</c:v>
                </c:pt>
                <c:pt idx="168">
                  <c:v>43339</c:v>
                </c:pt>
                <c:pt idx="169">
                  <c:v>43340</c:v>
                </c:pt>
                <c:pt idx="170">
                  <c:v>43342</c:v>
                </c:pt>
                <c:pt idx="171">
                  <c:v>43343</c:v>
                </c:pt>
                <c:pt idx="172">
                  <c:v>43345</c:v>
                </c:pt>
                <c:pt idx="173">
                  <c:v>43346</c:v>
                </c:pt>
                <c:pt idx="174">
                  <c:v>43347</c:v>
                </c:pt>
                <c:pt idx="175">
                  <c:v>43348</c:v>
                </c:pt>
                <c:pt idx="176">
                  <c:v>43349</c:v>
                </c:pt>
                <c:pt idx="177">
                  <c:v>43350</c:v>
                </c:pt>
                <c:pt idx="178">
                  <c:v>43352</c:v>
                </c:pt>
                <c:pt idx="179">
                  <c:v>43353</c:v>
                </c:pt>
                <c:pt idx="180">
                  <c:v>43354</c:v>
                </c:pt>
                <c:pt idx="181">
                  <c:v>43357</c:v>
                </c:pt>
                <c:pt idx="182">
                  <c:v>43358</c:v>
                </c:pt>
                <c:pt idx="183">
                  <c:v>43360</c:v>
                </c:pt>
                <c:pt idx="184">
                  <c:v>43362</c:v>
                </c:pt>
                <c:pt idx="185">
                  <c:v>43363</c:v>
                </c:pt>
                <c:pt idx="186">
                  <c:v>43364</c:v>
                </c:pt>
                <c:pt idx="187">
                  <c:v>43365</c:v>
                </c:pt>
                <c:pt idx="188">
                  <c:v>43366</c:v>
                </c:pt>
                <c:pt idx="189">
                  <c:v>43367</c:v>
                </c:pt>
                <c:pt idx="190">
                  <c:v>43368</c:v>
                </c:pt>
                <c:pt idx="191">
                  <c:v>43369</c:v>
                </c:pt>
                <c:pt idx="192">
                  <c:v>43371</c:v>
                </c:pt>
                <c:pt idx="193">
                  <c:v>43372</c:v>
                </c:pt>
                <c:pt idx="194">
                  <c:v>43377</c:v>
                </c:pt>
                <c:pt idx="195">
                  <c:v>43379</c:v>
                </c:pt>
                <c:pt idx="196">
                  <c:v>43380</c:v>
                </c:pt>
                <c:pt idx="197">
                  <c:v>43381</c:v>
                </c:pt>
                <c:pt idx="198">
                  <c:v>43382</c:v>
                </c:pt>
                <c:pt idx="199">
                  <c:v>43385</c:v>
                </c:pt>
                <c:pt idx="200">
                  <c:v>43386</c:v>
                </c:pt>
                <c:pt idx="201">
                  <c:v>43387</c:v>
                </c:pt>
                <c:pt idx="202">
                  <c:v>43389</c:v>
                </c:pt>
                <c:pt idx="203">
                  <c:v>43390</c:v>
                </c:pt>
                <c:pt idx="204">
                  <c:v>43392</c:v>
                </c:pt>
                <c:pt idx="205">
                  <c:v>43393</c:v>
                </c:pt>
                <c:pt idx="206">
                  <c:v>43394</c:v>
                </c:pt>
                <c:pt idx="207">
                  <c:v>43395</c:v>
                </c:pt>
                <c:pt idx="208">
                  <c:v>43396</c:v>
                </c:pt>
                <c:pt idx="209">
                  <c:v>43400</c:v>
                </c:pt>
                <c:pt idx="210">
                  <c:v>43402</c:v>
                </c:pt>
                <c:pt idx="211">
                  <c:v>43403</c:v>
                </c:pt>
                <c:pt idx="212">
                  <c:v>43406</c:v>
                </c:pt>
                <c:pt idx="213">
                  <c:v>43407</c:v>
                </c:pt>
                <c:pt idx="214">
                  <c:v>43408</c:v>
                </c:pt>
                <c:pt idx="215">
                  <c:v>43409</c:v>
                </c:pt>
                <c:pt idx="216">
                  <c:v>43410</c:v>
                </c:pt>
                <c:pt idx="217">
                  <c:v>43411</c:v>
                </c:pt>
                <c:pt idx="218">
                  <c:v>43412</c:v>
                </c:pt>
                <c:pt idx="219">
                  <c:v>43413</c:v>
                </c:pt>
                <c:pt idx="220">
                  <c:v>43414</c:v>
                </c:pt>
                <c:pt idx="221">
                  <c:v>43415</c:v>
                </c:pt>
                <c:pt idx="222">
                  <c:v>43416</c:v>
                </c:pt>
                <c:pt idx="223">
                  <c:v>43417</c:v>
                </c:pt>
                <c:pt idx="224">
                  <c:v>43418</c:v>
                </c:pt>
                <c:pt idx="225">
                  <c:v>43419</c:v>
                </c:pt>
                <c:pt idx="226">
                  <c:v>43420</c:v>
                </c:pt>
                <c:pt idx="227">
                  <c:v>43421</c:v>
                </c:pt>
                <c:pt idx="228">
                  <c:v>43422</c:v>
                </c:pt>
                <c:pt idx="229">
                  <c:v>43424</c:v>
                </c:pt>
                <c:pt idx="230">
                  <c:v>43425</c:v>
                </c:pt>
                <c:pt idx="231">
                  <c:v>43426</c:v>
                </c:pt>
                <c:pt idx="232">
                  <c:v>43427</c:v>
                </c:pt>
                <c:pt idx="233">
                  <c:v>43428</c:v>
                </c:pt>
                <c:pt idx="234">
                  <c:v>43429</c:v>
                </c:pt>
                <c:pt idx="235">
                  <c:v>43430</c:v>
                </c:pt>
                <c:pt idx="236">
                  <c:v>43431</c:v>
                </c:pt>
                <c:pt idx="237">
                  <c:v>43433</c:v>
                </c:pt>
                <c:pt idx="238">
                  <c:v>43434</c:v>
                </c:pt>
                <c:pt idx="239">
                  <c:v>43436</c:v>
                </c:pt>
                <c:pt idx="240">
                  <c:v>43437</c:v>
                </c:pt>
                <c:pt idx="241">
                  <c:v>43438</c:v>
                </c:pt>
                <c:pt idx="242">
                  <c:v>43439</c:v>
                </c:pt>
                <c:pt idx="243">
                  <c:v>43440</c:v>
                </c:pt>
                <c:pt idx="244">
                  <c:v>43442</c:v>
                </c:pt>
                <c:pt idx="245">
                  <c:v>43443</c:v>
                </c:pt>
                <c:pt idx="246">
                  <c:v>43444</c:v>
                </c:pt>
                <c:pt idx="247">
                  <c:v>43445</c:v>
                </c:pt>
                <c:pt idx="248">
                  <c:v>43447</c:v>
                </c:pt>
                <c:pt idx="249">
                  <c:v>43448</c:v>
                </c:pt>
                <c:pt idx="250">
                  <c:v>43449</c:v>
                </c:pt>
                <c:pt idx="251">
                  <c:v>43450</c:v>
                </c:pt>
                <c:pt idx="252">
                  <c:v>43453</c:v>
                </c:pt>
                <c:pt idx="253">
                  <c:v>43455</c:v>
                </c:pt>
                <c:pt idx="254">
                  <c:v>43456</c:v>
                </c:pt>
                <c:pt idx="255">
                  <c:v>43457</c:v>
                </c:pt>
                <c:pt idx="256">
                  <c:v>43458</c:v>
                </c:pt>
                <c:pt idx="257">
                  <c:v>43459</c:v>
                </c:pt>
                <c:pt idx="258">
                  <c:v>43460</c:v>
                </c:pt>
                <c:pt idx="259">
                  <c:v>43461</c:v>
                </c:pt>
                <c:pt idx="260">
                  <c:v>43462</c:v>
                </c:pt>
                <c:pt idx="261">
                  <c:v>43463</c:v>
                </c:pt>
                <c:pt idx="262">
                  <c:v>43464</c:v>
                </c:pt>
                <c:pt idx="263">
                  <c:v>43465</c:v>
                </c:pt>
                <c:pt idx="264">
                  <c:v>43467</c:v>
                </c:pt>
                <c:pt idx="265">
                  <c:v>43469</c:v>
                </c:pt>
                <c:pt idx="266">
                  <c:v>43471</c:v>
                </c:pt>
                <c:pt idx="267">
                  <c:v>43472</c:v>
                </c:pt>
                <c:pt idx="268">
                  <c:v>43473</c:v>
                </c:pt>
                <c:pt idx="269">
                  <c:v>43474</c:v>
                </c:pt>
                <c:pt idx="270">
                  <c:v>43476</c:v>
                </c:pt>
                <c:pt idx="271">
                  <c:v>43477</c:v>
                </c:pt>
                <c:pt idx="272">
                  <c:v>43479</c:v>
                </c:pt>
                <c:pt idx="273">
                  <c:v>43480</c:v>
                </c:pt>
                <c:pt idx="274">
                  <c:v>43481</c:v>
                </c:pt>
                <c:pt idx="275">
                  <c:v>43483</c:v>
                </c:pt>
                <c:pt idx="276">
                  <c:v>43486</c:v>
                </c:pt>
                <c:pt idx="277">
                  <c:v>43487</c:v>
                </c:pt>
                <c:pt idx="278">
                  <c:v>43488</c:v>
                </c:pt>
                <c:pt idx="279">
                  <c:v>43489</c:v>
                </c:pt>
                <c:pt idx="280">
                  <c:v>43490</c:v>
                </c:pt>
                <c:pt idx="281">
                  <c:v>43491</c:v>
                </c:pt>
                <c:pt idx="282">
                  <c:v>43493</c:v>
                </c:pt>
                <c:pt idx="283">
                  <c:v>43495</c:v>
                </c:pt>
                <c:pt idx="284">
                  <c:v>43496</c:v>
                </c:pt>
                <c:pt idx="285">
                  <c:v>43497</c:v>
                </c:pt>
                <c:pt idx="286">
                  <c:v>43498</c:v>
                </c:pt>
                <c:pt idx="287">
                  <c:v>43499</c:v>
                </c:pt>
                <c:pt idx="288">
                  <c:v>43501</c:v>
                </c:pt>
                <c:pt idx="289">
                  <c:v>43502</c:v>
                </c:pt>
                <c:pt idx="290">
                  <c:v>43503</c:v>
                </c:pt>
                <c:pt idx="291">
                  <c:v>43504</c:v>
                </c:pt>
                <c:pt idx="292">
                  <c:v>43505</c:v>
                </c:pt>
                <c:pt idx="293">
                  <c:v>43507</c:v>
                </c:pt>
                <c:pt idx="294">
                  <c:v>43508</c:v>
                </c:pt>
                <c:pt idx="295">
                  <c:v>43509</c:v>
                </c:pt>
                <c:pt idx="296">
                  <c:v>43510</c:v>
                </c:pt>
                <c:pt idx="297">
                  <c:v>43512</c:v>
                </c:pt>
                <c:pt idx="298">
                  <c:v>43513</c:v>
                </c:pt>
                <c:pt idx="299">
                  <c:v>43516</c:v>
                </c:pt>
                <c:pt idx="300">
                  <c:v>43517</c:v>
                </c:pt>
                <c:pt idx="301">
                  <c:v>43518</c:v>
                </c:pt>
                <c:pt idx="302">
                  <c:v>43523</c:v>
                </c:pt>
                <c:pt idx="303">
                  <c:v>43524</c:v>
                </c:pt>
                <c:pt idx="304">
                  <c:v>43526</c:v>
                </c:pt>
                <c:pt idx="305">
                  <c:v>43527</c:v>
                </c:pt>
                <c:pt idx="306">
                  <c:v>43528</c:v>
                </c:pt>
                <c:pt idx="307">
                  <c:v>43529</c:v>
                </c:pt>
                <c:pt idx="308">
                  <c:v>43530</c:v>
                </c:pt>
                <c:pt idx="309">
                  <c:v>43533</c:v>
                </c:pt>
                <c:pt idx="310">
                  <c:v>43534</c:v>
                </c:pt>
                <c:pt idx="311">
                  <c:v>43535</c:v>
                </c:pt>
                <c:pt idx="312">
                  <c:v>43537</c:v>
                </c:pt>
                <c:pt idx="313">
                  <c:v>43538</c:v>
                </c:pt>
                <c:pt idx="314">
                  <c:v>43539</c:v>
                </c:pt>
                <c:pt idx="315">
                  <c:v>43540</c:v>
                </c:pt>
                <c:pt idx="316">
                  <c:v>43541</c:v>
                </c:pt>
                <c:pt idx="317">
                  <c:v>43542</c:v>
                </c:pt>
                <c:pt idx="318">
                  <c:v>43543</c:v>
                </c:pt>
                <c:pt idx="319">
                  <c:v>43545</c:v>
                </c:pt>
                <c:pt idx="320">
                  <c:v>43546</c:v>
                </c:pt>
                <c:pt idx="321">
                  <c:v>43547</c:v>
                </c:pt>
                <c:pt idx="322">
                  <c:v>43549</c:v>
                </c:pt>
                <c:pt idx="323">
                  <c:v>43550</c:v>
                </c:pt>
                <c:pt idx="324">
                  <c:v>43553</c:v>
                </c:pt>
                <c:pt idx="325">
                  <c:v>43554</c:v>
                </c:pt>
                <c:pt idx="326">
                  <c:v>43555</c:v>
                </c:pt>
                <c:pt idx="327">
                  <c:v>43556</c:v>
                </c:pt>
                <c:pt idx="328">
                  <c:v>43557</c:v>
                </c:pt>
                <c:pt idx="329">
                  <c:v>43558</c:v>
                </c:pt>
                <c:pt idx="330">
                  <c:v>43559</c:v>
                </c:pt>
                <c:pt idx="331">
                  <c:v>43560</c:v>
                </c:pt>
                <c:pt idx="332">
                  <c:v>43563</c:v>
                </c:pt>
                <c:pt idx="333">
                  <c:v>43564</c:v>
                </c:pt>
                <c:pt idx="334">
                  <c:v>43565</c:v>
                </c:pt>
                <c:pt idx="335">
                  <c:v>43566</c:v>
                </c:pt>
                <c:pt idx="336">
                  <c:v>43567</c:v>
                </c:pt>
                <c:pt idx="337">
                  <c:v>43568</c:v>
                </c:pt>
                <c:pt idx="338">
                  <c:v>43570</c:v>
                </c:pt>
                <c:pt idx="339">
                  <c:v>43571</c:v>
                </c:pt>
                <c:pt idx="340">
                  <c:v>43572</c:v>
                </c:pt>
                <c:pt idx="341">
                  <c:v>43573</c:v>
                </c:pt>
                <c:pt idx="342">
                  <c:v>43574</c:v>
                </c:pt>
                <c:pt idx="343">
                  <c:v>43576</c:v>
                </c:pt>
                <c:pt idx="344">
                  <c:v>43577</c:v>
                </c:pt>
                <c:pt idx="345">
                  <c:v>43578</c:v>
                </c:pt>
                <c:pt idx="346">
                  <c:v>43579</c:v>
                </c:pt>
                <c:pt idx="347">
                  <c:v>43580</c:v>
                </c:pt>
                <c:pt idx="348">
                  <c:v>43581</c:v>
                </c:pt>
                <c:pt idx="349">
                  <c:v>43582</c:v>
                </c:pt>
                <c:pt idx="350">
                  <c:v>43583</c:v>
                </c:pt>
                <c:pt idx="351">
                  <c:v>43584</c:v>
                </c:pt>
                <c:pt idx="352">
                  <c:v>43585</c:v>
                </c:pt>
                <c:pt idx="353">
                  <c:v>43588</c:v>
                </c:pt>
                <c:pt idx="354">
                  <c:v>43589</c:v>
                </c:pt>
                <c:pt idx="355">
                  <c:v>43590</c:v>
                </c:pt>
                <c:pt idx="356">
                  <c:v>43591</c:v>
                </c:pt>
                <c:pt idx="357">
                  <c:v>43592</c:v>
                </c:pt>
                <c:pt idx="358">
                  <c:v>43593</c:v>
                </c:pt>
                <c:pt idx="359">
                  <c:v>43594</c:v>
                </c:pt>
                <c:pt idx="360">
                  <c:v>43595</c:v>
                </c:pt>
                <c:pt idx="361">
                  <c:v>43596</c:v>
                </c:pt>
                <c:pt idx="362">
                  <c:v>43597</c:v>
                </c:pt>
                <c:pt idx="363">
                  <c:v>43598</c:v>
                </c:pt>
                <c:pt idx="364">
                  <c:v>43599</c:v>
                </c:pt>
                <c:pt idx="365">
                  <c:v>43600</c:v>
                </c:pt>
                <c:pt idx="366">
                  <c:v>43602</c:v>
                </c:pt>
                <c:pt idx="367">
                  <c:v>43603</c:v>
                </c:pt>
                <c:pt idx="368">
                  <c:v>43604</c:v>
                </c:pt>
                <c:pt idx="369">
                  <c:v>43605</c:v>
                </c:pt>
                <c:pt idx="370">
                  <c:v>43606</c:v>
                </c:pt>
                <c:pt idx="371">
                  <c:v>43608</c:v>
                </c:pt>
                <c:pt idx="372">
                  <c:v>43609</c:v>
                </c:pt>
                <c:pt idx="373">
                  <c:v>43610</c:v>
                </c:pt>
                <c:pt idx="374">
                  <c:v>43611</c:v>
                </c:pt>
                <c:pt idx="375">
                  <c:v>43612</c:v>
                </c:pt>
                <c:pt idx="376">
                  <c:v>43613</c:v>
                </c:pt>
                <c:pt idx="377">
                  <c:v>43614</c:v>
                </c:pt>
                <c:pt idx="378">
                  <c:v>43616</c:v>
                </c:pt>
                <c:pt idx="379">
                  <c:v>43618</c:v>
                </c:pt>
                <c:pt idx="380">
                  <c:v>43619</c:v>
                </c:pt>
                <c:pt idx="381">
                  <c:v>43620</c:v>
                </c:pt>
                <c:pt idx="382">
                  <c:v>43621</c:v>
                </c:pt>
                <c:pt idx="383">
                  <c:v>43622</c:v>
                </c:pt>
                <c:pt idx="384">
                  <c:v>43623</c:v>
                </c:pt>
                <c:pt idx="385">
                  <c:v>43624</c:v>
                </c:pt>
                <c:pt idx="386">
                  <c:v>43625</c:v>
                </c:pt>
                <c:pt idx="387">
                  <c:v>43627</c:v>
                </c:pt>
                <c:pt idx="388">
                  <c:v>43628</c:v>
                </c:pt>
                <c:pt idx="389">
                  <c:v>43629</c:v>
                </c:pt>
                <c:pt idx="390">
                  <c:v>43630</c:v>
                </c:pt>
                <c:pt idx="391">
                  <c:v>43631</c:v>
                </c:pt>
                <c:pt idx="392">
                  <c:v>43633</c:v>
                </c:pt>
                <c:pt idx="393">
                  <c:v>43634</c:v>
                </c:pt>
                <c:pt idx="394">
                  <c:v>43635</c:v>
                </c:pt>
                <c:pt idx="395">
                  <c:v>43636</c:v>
                </c:pt>
                <c:pt idx="396">
                  <c:v>43638</c:v>
                </c:pt>
                <c:pt idx="397">
                  <c:v>43642</c:v>
                </c:pt>
                <c:pt idx="398">
                  <c:v>43643</c:v>
                </c:pt>
                <c:pt idx="399">
                  <c:v>43646</c:v>
                </c:pt>
                <c:pt idx="400">
                  <c:v>43647</c:v>
                </c:pt>
                <c:pt idx="401">
                  <c:v>43648</c:v>
                </c:pt>
                <c:pt idx="402">
                  <c:v>43649</c:v>
                </c:pt>
                <c:pt idx="403">
                  <c:v>43650</c:v>
                </c:pt>
                <c:pt idx="404">
                  <c:v>43653</c:v>
                </c:pt>
                <c:pt idx="405">
                  <c:v>43654</c:v>
                </c:pt>
                <c:pt idx="406">
                  <c:v>43657</c:v>
                </c:pt>
                <c:pt idx="407">
                  <c:v>43658</c:v>
                </c:pt>
                <c:pt idx="408">
                  <c:v>43659</c:v>
                </c:pt>
                <c:pt idx="409">
                  <c:v>43660</c:v>
                </c:pt>
                <c:pt idx="410">
                  <c:v>43661</c:v>
                </c:pt>
                <c:pt idx="411">
                  <c:v>43662</c:v>
                </c:pt>
                <c:pt idx="412">
                  <c:v>43663</c:v>
                </c:pt>
                <c:pt idx="413">
                  <c:v>43665</c:v>
                </c:pt>
                <c:pt idx="414">
                  <c:v>43666</c:v>
                </c:pt>
                <c:pt idx="415">
                  <c:v>43667</c:v>
                </c:pt>
                <c:pt idx="416">
                  <c:v>43668</c:v>
                </c:pt>
                <c:pt idx="417">
                  <c:v>43669</c:v>
                </c:pt>
                <c:pt idx="418">
                  <c:v>43670</c:v>
                </c:pt>
                <c:pt idx="419">
                  <c:v>43671</c:v>
                </c:pt>
                <c:pt idx="420">
                  <c:v>43672</c:v>
                </c:pt>
                <c:pt idx="421">
                  <c:v>43673</c:v>
                </c:pt>
                <c:pt idx="422">
                  <c:v>43674</c:v>
                </c:pt>
                <c:pt idx="423">
                  <c:v>43675</c:v>
                </c:pt>
                <c:pt idx="424">
                  <c:v>43676</c:v>
                </c:pt>
                <c:pt idx="425">
                  <c:v>43677</c:v>
                </c:pt>
                <c:pt idx="426">
                  <c:v>43678</c:v>
                </c:pt>
                <c:pt idx="427">
                  <c:v>43682</c:v>
                </c:pt>
                <c:pt idx="428">
                  <c:v>43683</c:v>
                </c:pt>
                <c:pt idx="429">
                  <c:v>43685</c:v>
                </c:pt>
                <c:pt idx="430">
                  <c:v>43686</c:v>
                </c:pt>
                <c:pt idx="431">
                  <c:v>43688</c:v>
                </c:pt>
                <c:pt idx="432">
                  <c:v>43689</c:v>
                </c:pt>
                <c:pt idx="433">
                  <c:v>43691</c:v>
                </c:pt>
                <c:pt idx="434">
                  <c:v>43692</c:v>
                </c:pt>
                <c:pt idx="435">
                  <c:v>43693</c:v>
                </c:pt>
                <c:pt idx="436">
                  <c:v>43696</c:v>
                </c:pt>
                <c:pt idx="437">
                  <c:v>43697</c:v>
                </c:pt>
                <c:pt idx="438">
                  <c:v>43698</c:v>
                </c:pt>
                <c:pt idx="439">
                  <c:v>43699</c:v>
                </c:pt>
                <c:pt idx="440">
                  <c:v>43700</c:v>
                </c:pt>
                <c:pt idx="441">
                  <c:v>43701</c:v>
                </c:pt>
                <c:pt idx="442">
                  <c:v>43702</c:v>
                </c:pt>
                <c:pt idx="443">
                  <c:v>43705</c:v>
                </c:pt>
                <c:pt idx="444">
                  <c:v>43706</c:v>
                </c:pt>
                <c:pt idx="445">
                  <c:v>43707</c:v>
                </c:pt>
                <c:pt idx="446">
                  <c:v>43708</c:v>
                </c:pt>
                <c:pt idx="447">
                  <c:v>43710</c:v>
                </c:pt>
                <c:pt idx="448">
                  <c:v>43712</c:v>
                </c:pt>
                <c:pt idx="449">
                  <c:v>43713</c:v>
                </c:pt>
                <c:pt idx="450">
                  <c:v>43715</c:v>
                </c:pt>
                <c:pt idx="451">
                  <c:v>43716</c:v>
                </c:pt>
                <c:pt idx="452">
                  <c:v>43717</c:v>
                </c:pt>
                <c:pt idx="453">
                  <c:v>43718</c:v>
                </c:pt>
                <c:pt idx="454">
                  <c:v>43719</c:v>
                </c:pt>
                <c:pt idx="455">
                  <c:v>43720</c:v>
                </c:pt>
                <c:pt idx="456">
                  <c:v>43721</c:v>
                </c:pt>
                <c:pt idx="457">
                  <c:v>43722</c:v>
                </c:pt>
                <c:pt idx="458">
                  <c:v>43723</c:v>
                </c:pt>
                <c:pt idx="459">
                  <c:v>43724</c:v>
                </c:pt>
                <c:pt idx="460">
                  <c:v>43725</c:v>
                </c:pt>
                <c:pt idx="461">
                  <c:v>43726</c:v>
                </c:pt>
                <c:pt idx="462">
                  <c:v>43727</c:v>
                </c:pt>
                <c:pt idx="463">
                  <c:v>43728</c:v>
                </c:pt>
                <c:pt idx="464">
                  <c:v>43729</c:v>
                </c:pt>
                <c:pt idx="465">
                  <c:v>43731</c:v>
                </c:pt>
                <c:pt idx="466">
                  <c:v>43732</c:v>
                </c:pt>
                <c:pt idx="467">
                  <c:v>43734</c:v>
                </c:pt>
                <c:pt idx="468">
                  <c:v>43735</c:v>
                </c:pt>
                <c:pt idx="469">
                  <c:v>43737</c:v>
                </c:pt>
                <c:pt idx="470">
                  <c:v>43738</c:v>
                </c:pt>
                <c:pt idx="471">
                  <c:v>43739</c:v>
                </c:pt>
                <c:pt idx="472">
                  <c:v>43740</c:v>
                </c:pt>
                <c:pt idx="473">
                  <c:v>43741</c:v>
                </c:pt>
                <c:pt idx="474">
                  <c:v>43744</c:v>
                </c:pt>
                <c:pt idx="475">
                  <c:v>43746</c:v>
                </c:pt>
                <c:pt idx="476">
                  <c:v>43747</c:v>
                </c:pt>
                <c:pt idx="477">
                  <c:v>43748</c:v>
                </c:pt>
                <c:pt idx="478">
                  <c:v>43749</c:v>
                </c:pt>
                <c:pt idx="479">
                  <c:v>43750</c:v>
                </c:pt>
                <c:pt idx="480">
                  <c:v>43752</c:v>
                </c:pt>
                <c:pt idx="481">
                  <c:v>43753</c:v>
                </c:pt>
                <c:pt idx="482">
                  <c:v>43755</c:v>
                </c:pt>
                <c:pt idx="483">
                  <c:v>43756</c:v>
                </c:pt>
                <c:pt idx="484">
                  <c:v>43759</c:v>
                </c:pt>
                <c:pt idx="485">
                  <c:v>43761</c:v>
                </c:pt>
                <c:pt idx="486">
                  <c:v>43763</c:v>
                </c:pt>
                <c:pt idx="487">
                  <c:v>43764</c:v>
                </c:pt>
                <c:pt idx="488">
                  <c:v>43765</c:v>
                </c:pt>
                <c:pt idx="489">
                  <c:v>43766</c:v>
                </c:pt>
                <c:pt idx="490">
                  <c:v>43767</c:v>
                </c:pt>
                <c:pt idx="491">
                  <c:v>43768</c:v>
                </c:pt>
                <c:pt idx="492">
                  <c:v>43770</c:v>
                </c:pt>
                <c:pt idx="493">
                  <c:v>43773</c:v>
                </c:pt>
                <c:pt idx="494">
                  <c:v>43774</c:v>
                </c:pt>
                <c:pt idx="495">
                  <c:v>43775</c:v>
                </c:pt>
                <c:pt idx="496">
                  <c:v>43776</c:v>
                </c:pt>
                <c:pt idx="497">
                  <c:v>43779</c:v>
                </c:pt>
                <c:pt idx="498">
                  <c:v>43780</c:v>
                </c:pt>
                <c:pt idx="499">
                  <c:v>43781</c:v>
                </c:pt>
                <c:pt idx="500">
                  <c:v>43782</c:v>
                </c:pt>
                <c:pt idx="501">
                  <c:v>43785</c:v>
                </c:pt>
                <c:pt idx="502">
                  <c:v>43786</c:v>
                </c:pt>
                <c:pt idx="503">
                  <c:v>43788</c:v>
                </c:pt>
                <c:pt idx="504">
                  <c:v>43790</c:v>
                </c:pt>
                <c:pt idx="505">
                  <c:v>43791</c:v>
                </c:pt>
                <c:pt idx="506">
                  <c:v>43793</c:v>
                </c:pt>
                <c:pt idx="507">
                  <c:v>43794</c:v>
                </c:pt>
                <c:pt idx="508">
                  <c:v>43797</c:v>
                </c:pt>
                <c:pt idx="509">
                  <c:v>43798</c:v>
                </c:pt>
                <c:pt idx="510">
                  <c:v>43799</c:v>
                </c:pt>
                <c:pt idx="511">
                  <c:v>43800</c:v>
                </c:pt>
                <c:pt idx="512">
                  <c:v>43802</c:v>
                </c:pt>
                <c:pt idx="513">
                  <c:v>43804</c:v>
                </c:pt>
                <c:pt idx="514">
                  <c:v>43805</c:v>
                </c:pt>
                <c:pt idx="515">
                  <c:v>43808</c:v>
                </c:pt>
                <c:pt idx="516">
                  <c:v>43809</c:v>
                </c:pt>
                <c:pt idx="517">
                  <c:v>43810</c:v>
                </c:pt>
                <c:pt idx="518">
                  <c:v>43814</c:v>
                </c:pt>
                <c:pt idx="519">
                  <c:v>43815</c:v>
                </c:pt>
                <c:pt idx="520">
                  <c:v>43816</c:v>
                </c:pt>
                <c:pt idx="521">
                  <c:v>43817</c:v>
                </c:pt>
                <c:pt idx="522">
                  <c:v>43818</c:v>
                </c:pt>
                <c:pt idx="523">
                  <c:v>43819</c:v>
                </c:pt>
                <c:pt idx="524">
                  <c:v>43820</c:v>
                </c:pt>
                <c:pt idx="525">
                  <c:v>43821</c:v>
                </c:pt>
                <c:pt idx="526">
                  <c:v>43822</c:v>
                </c:pt>
                <c:pt idx="527">
                  <c:v>43824</c:v>
                </c:pt>
                <c:pt idx="528">
                  <c:v>43825</c:v>
                </c:pt>
                <c:pt idx="529">
                  <c:v>43826</c:v>
                </c:pt>
                <c:pt idx="530">
                  <c:v>43827</c:v>
                </c:pt>
                <c:pt idx="531">
                  <c:v>43829</c:v>
                </c:pt>
                <c:pt idx="532">
                  <c:v>43830</c:v>
                </c:pt>
                <c:pt idx="533">
                  <c:v>43831</c:v>
                </c:pt>
                <c:pt idx="534">
                  <c:v>43832</c:v>
                </c:pt>
                <c:pt idx="535">
                  <c:v>43835</c:v>
                </c:pt>
                <c:pt idx="536">
                  <c:v>43837</c:v>
                </c:pt>
                <c:pt idx="537">
                  <c:v>43838</c:v>
                </c:pt>
                <c:pt idx="538">
                  <c:v>43839</c:v>
                </c:pt>
                <c:pt idx="539">
                  <c:v>43840</c:v>
                </c:pt>
                <c:pt idx="540">
                  <c:v>43843</c:v>
                </c:pt>
                <c:pt idx="541">
                  <c:v>43844</c:v>
                </c:pt>
                <c:pt idx="542">
                  <c:v>43845</c:v>
                </c:pt>
                <c:pt idx="543">
                  <c:v>43846</c:v>
                </c:pt>
                <c:pt idx="544">
                  <c:v>43848</c:v>
                </c:pt>
                <c:pt idx="545">
                  <c:v>43849</c:v>
                </c:pt>
                <c:pt idx="546">
                  <c:v>43851</c:v>
                </c:pt>
                <c:pt idx="547">
                  <c:v>43852</c:v>
                </c:pt>
                <c:pt idx="548">
                  <c:v>43853</c:v>
                </c:pt>
                <c:pt idx="549">
                  <c:v>43854</c:v>
                </c:pt>
                <c:pt idx="550">
                  <c:v>43855</c:v>
                </c:pt>
                <c:pt idx="551">
                  <c:v>43856</c:v>
                </c:pt>
                <c:pt idx="552">
                  <c:v>43857</c:v>
                </c:pt>
                <c:pt idx="553">
                  <c:v>43858</c:v>
                </c:pt>
                <c:pt idx="554">
                  <c:v>43859</c:v>
                </c:pt>
                <c:pt idx="555">
                  <c:v>43861</c:v>
                </c:pt>
                <c:pt idx="556">
                  <c:v>43862</c:v>
                </c:pt>
                <c:pt idx="557">
                  <c:v>43863</c:v>
                </c:pt>
                <c:pt idx="558">
                  <c:v>43864</c:v>
                </c:pt>
                <c:pt idx="559">
                  <c:v>43865</c:v>
                </c:pt>
                <c:pt idx="560">
                  <c:v>43866</c:v>
                </c:pt>
                <c:pt idx="561">
                  <c:v>43867</c:v>
                </c:pt>
                <c:pt idx="562">
                  <c:v>43868</c:v>
                </c:pt>
                <c:pt idx="563">
                  <c:v>43869</c:v>
                </c:pt>
                <c:pt idx="564">
                  <c:v>43870</c:v>
                </c:pt>
                <c:pt idx="565">
                  <c:v>43871</c:v>
                </c:pt>
                <c:pt idx="566">
                  <c:v>43872</c:v>
                </c:pt>
                <c:pt idx="567">
                  <c:v>43874</c:v>
                </c:pt>
                <c:pt idx="568">
                  <c:v>43877</c:v>
                </c:pt>
                <c:pt idx="569">
                  <c:v>43878</c:v>
                </c:pt>
                <c:pt idx="570">
                  <c:v>43881</c:v>
                </c:pt>
                <c:pt idx="571">
                  <c:v>43883</c:v>
                </c:pt>
                <c:pt idx="572">
                  <c:v>43885</c:v>
                </c:pt>
                <c:pt idx="573">
                  <c:v>43886</c:v>
                </c:pt>
                <c:pt idx="574">
                  <c:v>43888</c:v>
                </c:pt>
                <c:pt idx="575">
                  <c:v>43889</c:v>
                </c:pt>
                <c:pt idx="576">
                  <c:v>43890</c:v>
                </c:pt>
                <c:pt idx="577">
                  <c:v>43891</c:v>
                </c:pt>
                <c:pt idx="578">
                  <c:v>43892</c:v>
                </c:pt>
                <c:pt idx="579">
                  <c:v>43894</c:v>
                </c:pt>
                <c:pt idx="580">
                  <c:v>43895</c:v>
                </c:pt>
                <c:pt idx="581">
                  <c:v>43896</c:v>
                </c:pt>
                <c:pt idx="582">
                  <c:v>43897</c:v>
                </c:pt>
                <c:pt idx="583">
                  <c:v>43898</c:v>
                </c:pt>
                <c:pt idx="584">
                  <c:v>43899</c:v>
                </c:pt>
                <c:pt idx="585">
                  <c:v>43900</c:v>
                </c:pt>
                <c:pt idx="586">
                  <c:v>43901</c:v>
                </c:pt>
                <c:pt idx="587">
                  <c:v>43902</c:v>
                </c:pt>
                <c:pt idx="588">
                  <c:v>43905</c:v>
                </c:pt>
                <c:pt idx="589">
                  <c:v>43907</c:v>
                </c:pt>
                <c:pt idx="590">
                  <c:v>43908</c:v>
                </c:pt>
                <c:pt idx="591">
                  <c:v>43909</c:v>
                </c:pt>
                <c:pt idx="592">
                  <c:v>43910</c:v>
                </c:pt>
                <c:pt idx="593">
                  <c:v>43911</c:v>
                </c:pt>
                <c:pt idx="594">
                  <c:v>43913</c:v>
                </c:pt>
                <c:pt idx="595">
                  <c:v>43914</c:v>
                </c:pt>
                <c:pt idx="596">
                  <c:v>43915</c:v>
                </c:pt>
                <c:pt idx="597">
                  <c:v>43916</c:v>
                </c:pt>
                <c:pt idx="598">
                  <c:v>43918</c:v>
                </c:pt>
                <c:pt idx="599">
                  <c:v>43921</c:v>
                </c:pt>
                <c:pt idx="600">
                  <c:v>43922</c:v>
                </c:pt>
                <c:pt idx="601">
                  <c:v>43923</c:v>
                </c:pt>
                <c:pt idx="602">
                  <c:v>43924</c:v>
                </c:pt>
                <c:pt idx="603">
                  <c:v>43925</c:v>
                </c:pt>
                <c:pt idx="604">
                  <c:v>43926</c:v>
                </c:pt>
                <c:pt idx="605">
                  <c:v>43928</c:v>
                </c:pt>
                <c:pt idx="606">
                  <c:v>43930</c:v>
                </c:pt>
                <c:pt idx="607">
                  <c:v>43932</c:v>
                </c:pt>
                <c:pt idx="608">
                  <c:v>43933</c:v>
                </c:pt>
                <c:pt idx="609">
                  <c:v>43934</c:v>
                </c:pt>
                <c:pt idx="610">
                  <c:v>43935</c:v>
                </c:pt>
                <c:pt idx="611">
                  <c:v>43936</c:v>
                </c:pt>
                <c:pt idx="612">
                  <c:v>43937</c:v>
                </c:pt>
                <c:pt idx="613">
                  <c:v>43938</c:v>
                </c:pt>
                <c:pt idx="614">
                  <c:v>43939</c:v>
                </c:pt>
                <c:pt idx="615">
                  <c:v>43940</c:v>
                </c:pt>
                <c:pt idx="616">
                  <c:v>43941</c:v>
                </c:pt>
                <c:pt idx="617">
                  <c:v>43942</c:v>
                </c:pt>
                <c:pt idx="618">
                  <c:v>43943</c:v>
                </c:pt>
                <c:pt idx="619">
                  <c:v>43944</c:v>
                </c:pt>
                <c:pt idx="620">
                  <c:v>43945</c:v>
                </c:pt>
                <c:pt idx="621">
                  <c:v>43946</c:v>
                </c:pt>
                <c:pt idx="622">
                  <c:v>43947</c:v>
                </c:pt>
                <c:pt idx="623">
                  <c:v>43948</c:v>
                </c:pt>
                <c:pt idx="624">
                  <c:v>43949</c:v>
                </c:pt>
                <c:pt idx="625">
                  <c:v>43950</c:v>
                </c:pt>
                <c:pt idx="626">
                  <c:v>43951</c:v>
                </c:pt>
                <c:pt idx="627">
                  <c:v>43953</c:v>
                </c:pt>
                <c:pt idx="628">
                  <c:v>43954</c:v>
                </c:pt>
                <c:pt idx="629">
                  <c:v>43955</c:v>
                </c:pt>
                <c:pt idx="630">
                  <c:v>43956</c:v>
                </c:pt>
                <c:pt idx="631">
                  <c:v>43957</c:v>
                </c:pt>
                <c:pt idx="632">
                  <c:v>43958</c:v>
                </c:pt>
                <c:pt idx="633">
                  <c:v>43959</c:v>
                </c:pt>
                <c:pt idx="634">
                  <c:v>43960</c:v>
                </c:pt>
                <c:pt idx="635">
                  <c:v>43961</c:v>
                </c:pt>
                <c:pt idx="636">
                  <c:v>43962</c:v>
                </c:pt>
                <c:pt idx="637">
                  <c:v>43963</c:v>
                </c:pt>
                <c:pt idx="638">
                  <c:v>43964</c:v>
                </c:pt>
                <c:pt idx="639">
                  <c:v>43965</c:v>
                </c:pt>
                <c:pt idx="640">
                  <c:v>43966</c:v>
                </c:pt>
                <c:pt idx="641">
                  <c:v>43967</c:v>
                </c:pt>
                <c:pt idx="642">
                  <c:v>43968</c:v>
                </c:pt>
                <c:pt idx="643">
                  <c:v>43970</c:v>
                </c:pt>
                <c:pt idx="644">
                  <c:v>43971</c:v>
                </c:pt>
                <c:pt idx="645">
                  <c:v>43972</c:v>
                </c:pt>
                <c:pt idx="646">
                  <c:v>43975</c:v>
                </c:pt>
                <c:pt idx="647">
                  <c:v>43976</c:v>
                </c:pt>
                <c:pt idx="648">
                  <c:v>43977</c:v>
                </c:pt>
                <c:pt idx="649">
                  <c:v>43978</c:v>
                </c:pt>
                <c:pt idx="650">
                  <c:v>43979</c:v>
                </c:pt>
                <c:pt idx="651">
                  <c:v>43981</c:v>
                </c:pt>
                <c:pt idx="652">
                  <c:v>43984</c:v>
                </c:pt>
                <c:pt idx="653">
                  <c:v>43985</c:v>
                </c:pt>
                <c:pt idx="654">
                  <c:v>43986</c:v>
                </c:pt>
                <c:pt idx="655">
                  <c:v>43987</c:v>
                </c:pt>
                <c:pt idx="656">
                  <c:v>43988</c:v>
                </c:pt>
                <c:pt idx="657">
                  <c:v>43990</c:v>
                </c:pt>
                <c:pt idx="658">
                  <c:v>43991</c:v>
                </c:pt>
                <c:pt idx="659">
                  <c:v>43992</c:v>
                </c:pt>
                <c:pt idx="660">
                  <c:v>43993</c:v>
                </c:pt>
                <c:pt idx="661">
                  <c:v>43994</c:v>
                </c:pt>
                <c:pt idx="662">
                  <c:v>43995</c:v>
                </c:pt>
                <c:pt idx="663">
                  <c:v>43996</c:v>
                </c:pt>
                <c:pt idx="664">
                  <c:v>43997</c:v>
                </c:pt>
                <c:pt idx="665">
                  <c:v>43998</c:v>
                </c:pt>
                <c:pt idx="666">
                  <c:v>44000</c:v>
                </c:pt>
                <c:pt idx="667">
                  <c:v>44001</c:v>
                </c:pt>
                <c:pt idx="668">
                  <c:v>44002</c:v>
                </c:pt>
                <c:pt idx="669">
                  <c:v>44003</c:v>
                </c:pt>
                <c:pt idx="670">
                  <c:v>44004</c:v>
                </c:pt>
                <c:pt idx="671">
                  <c:v>44005</c:v>
                </c:pt>
                <c:pt idx="672">
                  <c:v>44006</c:v>
                </c:pt>
                <c:pt idx="673">
                  <c:v>44009</c:v>
                </c:pt>
                <c:pt idx="674">
                  <c:v>44010</c:v>
                </c:pt>
                <c:pt idx="675">
                  <c:v>44011</c:v>
                </c:pt>
                <c:pt idx="676">
                  <c:v>44014</c:v>
                </c:pt>
                <c:pt idx="677">
                  <c:v>44015</c:v>
                </c:pt>
                <c:pt idx="678">
                  <c:v>44016</c:v>
                </c:pt>
                <c:pt idx="679">
                  <c:v>44017</c:v>
                </c:pt>
                <c:pt idx="680">
                  <c:v>44020</c:v>
                </c:pt>
                <c:pt idx="681">
                  <c:v>44021</c:v>
                </c:pt>
                <c:pt idx="682">
                  <c:v>44023</c:v>
                </c:pt>
                <c:pt idx="683">
                  <c:v>44025</c:v>
                </c:pt>
                <c:pt idx="684">
                  <c:v>44026</c:v>
                </c:pt>
                <c:pt idx="685">
                  <c:v>44027</c:v>
                </c:pt>
                <c:pt idx="686">
                  <c:v>44028</c:v>
                </c:pt>
                <c:pt idx="687">
                  <c:v>44029</c:v>
                </c:pt>
                <c:pt idx="688">
                  <c:v>44030</c:v>
                </c:pt>
                <c:pt idx="689">
                  <c:v>44031</c:v>
                </c:pt>
                <c:pt idx="690">
                  <c:v>44032</c:v>
                </c:pt>
                <c:pt idx="691">
                  <c:v>44033</c:v>
                </c:pt>
                <c:pt idx="692">
                  <c:v>44034</c:v>
                </c:pt>
                <c:pt idx="693">
                  <c:v>44035</c:v>
                </c:pt>
                <c:pt idx="694">
                  <c:v>44036</c:v>
                </c:pt>
                <c:pt idx="695">
                  <c:v>44038</c:v>
                </c:pt>
                <c:pt idx="696">
                  <c:v>44039</c:v>
                </c:pt>
                <c:pt idx="697">
                  <c:v>44041</c:v>
                </c:pt>
                <c:pt idx="698">
                  <c:v>44042</c:v>
                </c:pt>
                <c:pt idx="699">
                  <c:v>44043</c:v>
                </c:pt>
                <c:pt idx="700">
                  <c:v>44044</c:v>
                </c:pt>
                <c:pt idx="701">
                  <c:v>44047</c:v>
                </c:pt>
                <c:pt idx="702">
                  <c:v>44048</c:v>
                </c:pt>
                <c:pt idx="703">
                  <c:v>44050</c:v>
                </c:pt>
                <c:pt idx="704">
                  <c:v>44052</c:v>
                </c:pt>
                <c:pt idx="705">
                  <c:v>44055</c:v>
                </c:pt>
                <c:pt idx="706">
                  <c:v>44056</c:v>
                </c:pt>
                <c:pt idx="707">
                  <c:v>44058</c:v>
                </c:pt>
                <c:pt idx="708">
                  <c:v>44059</c:v>
                </c:pt>
                <c:pt idx="709">
                  <c:v>44060</c:v>
                </c:pt>
                <c:pt idx="710">
                  <c:v>44063</c:v>
                </c:pt>
                <c:pt idx="711">
                  <c:v>44067</c:v>
                </c:pt>
                <c:pt idx="712">
                  <c:v>44068</c:v>
                </c:pt>
                <c:pt idx="713">
                  <c:v>44069</c:v>
                </c:pt>
                <c:pt idx="714">
                  <c:v>44070</c:v>
                </c:pt>
                <c:pt idx="715">
                  <c:v>44071</c:v>
                </c:pt>
                <c:pt idx="716">
                  <c:v>44073</c:v>
                </c:pt>
                <c:pt idx="717">
                  <c:v>44075</c:v>
                </c:pt>
                <c:pt idx="718">
                  <c:v>44078</c:v>
                </c:pt>
                <c:pt idx="719">
                  <c:v>44079</c:v>
                </c:pt>
                <c:pt idx="720">
                  <c:v>44080</c:v>
                </c:pt>
                <c:pt idx="721">
                  <c:v>44081</c:v>
                </c:pt>
                <c:pt idx="722">
                  <c:v>44082</c:v>
                </c:pt>
                <c:pt idx="723">
                  <c:v>44083</c:v>
                </c:pt>
                <c:pt idx="724">
                  <c:v>44084</c:v>
                </c:pt>
                <c:pt idx="725">
                  <c:v>44085</c:v>
                </c:pt>
                <c:pt idx="726">
                  <c:v>44086</c:v>
                </c:pt>
                <c:pt idx="727">
                  <c:v>44087</c:v>
                </c:pt>
                <c:pt idx="728">
                  <c:v>44088</c:v>
                </c:pt>
                <c:pt idx="729">
                  <c:v>44089</c:v>
                </c:pt>
                <c:pt idx="730">
                  <c:v>44090</c:v>
                </c:pt>
                <c:pt idx="731">
                  <c:v>44091</c:v>
                </c:pt>
                <c:pt idx="732">
                  <c:v>44092</c:v>
                </c:pt>
                <c:pt idx="733">
                  <c:v>44093</c:v>
                </c:pt>
                <c:pt idx="734">
                  <c:v>44094</c:v>
                </c:pt>
                <c:pt idx="735">
                  <c:v>44095</c:v>
                </c:pt>
                <c:pt idx="736">
                  <c:v>44096</c:v>
                </c:pt>
                <c:pt idx="737">
                  <c:v>44097</c:v>
                </c:pt>
                <c:pt idx="738">
                  <c:v>44098</c:v>
                </c:pt>
                <c:pt idx="739">
                  <c:v>44099</c:v>
                </c:pt>
                <c:pt idx="740">
                  <c:v>44100</c:v>
                </c:pt>
                <c:pt idx="741">
                  <c:v>44102</c:v>
                </c:pt>
                <c:pt idx="742">
                  <c:v>44104</c:v>
                </c:pt>
                <c:pt idx="743">
                  <c:v>44105</c:v>
                </c:pt>
                <c:pt idx="744">
                  <c:v>44106</c:v>
                </c:pt>
                <c:pt idx="745">
                  <c:v>44107</c:v>
                </c:pt>
                <c:pt idx="746">
                  <c:v>44108</c:v>
                </c:pt>
                <c:pt idx="747">
                  <c:v>44109</c:v>
                </c:pt>
                <c:pt idx="748">
                  <c:v>44110</c:v>
                </c:pt>
                <c:pt idx="749">
                  <c:v>44111</c:v>
                </c:pt>
                <c:pt idx="750">
                  <c:v>44113</c:v>
                </c:pt>
                <c:pt idx="751">
                  <c:v>44114</c:v>
                </c:pt>
                <c:pt idx="752">
                  <c:v>44115</c:v>
                </c:pt>
                <c:pt idx="753">
                  <c:v>44116</c:v>
                </c:pt>
                <c:pt idx="754">
                  <c:v>44117</c:v>
                </c:pt>
                <c:pt idx="755">
                  <c:v>44119</c:v>
                </c:pt>
                <c:pt idx="756">
                  <c:v>44120</c:v>
                </c:pt>
                <c:pt idx="757">
                  <c:v>44122</c:v>
                </c:pt>
                <c:pt idx="758">
                  <c:v>44124</c:v>
                </c:pt>
                <c:pt idx="759">
                  <c:v>44125</c:v>
                </c:pt>
                <c:pt idx="760">
                  <c:v>44126</c:v>
                </c:pt>
                <c:pt idx="761">
                  <c:v>44127</c:v>
                </c:pt>
                <c:pt idx="762">
                  <c:v>44129</c:v>
                </c:pt>
                <c:pt idx="763">
                  <c:v>44130</c:v>
                </c:pt>
                <c:pt idx="764">
                  <c:v>44132</c:v>
                </c:pt>
                <c:pt idx="765">
                  <c:v>44136</c:v>
                </c:pt>
                <c:pt idx="766">
                  <c:v>44137</c:v>
                </c:pt>
                <c:pt idx="767">
                  <c:v>44138</c:v>
                </c:pt>
                <c:pt idx="768">
                  <c:v>44140</c:v>
                </c:pt>
                <c:pt idx="769">
                  <c:v>44141</c:v>
                </c:pt>
                <c:pt idx="770">
                  <c:v>44142</c:v>
                </c:pt>
                <c:pt idx="771">
                  <c:v>44143</c:v>
                </c:pt>
                <c:pt idx="772">
                  <c:v>44144</c:v>
                </c:pt>
                <c:pt idx="773">
                  <c:v>44145</c:v>
                </c:pt>
                <c:pt idx="774">
                  <c:v>44146</c:v>
                </c:pt>
                <c:pt idx="775">
                  <c:v>44149</c:v>
                </c:pt>
                <c:pt idx="776">
                  <c:v>44150</c:v>
                </c:pt>
                <c:pt idx="777">
                  <c:v>44151</c:v>
                </c:pt>
                <c:pt idx="778">
                  <c:v>44152</c:v>
                </c:pt>
                <c:pt idx="779">
                  <c:v>44153</c:v>
                </c:pt>
                <c:pt idx="780">
                  <c:v>44154</c:v>
                </c:pt>
                <c:pt idx="781">
                  <c:v>44155</c:v>
                </c:pt>
                <c:pt idx="782">
                  <c:v>44157</c:v>
                </c:pt>
                <c:pt idx="783">
                  <c:v>44159</c:v>
                </c:pt>
                <c:pt idx="784">
                  <c:v>44160</c:v>
                </c:pt>
                <c:pt idx="785">
                  <c:v>44162</c:v>
                </c:pt>
                <c:pt idx="786">
                  <c:v>44163</c:v>
                </c:pt>
                <c:pt idx="787">
                  <c:v>44165</c:v>
                </c:pt>
                <c:pt idx="788">
                  <c:v>44166</c:v>
                </c:pt>
                <c:pt idx="789">
                  <c:v>44167</c:v>
                </c:pt>
                <c:pt idx="790">
                  <c:v>44168</c:v>
                </c:pt>
                <c:pt idx="791">
                  <c:v>44169</c:v>
                </c:pt>
                <c:pt idx="792">
                  <c:v>44171</c:v>
                </c:pt>
                <c:pt idx="793">
                  <c:v>44173</c:v>
                </c:pt>
                <c:pt idx="794">
                  <c:v>44175</c:v>
                </c:pt>
                <c:pt idx="795">
                  <c:v>44176</c:v>
                </c:pt>
                <c:pt idx="796">
                  <c:v>44180</c:v>
                </c:pt>
                <c:pt idx="797">
                  <c:v>44181</c:v>
                </c:pt>
                <c:pt idx="798">
                  <c:v>44184</c:v>
                </c:pt>
                <c:pt idx="799">
                  <c:v>44185</c:v>
                </c:pt>
                <c:pt idx="800">
                  <c:v>44187</c:v>
                </c:pt>
                <c:pt idx="801">
                  <c:v>44189</c:v>
                </c:pt>
                <c:pt idx="802">
                  <c:v>44190</c:v>
                </c:pt>
                <c:pt idx="803">
                  <c:v>44193</c:v>
                </c:pt>
                <c:pt idx="804">
                  <c:v>44194</c:v>
                </c:pt>
                <c:pt idx="805">
                  <c:v>16-02-2018</c:v>
                </c:pt>
                <c:pt idx="806">
                  <c:v>20-03-2018</c:v>
                </c:pt>
                <c:pt idx="807">
                  <c:v>03-05-2018</c:v>
                </c:pt>
                <c:pt idx="808">
                  <c:v>07-07-2018</c:v>
                </c:pt>
                <c:pt idx="809">
                  <c:v>11-08-2018</c:v>
                </c:pt>
                <c:pt idx="810">
                  <c:v>26-08-2018</c:v>
                </c:pt>
                <c:pt idx="811">
                  <c:v>26-09-2018</c:v>
                </c:pt>
                <c:pt idx="812">
                  <c:v>29-09-2018</c:v>
                </c:pt>
                <c:pt idx="813">
                  <c:v>06-10-2018</c:v>
                </c:pt>
                <c:pt idx="814">
                  <c:v>12-02-2019</c:v>
                </c:pt>
                <c:pt idx="815">
                  <c:v>18-02-2019</c:v>
                </c:pt>
                <c:pt idx="816">
                  <c:v>04-03-2019</c:v>
                </c:pt>
                <c:pt idx="817">
                  <c:v>26-03-2019</c:v>
                </c:pt>
                <c:pt idx="818">
                  <c:v>01-04-2019</c:v>
                </c:pt>
                <c:pt idx="819">
                  <c:v>17-04-2019</c:v>
                </c:pt>
                <c:pt idx="820">
                  <c:v>02-06-2019</c:v>
                </c:pt>
                <c:pt idx="821">
                  <c:v>31-10-2019</c:v>
                </c:pt>
                <c:pt idx="822">
                  <c:v>10-12-2019</c:v>
                </c:pt>
                <c:pt idx="823">
                  <c:v>18-12-2019</c:v>
                </c:pt>
                <c:pt idx="824">
                  <c:v>28-12-2019</c:v>
                </c:pt>
                <c:pt idx="825">
                  <c:v>10-02-2020</c:v>
                </c:pt>
                <c:pt idx="826">
                  <c:v>09-04-2020</c:v>
                </c:pt>
                <c:pt idx="827">
                  <c:v>18-04-2020</c:v>
                </c:pt>
                <c:pt idx="828">
                  <c:v>07-05-2020</c:v>
                </c:pt>
                <c:pt idx="829">
                  <c:v>08-05-2020</c:v>
                </c:pt>
                <c:pt idx="830">
                  <c:v>10-07-2020</c:v>
                </c:pt>
                <c:pt idx="831">
                  <c:v>31-08-2020</c:v>
                </c:pt>
                <c:pt idx="832">
                  <c:v>04-12-2020</c:v>
                </c:pt>
                <c:pt idx="833">
                  <c:v>24-12-2020</c:v>
                </c:pt>
              </c:strCache>
            </c:strRef>
          </c:cat>
          <c:val>
            <c:numRef>
              <c:f>Sheet4!$L$14:$L$848</c:f>
              <c:numCache>
                <c:formatCode>\₹#,##0.00</c:formatCode>
                <c:ptCount val="834"/>
                <c:pt idx="0">
                  <c:v>36099.050000000003</c:v>
                </c:pt>
                <c:pt idx="1">
                  <c:v>115022.70000000001</c:v>
                </c:pt>
                <c:pt idx="2">
                  <c:v>18999.05</c:v>
                </c:pt>
                <c:pt idx="3">
                  <c:v>1830.8</c:v>
                </c:pt>
                <c:pt idx="4">
                  <c:v>107998</c:v>
                </c:pt>
                <c:pt idx="5">
                  <c:v>11699.1</c:v>
                </c:pt>
                <c:pt idx="6">
                  <c:v>41473.299999999996</c:v>
                </c:pt>
                <c:pt idx="7">
                  <c:v>141989.5</c:v>
                </c:pt>
                <c:pt idx="8">
                  <c:v>2641</c:v>
                </c:pt>
                <c:pt idx="9">
                  <c:v>36099.050000000003</c:v>
                </c:pt>
                <c:pt idx="10">
                  <c:v>33439.120000000003</c:v>
                </c:pt>
                <c:pt idx="11">
                  <c:v>58847.15</c:v>
                </c:pt>
                <c:pt idx="12">
                  <c:v>3990</c:v>
                </c:pt>
                <c:pt idx="13">
                  <c:v>23950</c:v>
                </c:pt>
                <c:pt idx="14">
                  <c:v>1830.8</c:v>
                </c:pt>
                <c:pt idx="15">
                  <c:v>98671.75</c:v>
                </c:pt>
                <c:pt idx="16">
                  <c:v>104877.24</c:v>
                </c:pt>
                <c:pt idx="17">
                  <c:v>109247.05</c:v>
                </c:pt>
                <c:pt idx="18">
                  <c:v>48358.18</c:v>
                </c:pt>
                <c:pt idx="19">
                  <c:v>1830.8</c:v>
                </c:pt>
                <c:pt idx="20">
                  <c:v>95304</c:v>
                </c:pt>
                <c:pt idx="21">
                  <c:v>4740.5</c:v>
                </c:pt>
                <c:pt idx="22">
                  <c:v>49499.1</c:v>
                </c:pt>
                <c:pt idx="23">
                  <c:v>102597.3</c:v>
                </c:pt>
                <c:pt idx="24">
                  <c:v>117247.05</c:v>
                </c:pt>
                <c:pt idx="25">
                  <c:v>1161</c:v>
                </c:pt>
                <c:pt idx="26">
                  <c:v>113997</c:v>
                </c:pt>
                <c:pt idx="27">
                  <c:v>1370.8</c:v>
                </c:pt>
                <c:pt idx="28">
                  <c:v>19999</c:v>
                </c:pt>
                <c:pt idx="29">
                  <c:v>22582.3</c:v>
                </c:pt>
                <c:pt idx="30">
                  <c:v>31349.05</c:v>
                </c:pt>
                <c:pt idx="31">
                  <c:v>66405</c:v>
                </c:pt>
                <c:pt idx="32">
                  <c:v>186196.2</c:v>
                </c:pt>
                <c:pt idx="33">
                  <c:v>7809.85</c:v>
                </c:pt>
                <c:pt idx="34">
                  <c:v>50838.080000000002</c:v>
                </c:pt>
                <c:pt idx="35">
                  <c:v>54999</c:v>
                </c:pt>
                <c:pt idx="36">
                  <c:v>153294.20000000001</c:v>
                </c:pt>
                <c:pt idx="37">
                  <c:v>22499.1</c:v>
                </c:pt>
                <c:pt idx="38">
                  <c:v>1311.2</c:v>
                </c:pt>
                <c:pt idx="39">
                  <c:v>256112.40000000002</c:v>
                </c:pt>
                <c:pt idx="40">
                  <c:v>18354</c:v>
                </c:pt>
                <c:pt idx="41">
                  <c:v>49328.9</c:v>
                </c:pt>
                <c:pt idx="42">
                  <c:v>54508.880000000005</c:v>
                </c:pt>
                <c:pt idx="43">
                  <c:v>208967.69999999998</c:v>
                </c:pt>
                <c:pt idx="44">
                  <c:v>1990</c:v>
                </c:pt>
                <c:pt idx="45">
                  <c:v>118289.65000000001</c:v>
                </c:pt>
                <c:pt idx="46">
                  <c:v>43388.2</c:v>
                </c:pt>
                <c:pt idx="47">
                  <c:v>3511.2</c:v>
                </c:pt>
                <c:pt idx="48">
                  <c:v>11959.08</c:v>
                </c:pt>
                <c:pt idx="49">
                  <c:v>89298.05</c:v>
                </c:pt>
                <c:pt idx="50">
                  <c:v>7022.4</c:v>
                </c:pt>
                <c:pt idx="51">
                  <c:v>171675.52000000002</c:v>
                </c:pt>
                <c:pt idx="52">
                  <c:v>32199.08</c:v>
                </c:pt>
                <c:pt idx="53">
                  <c:v>9195.4</c:v>
                </c:pt>
                <c:pt idx="54">
                  <c:v>97690.12</c:v>
                </c:pt>
                <c:pt idx="55">
                  <c:v>71178.100000000006</c:v>
                </c:pt>
                <c:pt idx="56">
                  <c:v>30958.129999999997</c:v>
                </c:pt>
                <c:pt idx="57">
                  <c:v>34999</c:v>
                </c:pt>
                <c:pt idx="58">
                  <c:v>44348.05</c:v>
                </c:pt>
                <c:pt idx="59">
                  <c:v>70184.040000000008</c:v>
                </c:pt>
                <c:pt idx="60">
                  <c:v>11980</c:v>
                </c:pt>
                <c:pt idx="61">
                  <c:v>22999</c:v>
                </c:pt>
                <c:pt idx="62">
                  <c:v>2980</c:v>
                </c:pt>
                <c:pt idx="63">
                  <c:v>118209.29999999999</c:v>
                </c:pt>
                <c:pt idx="64">
                  <c:v>4990</c:v>
                </c:pt>
                <c:pt idx="65">
                  <c:v>99358.16</c:v>
                </c:pt>
                <c:pt idx="66">
                  <c:v>12793.65</c:v>
                </c:pt>
                <c:pt idx="67">
                  <c:v>4816.5</c:v>
                </c:pt>
                <c:pt idx="68">
                  <c:v>139116.78999999998</c:v>
                </c:pt>
                <c:pt idx="69">
                  <c:v>253990.6</c:v>
                </c:pt>
                <c:pt idx="70">
                  <c:v>35998.199999999997</c:v>
                </c:pt>
                <c:pt idx="71">
                  <c:v>79098.100000000006</c:v>
                </c:pt>
                <c:pt idx="72">
                  <c:v>54999</c:v>
                </c:pt>
                <c:pt idx="73">
                  <c:v>103548.1</c:v>
                </c:pt>
                <c:pt idx="74">
                  <c:v>42318.16</c:v>
                </c:pt>
                <c:pt idx="75">
                  <c:v>85529.58</c:v>
                </c:pt>
                <c:pt idx="76">
                  <c:v>4590.8</c:v>
                </c:pt>
                <c:pt idx="77">
                  <c:v>79798.100000000006</c:v>
                </c:pt>
                <c:pt idx="78">
                  <c:v>103157.71</c:v>
                </c:pt>
                <c:pt idx="79">
                  <c:v>61638.16</c:v>
                </c:pt>
                <c:pt idx="80">
                  <c:v>21999.119999999999</c:v>
                </c:pt>
                <c:pt idx="81">
                  <c:v>177555.40000000002</c:v>
                </c:pt>
                <c:pt idx="82">
                  <c:v>39899.050000000003</c:v>
                </c:pt>
                <c:pt idx="83">
                  <c:v>93098.1</c:v>
                </c:pt>
                <c:pt idx="84">
                  <c:v>69900</c:v>
                </c:pt>
                <c:pt idx="85">
                  <c:v>5797.1</c:v>
                </c:pt>
                <c:pt idx="86">
                  <c:v>14221.5</c:v>
                </c:pt>
                <c:pt idx="87">
                  <c:v>248395.4</c:v>
                </c:pt>
                <c:pt idx="88">
                  <c:v>1161</c:v>
                </c:pt>
                <c:pt idx="89">
                  <c:v>120958.45</c:v>
                </c:pt>
                <c:pt idx="90">
                  <c:v>63098.149999999994</c:v>
                </c:pt>
                <c:pt idx="91">
                  <c:v>91749.05</c:v>
                </c:pt>
                <c:pt idx="92">
                  <c:v>163225.82</c:v>
                </c:pt>
                <c:pt idx="93">
                  <c:v>30359.08</c:v>
                </c:pt>
                <c:pt idx="94">
                  <c:v>3638.18</c:v>
                </c:pt>
                <c:pt idx="95">
                  <c:v>114597.1</c:v>
                </c:pt>
                <c:pt idx="96">
                  <c:v>11699.1</c:v>
                </c:pt>
                <c:pt idx="97">
                  <c:v>38639.08</c:v>
                </c:pt>
                <c:pt idx="98">
                  <c:v>7596.2</c:v>
                </c:pt>
                <c:pt idx="99">
                  <c:v>12349.05</c:v>
                </c:pt>
                <c:pt idx="100">
                  <c:v>5990</c:v>
                </c:pt>
                <c:pt idx="101">
                  <c:v>5697.15</c:v>
                </c:pt>
                <c:pt idx="102">
                  <c:v>20889.55</c:v>
                </c:pt>
                <c:pt idx="103">
                  <c:v>20699.099999999999</c:v>
                </c:pt>
                <c:pt idx="104">
                  <c:v>36099.050000000003</c:v>
                </c:pt>
                <c:pt idx="105">
                  <c:v>31301.55</c:v>
                </c:pt>
                <c:pt idx="106">
                  <c:v>119242.25</c:v>
                </c:pt>
                <c:pt idx="107">
                  <c:v>78916.600000000006</c:v>
                </c:pt>
                <c:pt idx="108">
                  <c:v>5391</c:v>
                </c:pt>
                <c:pt idx="109">
                  <c:v>5671.5</c:v>
                </c:pt>
                <c:pt idx="110">
                  <c:v>44798.170000000006</c:v>
                </c:pt>
                <c:pt idx="111">
                  <c:v>59998.119999999995</c:v>
                </c:pt>
                <c:pt idx="112">
                  <c:v>59508.100000000006</c:v>
                </c:pt>
                <c:pt idx="113">
                  <c:v>99339</c:v>
                </c:pt>
                <c:pt idx="114">
                  <c:v>15579</c:v>
                </c:pt>
                <c:pt idx="115">
                  <c:v>161495.75</c:v>
                </c:pt>
                <c:pt idx="116">
                  <c:v>32979.08</c:v>
                </c:pt>
                <c:pt idx="117">
                  <c:v>71488.100000000006</c:v>
                </c:pt>
                <c:pt idx="118">
                  <c:v>75434.66</c:v>
                </c:pt>
                <c:pt idx="119">
                  <c:v>133577.4</c:v>
                </c:pt>
                <c:pt idx="120">
                  <c:v>44099.1</c:v>
                </c:pt>
                <c:pt idx="121">
                  <c:v>85407.760000000009</c:v>
                </c:pt>
                <c:pt idx="122">
                  <c:v>266894.34999999998</c:v>
                </c:pt>
                <c:pt idx="123">
                  <c:v>212794.40000000002</c:v>
                </c:pt>
                <c:pt idx="124">
                  <c:v>61755.05</c:v>
                </c:pt>
                <c:pt idx="125">
                  <c:v>57425.65</c:v>
                </c:pt>
                <c:pt idx="126">
                  <c:v>52797.36</c:v>
                </c:pt>
                <c:pt idx="127">
                  <c:v>37999</c:v>
                </c:pt>
                <c:pt idx="128">
                  <c:v>91957.260000000009</c:v>
                </c:pt>
                <c:pt idx="129">
                  <c:v>15113.4</c:v>
                </c:pt>
                <c:pt idx="130">
                  <c:v>140844.44999999998</c:v>
                </c:pt>
                <c:pt idx="131">
                  <c:v>18399.080000000002</c:v>
                </c:pt>
                <c:pt idx="132">
                  <c:v>24698.1</c:v>
                </c:pt>
                <c:pt idx="133">
                  <c:v>12999</c:v>
                </c:pt>
                <c:pt idx="134">
                  <c:v>43680.1</c:v>
                </c:pt>
                <c:pt idx="135">
                  <c:v>45897.3</c:v>
                </c:pt>
                <c:pt idx="136">
                  <c:v>2831</c:v>
                </c:pt>
                <c:pt idx="137">
                  <c:v>139836.32</c:v>
                </c:pt>
                <c:pt idx="138">
                  <c:v>4540.8</c:v>
                </c:pt>
                <c:pt idx="139">
                  <c:v>101198.16</c:v>
                </c:pt>
                <c:pt idx="140">
                  <c:v>24300.05</c:v>
                </c:pt>
                <c:pt idx="141">
                  <c:v>36959.120000000003</c:v>
                </c:pt>
                <c:pt idx="142">
                  <c:v>66405</c:v>
                </c:pt>
                <c:pt idx="143">
                  <c:v>76357.08</c:v>
                </c:pt>
                <c:pt idx="144">
                  <c:v>22999.08</c:v>
                </c:pt>
                <c:pt idx="145">
                  <c:v>1799.1</c:v>
                </c:pt>
                <c:pt idx="146">
                  <c:v>97177.1</c:v>
                </c:pt>
                <c:pt idx="147">
                  <c:v>49569.950000000004</c:v>
                </c:pt>
                <c:pt idx="148">
                  <c:v>6590</c:v>
                </c:pt>
                <c:pt idx="149">
                  <c:v>240745.15</c:v>
                </c:pt>
                <c:pt idx="150">
                  <c:v>30359.08</c:v>
                </c:pt>
                <c:pt idx="151">
                  <c:v>78379.3</c:v>
                </c:pt>
                <c:pt idx="152">
                  <c:v>151594.4</c:v>
                </c:pt>
                <c:pt idx="153">
                  <c:v>3980</c:v>
                </c:pt>
                <c:pt idx="154">
                  <c:v>67368.180000000008</c:v>
                </c:pt>
                <c:pt idx="155">
                  <c:v>2849.05</c:v>
                </c:pt>
                <c:pt idx="156">
                  <c:v>112236.32</c:v>
                </c:pt>
                <c:pt idx="157">
                  <c:v>178377.20999999996</c:v>
                </c:pt>
                <c:pt idx="158">
                  <c:v>11996</c:v>
                </c:pt>
                <c:pt idx="159">
                  <c:v>4726.2</c:v>
                </c:pt>
                <c:pt idx="160">
                  <c:v>11021.6</c:v>
                </c:pt>
                <c:pt idx="161">
                  <c:v>1341</c:v>
                </c:pt>
                <c:pt idx="162">
                  <c:v>3670.8</c:v>
                </c:pt>
                <c:pt idx="163">
                  <c:v>129897.25</c:v>
                </c:pt>
                <c:pt idx="164">
                  <c:v>40704.6</c:v>
                </c:pt>
                <c:pt idx="165">
                  <c:v>25164.55</c:v>
                </c:pt>
                <c:pt idx="166">
                  <c:v>15614.55</c:v>
                </c:pt>
                <c:pt idx="167">
                  <c:v>4990</c:v>
                </c:pt>
                <c:pt idx="168">
                  <c:v>10381.200000000001</c:v>
                </c:pt>
                <c:pt idx="169">
                  <c:v>3661.6</c:v>
                </c:pt>
                <c:pt idx="170">
                  <c:v>73589</c:v>
                </c:pt>
                <c:pt idx="171">
                  <c:v>164995</c:v>
                </c:pt>
                <c:pt idx="172">
                  <c:v>125363.46</c:v>
                </c:pt>
                <c:pt idx="173">
                  <c:v>202344.3</c:v>
                </c:pt>
                <c:pt idx="174">
                  <c:v>218634.25</c:v>
                </c:pt>
                <c:pt idx="175">
                  <c:v>53999</c:v>
                </c:pt>
                <c:pt idx="176">
                  <c:v>225894</c:v>
                </c:pt>
                <c:pt idx="177">
                  <c:v>33439.120000000003</c:v>
                </c:pt>
                <c:pt idx="178">
                  <c:v>23749.05</c:v>
                </c:pt>
                <c:pt idx="179">
                  <c:v>1830.8</c:v>
                </c:pt>
                <c:pt idx="180">
                  <c:v>3678.16</c:v>
                </c:pt>
                <c:pt idx="181">
                  <c:v>8982</c:v>
                </c:pt>
                <c:pt idx="182">
                  <c:v>3790.5</c:v>
                </c:pt>
                <c:pt idx="183">
                  <c:v>1990</c:v>
                </c:pt>
                <c:pt idx="184">
                  <c:v>50598.2</c:v>
                </c:pt>
                <c:pt idx="185">
                  <c:v>54999</c:v>
                </c:pt>
                <c:pt idx="186">
                  <c:v>1791</c:v>
                </c:pt>
                <c:pt idx="187">
                  <c:v>36099.050000000003</c:v>
                </c:pt>
                <c:pt idx="188">
                  <c:v>30359.08</c:v>
                </c:pt>
                <c:pt idx="189">
                  <c:v>37999</c:v>
                </c:pt>
                <c:pt idx="190">
                  <c:v>250804.3</c:v>
                </c:pt>
                <c:pt idx="191">
                  <c:v>65998</c:v>
                </c:pt>
                <c:pt idx="192">
                  <c:v>72391</c:v>
                </c:pt>
                <c:pt idx="193">
                  <c:v>6705</c:v>
                </c:pt>
                <c:pt idx="194">
                  <c:v>147517.5</c:v>
                </c:pt>
                <c:pt idx="195">
                  <c:v>110877.15</c:v>
                </c:pt>
                <c:pt idx="196">
                  <c:v>51299.05</c:v>
                </c:pt>
                <c:pt idx="197">
                  <c:v>66405</c:v>
                </c:pt>
                <c:pt idx="198">
                  <c:v>151795.4</c:v>
                </c:pt>
                <c:pt idx="199">
                  <c:v>41999</c:v>
                </c:pt>
                <c:pt idx="200">
                  <c:v>66405</c:v>
                </c:pt>
                <c:pt idx="201">
                  <c:v>54999</c:v>
                </c:pt>
                <c:pt idx="202">
                  <c:v>101647.25</c:v>
                </c:pt>
                <c:pt idx="203">
                  <c:v>110576.34</c:v>
                </c:pt>
                <c:pt idx="204">
                  <c:v>66405</c:v>
                </c:pt>
                <c:pt idx="205">
                  <c:v>4740.5</c:v>
                </c:pt>
                <c:pt idx="206">
                  <c:v>28040.080000000002</c:v>
                </c:pt>
                <c:pt idx="207">
                  <c:v>34199.1</c:v>
                </c:pt>
                <c:pt idx="208">
                  <c:v>46111.4</c:v>
                </c:pt>
                <c:pt idx="209">
                  <c:v>23398.2</c:v>
                </c:pt>
                <c:pt idx="210">
                  <c:v>1759.12</c:v>
                </c:pt>
                <c:pt idx="211">
                  <c:v>77223.5</c:v>
                </c:pt>
                <c:pt idx="212">
                  <c:v>119034.66</c:v>
                </c:pt>
                <c:pt idx="213">
                  <c:v>62252.1</c:v>
                </c:pt>
                <c:pt idx="214">
                  <c:v>160470.74</c:v>
                </c:pt>
                <c:pt idx="215">
                  <c:v>2759.08</c:v>
                </c:pt>
                <c:pt idx="216">
                  <c:v>77957.08</c:v>
                </c:pt>
                <c:pt idx="217">
                  <c:v>71868.05</c:v>
                </c:pt>
                <c:pt idx="218">
                  <c:v>1490</c:v>
                </c:pt>
                <c:pt idx="219">
                  <c:v>5690.5</c:v>
                </c:pt>
                <c:pt idx="220">
                  <c:v>85897.05</c:v>
                </c:pt>
                <c:pt idx="221">
                  <c:v>133095.04999999999</c:v>
                </c:pt>
                <c:pt idx="222">
                  <c:v>29749.15</c:v>
                </c:pt>
                <c:pt idx="223">
                  <c:v>68398.2</c:v>
                </c:pt>
                <c:pt idx="224">
                  <c:v>126416.26000000001</c:v>
                </c:pt>
                <c:pt idx="225">
                  <c:v>3591</c:v>
                </c:pt>
                <c:pt idx="226">
                  <c:v>3598.2</c:v>
                </c:pt>
                <c:pt idx="227">
                  <c:v>56523.73</c:v>
                </c:pt>
                <c:pt idx="228">
                  <c:v>108998</c:v>
                </c:pt>
                <c:pt idx="229">
                  <c:v>41314.550000000003</c:v>
                </c:pt>
                <c:pt idx="230">
                  <c:v>149668.6</c:v>
                </c:pt>
                <c:pt idx="231">
                  <c:v>34959.08</c:v>
                </c:pt>
                <c:pt idx="232">
                  <c:v>5990</c:v>
                </c:pt>
                <c:pt idx="233">
                  <c:v>11959.08</c:v>
                </c:pt>
                <c:pt idx="234">
                  <c:v>51669.08</c:v>
                </c:pt>
                <c:pt idx="235">
                  <c:v>65748.05</c:v>
                </c:pt>
                <c:pt idx="236">
                  <c:v>121597.15000000001</c:v>
                </c:pt>
                <c:pt idx="237">
                  <c:v>219176.12</c:v>
                </c:pt>
                <c:pt idx="238">
                  <c:v>21849.05</c:v>
                </c:pt>
                <c:pt idx="239">
                  <c:v>98246.35</c:v>
                </c:pt>
                <c:pt idx="240">
                  <c:v>36099.050000000003</c:v>
                </c:pt>
                <c:pt idx="241">
                  <c:v>69238.600000000006</c:v>
                </c:pt>
                <c:pt idx="242">
                  <c:v>286892.5</c:v>
                </c:pt>
                <c:pt idx="243">
                  <c:v>34959.08</c:v>
                </c:pt>
                <c:pt idx="244">
                  <c:v>4590.8</c:v>
                </c:pt>
                <c:pt idx="245">
                  <c:v>242995.5</c:v>
                </c:pt>
                <c:pt idx="246">
                  <c:v>4740.5</c:v>
                </c:pt>
                <c:pt idx="247">
                  <c:v>148497.29999999999</c:v>
                </c:pt>
                <c:pt idx="248">
                  <c:v>119520.24</c:v>
                </c:pt>
                <c:pt idx="249">
                  <c:v>46549.05</c:v>
                </c:pt>
                <c:pt idx="250">
                  <c:v>31349.05</c:v>
                </c:pt>
                <c:pt idx="251">
                  <c:v>72458.13</c:v>
                </c:pt>
                <c:pt idx="252">
                  <c:v>31349.05</c:v>
                </c:pt>
                <c:pt idx="253">
                  <c:v>8547.15</c:v>
                </c:pt>
                <c:pt idx="254">
                  <c:v>3483</c:v>
                </c:pt>
                <c:pt idx="255">
                  <c:v>7581</c:v>
                </c:pt>
                <c:pt idx="256">
                  <c:v>3990</c:v>
                </c:pt>
                <c:pt idx="257">
                  <c:v>4740.5</c:v>
                </c:pt>
                <c:pt idx="258">
                  <c:v>53090.05</c:v>
                </c:pt>
                <c:pt idx="259">
                  <c:v>2999</c:v>
                </c:pt>
                <c:pt idx="260">
                  <c:v>58945.38</c:v>
                </c:pt>
                <c:pt idx="261">
                  <c:v>141050.29999999999</c:v>
                </c:pt>
                <c:pt idx="262">
                  <c:v>1890.5</c:v>
                </c:pt>
                <c:pt idx="263">
                  <c:v>2849.05</c:v>
                </c:pt>
                <c:pt idx="264">
                  <c:v>45560.08</c:v>
                </c:pt>
                <c:pt idx="265">
                  <c:v>21849.05</c:v>
                </c:pt>
                <c:pt idx="266">
                  <c:v>41658.170000000006</c:v>
                </c:pt>
                <c:pt idx="267">
                  <c:v>25090.05</c:v>
                </c:pt>
                <c:pt idx="268">
                  <c:v>11959.08</c:v>
                </c:pt>
                <c:pt idx="269">
                  <c:v>132810</c:v>
                </c:pt>
                <c:pt idx="270">
                  <c:v>37411.599999999999</c:v>
                </c:pt>
                <c:pt idx="271">
                  <c:v>1415.5</c:v>
                </c:pt>
                <c:pt idx="272">
                  <c:v>2639.12</c:v>
                </c:pt>
                <c:pt idx="273">
                  <c:v>37999</c:v>
                </c:pt>
                <c:pt idx="274">
                  <c:v>130797.23</c:v>
                </c:pt>
                <c:pt idx="275">
                  <c:v>43698.1</c:v>
                </c:pt>
                <c:pt idx="276">
                  <c:v>2999</c:v>
                </c:pt>
                <c:pt idx="277">
                  <c:v>193799</c:v>
                </c:pt>
                <c:pt idx="278">
                  <c:v>222995</c:v>
                </c:pt>
                <c:pt idx="279">
                  <c:v>11959.08</c:v>
                </c:pt>
                <c:pt idx="280">
                  <c:v>29749.15</c:v>
                </c:pt>
                <c:pt idx="281">
                  <c:v>37514.550000000003</c:v>
                </c:pt>
                <c:pt idx="282">
                  <c:v>76198.100000000006</c:v>
                </c:pt>
                <c:pt idx="283">
                  <c:v>51299.05</c:v>
                </c:pt>
                <c:pt idx="284">
                  <c:v>98997</c:v>
                </c:pt>
                <c:pt idx="285">
                  <c:v>133659.68</c:v>
                </c:pt>
                <c:pt idx="286">
                  <c:v>61739.55</c:v>
                </c:pt>
                <c:pt idx="287">
                  <c:v>54999</c:v>
                </c:pt>
                <c:pt idx="288">
                  <c:v>218071.58</c:v>
                </c:pt>
                <c:pt idx="289">
                  <c:v>93377.18</c:v>
                </c:pt>
                <c:pt idx="290">
                  <c:v>97198.2</c:v>
                </c:pt>
                <c:pt idx="291">
                  <c:v>57847.130000000005</c:v>
                </c:pt>
                <c:pt idx="292">
                  <c:v>165116.41</c:v>
                </c:pt>
                <c:pt idx="293">
                  <c:v>5797.1</c:v>
                </c:pt>
                <c:pt idx="294">
                  <c:v>54999</c:v>
                </c:pt>
                <c:pt idx="295">
                  <c:v>37999</c:v>
                </c:pt>
                <c:pt idx="296">
                  <c:v>188915.16</c:v>
                </c:pt>
                <c:pt idx="297">
                  <c:v>50599.08</c:v>
                </c:pt>
                <c:pt idx="298">
                  <c:v>103968.1</c:v>
                </c:pt>
                <c:pt idx="299">
                  <c:v>16720.5</c:v>
                </c:pt>
                <c:pt idx="300">
                  <c:v>39899.050000000003</c:v>
                </c:pt>
                <c:pt idx="301">
                  <c:v>11959.08</c:v>
                </c:pt>
                <c:pt idx="302">
                  <c:v>72198.100000000006</c:v>
                </c:pt>
                <c:pt idx="303">
                  <c:v>79798.100000000006</c:v>
                </c:pt>
                <c:pt idx="304">
                  <c:v>3790.5</c:v>
                </c:pt>
                <c:pt idx="305">
                  <c:v>41398.199999999997</c:v>
                </c:pt>
                <c:pt idx="306">
                  <c:v>4740.5</c:v>
                </c:pt>
                <c:pt idx="307">
                  <c:v>268395.12</c:v>
                </c:pt>
                <c:pt idx="308">
                  <c:v>74098.100000000006</c:v>
                </c:pt>
                <c:pt idx="309">
                  <c:v>36099.050000000003</c:v>
                </c:pt>
                <c:pt idx="310">
                  <c:v>74789.149999999994</c:v>
                </c:pt>
                <c:pt idx="311">
                  <c:v>5690.5</c:v>
                </c:pt>
                <c:pt idx="312">
                  <c:v>68698.05</c:v>
                </c:pt>
                <c:pt idx="313">
                  <c:v>87610.53</c:v>
                </c:pt>
                <c:pt idx="314">
                  <c:v>69916.2</c:v>
                </c:pt>
                <c:pt idx="315">
                  <c:v>1135.2</c:v>
                </c:pt>
                <c:pt idx="316">
                  <c:v>11710.88</c:v>
                </c:pt>
                <c:pt idx="317">
                  <c:v>198246.05</c:v>
                </c:pt>
                <c:pt idx="318">
                  <c:v>2831</c:v>
                </c:pt>
                <c:pt idx="319">
                  <c:v>69664.7</c:v>
                </c:pt>
                <c:pt idx="320">
                  <c:v>47215.1</c:v>
                </c:pt>
                <c:pt idx="321">
                  <c:v>48999</c:v>
                </c:pt>
                <c:pt idx="322">
                  <c:v>69147.16</c:v>
                </c:pt>
                <c:pt idx="323">
                  <c:v>46079.05</c:v>
                </c:pt>
                <c:pt idx="324">
                  <c:v>34959.08</c:v>
                </c:pt>
                <c:pt idx="325">
                  <c:v>48999</c:v>
                </c:pt>
                <c:pt idx="326">
                  <c:v>42561.15</c:v>
                </c:pt>
                <c:pt idx="327">
                  <c:v>115934.16</c:v>
                </c:pt>
                <c:pt idx="328">
                  <c:v>36732.1</c:v>
                </c:pt>
                <c:pt idx="329">
                  <c:v>60718.16</c:v>
                </c:pt>
                <c:pt idx="330">
                  <c:v>1890.5</c:v>
                </c:pt>
                <c:pt idx="331">
                  <c:v>176695.1</c:v>
                </c:pt>
                <c:pt idx="332">
                  <c:v>1225.5</c:v>
                </c:pt>
                <c:pt idx="333">
                  <c:v>64308</c:v>
                </c:pt>
                <c:pt idx="334">
                  <c:v>180343.55</c:v>
                </c:pt>
                <c:pt idx="335">
                  <c:v>136824.47</c:v>
                </c:pt>
                <c:pt idx="336">
                  <c:v>3661.6</c:v>
                </c:pt>
                <c:pt idx="337">
                  <c:v>30359.08</c:v>
                </c:pt>
                <c:pt idx="338">
                  <c:v>23264.55</c:v>
                </c:pt>
                <c:pt idx="339">
                  <c:v>74858.13</c:v>
                </c:pt>
                <c:pt idx="340">
                  <c:v>29525.7</c:v>
                </c:pt>
                <c:pt idx="341">
                  <c:v>72798.100000000006</c:v>
                </c:pt>
                <c:pt idx="342">
                  <c:v>2849.05</c:v>
                </c:pt>
                <c:pt idx="343">
                  <c:v>71248.05</c:v>
                </c:pt>
                <c:pt idx="344">
                  <c:v>44099.1</c:v>
                </c:pt>
                <c:pt idx="345">
                  <c:v>159677.08000000002</c:v>
                </c:pt>
                <c:pt idx="346">
                  <c:v>35348.050000000003</c:v>
                </c:pt>
                <c:pt idx="347">
                  <c:v>120777</c:v>
                </c:pt>
                <c:pt idx="348">
                  <c:v>22499.1</c:v>
                </c:pt>
                <c:pt idx="349">
                  <c:v>16139.55</c:v>
                </c:pt>
                <c:pt idx="350">
                  <c:v>103635.35</c:v>
                </c:pt>
                <c:pt idx="351">
                  <c:v>194793.5</c:v>
                </c:pt>
                <c:pt idx="352">
                  <c:v>18999.05</c:v>
                </c:pt>
                <c:pt idx="353">
                  <c:v>113397.3</c:v>
                </c:pt>
                <c:pt idx="354">
                  <c:v>72076.5</c:v>
                </c:pt>
                <c:pt idx="355">
                  <c:v>89651</c:v>
                </c:pt>
                <c:pt idx="356">
                  <c:v>9181.6</c:v>
                </c:pt>
                <c:pt idx="357">
                  <c:v>99768.170000000013</c:v>
                </c:pt>
                <c:pt idx="358">
                  <c:v>191893.7</c:v>
                </c:pt>
                <c:pt idx="359">
                  <c:v>142736.04999999999</c:v>
                </c:pt>
                <c:pt idx="360">
                  <c:v>3980</c:v>
                </c:pt>
                <c:pt idx="361">
                  <c:v>345861.79</c:v>
                </c:pt>
                <c:pt idx="362">
                  <c:v>13069.9</c:v>
                </c:pt>
                <c:pt idx="363">
                  <c:v>172546.15</c:v>
                </c:pt>
                <c:pt idx="364">
                  <c:v>12745.75</c:v>
                </c:pt>
                <c:pt idx="365">
                  <c:v>10542.4</c:v>
                </c:pt>
                <c:pt idx="366">
                  <c:v>36099.050000000003</c:v>
                </c:pt>
                <c:pt idx="367">
                  <c:v>52249.05</c:v>
                </c:pt>
                <c:pt idx="368">
                  <c:v>10773</c:v>
                </c:pt>
                <c:pt idx="369">
                  <c:v>45998.16</c:v>
                </c:pt>
                <c:pt idx="370">
                  <c:v>41999</c:v>
                </c:pt>
                <c:pt idx="371">
                  <c:v>3670.8</c:v>
                </c:pt>
                <c:pt idx="372">
                  <c:v>152975.28000000003</c:v>
                </c:pt>
                <c:pt idx="373">
                  <c:v>44030.080000000002</c:v>
                </c:pt>
                <c:pt idx="374">
                  <c:v>15550.08</c:v>
                </c:pt>
                <c:pt idx="375">
                  <c:v>42789.1</c:v>
                </c:pt>
                <c:pt idx="376">
                  <c:v>31349.05</c:v>
                </c:pt>
                <c:pt idx="377">
                  <c:v>217966.06</c:v>
                </c:pt>
                <c:pt idx="378">
                  <c:v>180089.2</c:v>
                </c:pt>
                <c:pt idx="379">
                  <c:v>51620.55</c:v>
                </c:pt>
                <c:pt idx="380">
                  <c:v>34689.1</c:v>
                </c:pt>
                <c:pt idx="381">
                  <c:v>10852.8</c:v>
                </c:pt>
                <c:pt idx="382">
                  <c:v>39998</c:v>
                </c:pt>
                <c:pt idx="383">
                  <c:v>222369.6</c:v>
                </c:pt>
                <c:pt idx="384">
                  <c:v>44099.1</c:v>
                </c:pt>
                <c:pt idx="385">
                  <c:v>1415.5</c:v>
                </c:pt>
                <c:pt idx="386">
                  <c:v>39899.050000000003</c:v>
                </c:pt>
                <c:pt idx="387">
                  <c:v>133756.48000000001</c:v>
                </c:pt>
                <c:pt idx="388">
                  <c:v>63347.199999999997</c:v>
                </c:pt>
                <c:pt idx="389">
                  <c:v>33249.050000000003</c:v>
                </c:pt>
                <c:pt idx="390">
                  <c:v>69918.16</c:v>
                </c:pt>
                <c:pt idx="391">
                  <c:v>39790</c:v>
                </c:pt>
                <c:pt idx="392">
                  <c:v>22043.200000000001</c:v>
                </c:pt>
                <c:pt idx="393">
                  <c:v>1890.5</c:v>
                </c:pt>
                <c:pt idx="394">
                  <c:v>210474.58000000002</c:v>
                </c:pt>
                <c:pt idx="395">
                  <c:v>28568.1</c:v>
                </c:pt>
                <c:pt idx="396">
                  <c:v>2999</c:v>
                </c:pt>
                <c:pt idx="397">
                  <c:v>9950</c:v>
                </c:pt>
                <c:pt idx="398">
                  <c:v>23749.05</c:v>
                </c:pt>
                <c:pt idx="399">
                  <c:v>1830.8</c:v>
                </c:pt>
                <c:pt idx="400">
                  <c:v>51299.05</c:v>
                </c:pt>
                <c:pt idx="401">
                  <c:v>36959.120000000003</c:v>
                </c:pt>
                <c:pt idx="402">
                  <c:v>22499.1</c:v>
                </c:pt>
                <c:pt idx="403">
                  <c:v>79798.100000000006</c:v>
                </c:pt>
                <c:pt idx="404">
                  <c:v>4590.8</c:v>
                </c:pt>
                <c:pt idx="405">
                  <c:v>84996.2</c:v>
                </c:pt>
                <c:pt idx="406">
                  <c:v>76298.05</c:v>
                </c:pt>
                <c:pt idx="407">
                  <c:v>69129.149999999994</c:v>
                </c:pt>
                <c:pt idx="408">
                  <c:v>81213.600000000006</c:v>
                </c:pt>
                <c:pt idx="409">
                  <c:v>104498.1</c:v>
                </c:pt>
                <c:pt idx="410">
                  <c:v>58680.17</c:v>
                </c:pt>
                <c:pt idx="411">
                  <c:v>14245.25</c:v>
                </c:pt>
                <c:pt idx="412">
                  <c:v>11439.12</c:v>
                </c:pt>
                <c:pt idx="413">
                  <c:v>149037.24</c:v>
                </c:pt>
                <c:pt idx="414">
                  <c:v>195695.25</c:v>
                </c:pt>
                <c:pt idx="415">
                  <c:v>1225.5</c:v>
                </c:pt>
                <c:pt idx="416">
                  <c:v>99747.15</c:v>
                </c:pt>
                <c:pt idx="417">
                  <c:v>5819.08</c:v>
                </c:pt>
                <c:pt idx="418">
                  <c:v>22878.240000000002</c:v>
                </c:pt>
                <c:pt idx="419">
                  <c:v>87996</c:v>
                </c:pt>
                <c:pt idx="420">
                  <c:v>36959.120000000003</c:v>
                </c:pt>
                <c:pt idx="421">
                  <c:v>113237.22</c:v>
                </c:pt>
                <c:pt idx="422">
                  <c:v>17137.22</c:v>
                </c:pt>
                <c:pt idx="423">
                  <c:v>88447.18</c:v>
                </c:pt>
                <c:pt idx="424">
                  <c:v>23390.1</c:v>
                </c:pt>
                <c:pt idx="425">
                  <c:v>57548.15</c:v>
                </c:pt>
                <c:pt idx="426">
                  <c:v>3980</c:v>
                </c:pt>
                <c:pt idx="427">
                  <c:v>40259.15</c:v>
                </c:pt>
                <c:pt idx="428">
                  <c:v>62558.16</c:v>
                </c:pt>
                <c:pt idx="429">
                  <c:v>1839.08</c:v>
                </c:pt>
                <c:pt idx="430">
                  <c:v>9352.1</c:v>
                </c:pt>
                <c:pt idx="431">
                  <c:v>173194.2</c:v>
                </c:pt>
                <c:pt idx="432">
                  <c:v>35669.1</c:v>
                </c:pt>
                <c:pt idx="433">
                  <c:v>11959.08</c:v>
                </c:pt>
                <c:pt idx="434">
                  <c:v>206195.4</c:v>
                </c:pt>
                <c:pt idx="435">
                  <c:v>20699.099999999999</c:v>
                </c:pt>
                <c:pt idx="436">
                  <c:v>48448.100000000006</c:v>
                </c:pt>
                <c:pt idx="437">
                  <c:v>330765.84999999998</c:v>
                </c:pt>
                <c:pt idx="438">
                  <c:v>68398.2</c:v>
                </c:pt>
                <c:pt idx="439">
                  <c:v>49949</c:v>
                </c:pt>
                <c:pt idx="440">
                  <c:v>1290</c:v>
                </c:pt>
                <c:pt idx="441">
                  <c:v>167115.46</c:v>
                </c:pt>
                <c:pt idx="442">
                  <c:v>68997.240000000005</c:v>
                </c:pt>
                <c:pt idx="443">
                  <c:v>134601</c:v>
                </c:pt>
                <c:pt idx="444">
                  <c:v>1161</c:v>
                </c:pt>
                <c:pt idx="445">
                  <c:v>105137.18000000001</c:v>
                </c:pt>
                <c:pt idx="446">
                  <c:v>49499.1</c:v>
                </c:pt>
                <c:pt idx="447">
                  <c:v>69998</c:v>
                </c:pt>
                <c:pt idx="448">
                  <c:v>49998</c:v>
                </c:pt>
                <c:pt idx="449">
                  <c:v>171345.05</c:v>
                </c:pt>
                <c:pt idx="450">
                  <c:v>54669.08</c:v>
                </c:pt>
                <c:pt idx="451">
                  <c:v>80279.8</c:v>
                </c:pt>
                <c:pt idx="452">
                  <c:v>51299.05</c:v>
                </c:pt>
                <c:pt idx="453">
                  <c:v>29039.119999999999</c:v>
                </c:pt>
                <c:pt idx="454">
                  <c:v>74838.149999999994</c:v>
                </c:pt>
                <c:pt idx="455">
                  <c:v>81859.08</c:v>
                </c:pt>
                <c:pt idx="456">
                  <c:v>49499.1</c:v>
                </c:pt>
                <c:pt idx="457">
                  <c:v>38470.28</c:v>
                </c:pt>
                <c:pt idx="458">
                  <c:v>53289.599999999999</c:v>
                </c:pt>
                <c:pt idx="459">
                  <c:v>9666.5</c:v>
                </c:pt>
                <c:pt idx="460">
                  <c:v>35998.199999999997</c:v>
                </c:pt>
                <c:pt idx="461">
                  <c:v>16999.150000000001</c:v>
                </c:pt>
                <c:pt idx="462">
                  <c:v>2602.3000000000002</c:v>
                </c:pt>
                <c:pt idx="463">
                  <c:v>11959.08</c:v>
                </c:pt>
                <c:pt idx="464">
                  <c:v>208996.2</c:v>
                </c:pt>
                <c:pt idx="465">
                  <c:v>32999</c:v>
                </c:pt>
                <c:pt idx="466">
                  <c:v>8547.15</c:v>
                </c:pt>
                <c:pt idx="467">
                  <c:v>51299.05</c:v>
                </c:pt>
                <c:pt idx="468">
                  <c:v>53490</c:v>
                </c:pt>
                <c:pt idx="469">
                  <c:v>53958.130000000005</c:v>
                </c:pt>
                <c:pt idx="470">
                  <c:v>79784.75</c:v>
                </c:pt>
                <c:pt idx="471">
                  <c:v>11189.66</c:v>
                </c:pt>
                <c:pt idx="472">
                  <c:v>51299.05</c:v>
                </c:pt>
                <c:pt idx="473">
                  <c:v>119696.20000000001</c:v>
                </c:pt>
                <c:pt idx="474">
                  <c:v>88299.760000000009</c:v>
                </c:pt>
                <c:pt idx="475">
                  <c:v>110456.34</c:v>
                </c:pt>
                <c:pt idx="476">
                  <c:v>3661.6</c:v>
                </c:pt>
                <c:pt idx="477">
                  <c:v>1990</c:v>
                </c:pt>
                <c:pt idx="478">
                  <c:v>58444.6</c:v>
                </c:pt>
                <c:pt idx="479">
                  <c:v>90158.16</c:v>
                </c:pt>
                <c:pt idx="480">
                  <c:v>43119.12</c:v>
                </c:pt>
                <c:pt idx="481">
                  <c:v>59997</c:v>
                </c:pt>
                <c:pt idx="482">
                  <c:v>25714</c:v>
                </c:pt>
                <c:pt idx="483">
                  <c:v>45957.18</c:v>
                </c:pt>
                <c:pt idx="484">
                  <c:v>42246.05</c:v>
                </c:pt>
                <c:pt idx="485">
                  <c:v>32110.280000000002</c:v>
                </c:pt>
                <c:pt idx="486">
                  <c:v>53999</c:v>
                </c:pt>
                <c:pt idx="487">
                  <c:v>36099.050000000003</c:v>
                </c:pt>
                <c:pt idx="488">
                  <c:v>52249.05</c:v>
                </c:pt>
                <c:pt idx="489">
                  <c:v>139800</c:v>
                </c:pt>
                <c:pt idx="490">
                  <c:v>203495.1</c:v>
                </c:pt>
                <c:pt idx="491">
                  <c:v>71488.100000000006</c:v>
                </c:pt>
                <c:pt idx="492">
                  <c:v>31499.1</c:v>
                </c:pt>
                <c:pt idx="493">
                  <c:v>34959.08</c:v>
                </c:pt>
                <c:pt idx="494">
                  <c:v>22499.1</c:v>
                </c:pt>
                <c:pt idx="495">
                  <c:v>139646.19999999998</c:v>
                </c:pt>
                <c:pt idx="496">
                  <c:v>234375.81</c:v>
                </c:pt>
                <c:pt idx="497">
                  <c:v>7660.5</c:v>
                </c:pt>
                <c:pt idx="498">
                  <c:v>66498.100000000006</c:v>
                </c:pt>
                <c:pt idx="499">
                  <c:v>29039.119999999999</c:v>
                </c:pt>
                <c:pt idx="500">
                  <c:v>45998.16</c:v>
                </c:pt>
                <c:pt idx="501">
                  <c:v>221486</c:v>
                </c:pt>
                <c:pt idx="502">
                  <c:v>46749.15</c:v>
                </c:pt>
                <c:pt idx="503">
                  <c:v>104087.21</c:v>
                </c:pt>
                <c:pt idx="504">
                  <c:v>5789.5</c:v>
                </c:pt>
                <c:pt idx="505">
                  <c:v>112087.65000000001</c:v>
                </c:pt>
                <c:pt idx="506">
                  <c:v>2999</c:v>
                </c:pt>
                <c:pt idx="507">
                  <c:v>4740.5</c:v>
                </c:pt>
                <c:pt idx="508">
                  <c:v>287226.38</c:v>
                </c:pt>
                <c:pt idx="509">
                  <c:v>87420.700000000012</c:v>
                </c:pt>
                <c:pt idx="510">
                  <c:v>66405</c:v>
                </c:pt>
                <c:pt idx="511">
                  <c:v>38497.199999999997</c:v>
                </c:pt>
                <c:pt idx="512">
                  <c:v>3790.5</c:v>
                </c:pt>
                <c:pt idx="513">
                  <c:v>202396.32</c:v>
                </c:pt>
                <c:pt idx="514">
                  <c:v>185559.5</c:v>
                </c:pt>
                <c:pt idx="515">
                  <c:v>100151.08</c:v>
                </c:pt>
                <c:pt idx="516">
                  <c:v>21849.05</c:v>
                </c:pt>
                <c:pt idx="517">
                  <c:v>91296.290000000008</c:v>
                </c:pt>
                <c:pt idx="518">
                  <c:v>66405</c:v>
                </c:pt>
                <c:pt idx="519">
                  <c:v>161991</c:v>
                </c:pt>
                <c:pt idx="520">
                  <c:v>5391</c:v>
                </c:pt>
                <c:pt idx="521">
                  <c:v>132810</c:v>
                </c:pt>
                <c:pt idx="522">
                  <c:v>181093.46</c:v>
                </c:pt>
                <c:pt idx="523">
                  <c:v>1341</c:v>
                </c:pt>
                <c:pt idx="524">
                  <c:v>24592.799999999999</c:v>
                </c:pt>
                <c:pt idx="525">
                  <c:v>1415.5</c:v>
                </c:pt>
                <c:pt idx="526">
                  <c:v>149793.75</c:v>
                </c:pt>
                <c:pt idx="527">
                  <c:v>157482.23999999999</c:v>
                </c:pt>
                <c:pt idx="528">
                  <c:v>247622.14999999997</c:v>
                </c:pt>
                <c:pt idx="529">
                  <c:v>12999</c:v>
                </c:pt>
                <c:pt idx="530">
                  <c:v>128497.18000000001</c:v>
                </c:pt>
                <c:pt idx="531">
                  <c:v>40478.239999999998</c:v>
                </c:pt>
                <c:pt idx="532">
                  <c:v>114878.31</c:v>
                </c:pt>
                <c:pt idx="533">
                  <c:v>70081.5</c:v>
                </c:pt>
                <c:pt idx="534">
                  <c:v>1311.2</c:v>
                </c:pt>
                <c:pt idx="535">
                  <c:v>286012</c:v>
                </c:pt>
                <c:pt idx="536">
                  <c:v>75998</c:v>
                </c:pt>
                <c:pt idx="537">
                  <c:v>281363.49</c:v>
                </c:pt>
                <c:pt idx="538">
                  <c:v>32199.08</c:v>
                </c:pt>
                <c:pt idx="539">
                  <c:v>92157.16</c:v>
                </c:pt>
                <c:pt idx="540">
                  <c:v>21999.119999999999</c:v>
                </c:pt>
                <c:pt idx="541">
                  <c:v>23619.72</c:v>
                </c:pt>
                <c:pt idx="542">
                  <c:v>54999</c:v>
                </c:pt>
                <c:pt idx="543">
                  <c:v>3737.5</c:v>
                </c:pt>
                <c:pt idx="544">
                  <c:v>3661.6</c:v>
                </c:pt>
                <c:pt idx="545">
                  <c:v>38639.08</c:v>
                </c:pt>
                <c:pt idx="546">
                  <c:v>114197.1</c:v>
                </c:pt>
                <c:pt idx="547">
                  <c:v>1415.5</c:v>
                </c:pt>
                <c:pt idx="548">
                  <c:v>11251.8</c:v>
                </c:pt>
                <c:pt idx="549">
                  <c:v>157156.16</c:v>
                </c:pt>
                <c:pt idx="550">
                  <c:v>183994.4</c:v>
                </c:pt>
                <c:pt idx="551">
                  <c:v>1161</c:v>
                </c:pt>
                <c:pt idx="552">
                  <c:v>79177.33</c:v>
                </c:pt>
                <c:pt idx="553">
                  <c:v>5671.5</c:v>
                </c:pt>
                <c:pt idx="554">
                  <c:v>115136.32000000001</c:v>
                </c:pt>
                <c:pt idx="555">
                  <c:v>1890.5</c:v>
                </c:pt>
                <c:pt idx="556">
                  <c:v>204207.08999999997</c:v>
                </c:pt>
                <c:pt idx="557">
                  <c:v>189072</c:v>
                </c:pt>
                <c:pt idx="558">
                  <c:v>71128.95</c:v>
                </c:pt>
                <c:pt idx="559">
                  <c:v>19999</c:v>
                </c:pt>
                <c:pt idx="560">
                  <c:v>12349.05</c:v>
                </c:pt>
                <c:pt idx="561">
                  <c:v>69900</c:v>
                </c:pt>
                <c:pt idx="562">
                  <c:v>80179.58</c:v>
                </c:pt>
                <c:pt idx="563">
                  <c:v>45079.08</c:v>
                </c:pt>
                <c:pt idx="564">
                  <c:v>7490</c:v>
                </c:pt>
                <c:pt idx="565">
                  <c:v>169524.44</c:v>
                </c:pt>
                <c:pt idx="566">
                  <c:v>11699.1</c:v>
                </c:pt>
                <c:pt idx="567">
                  <c:v>48399.12</c:v>
                </c:pt>
                <c:pt idx="568">
                  <c:v>1186.8</c:v>
                </c:pt>
                <c:pt idx="569">
                  <c:v>3980</c:v>
                </c:pt>
                <c:pt idx="570">
                  <c:v>43414.5</c:v>
                </c:pt>
                <c:pt idx="571">
                  <c:v>140120.18</c:v>
                </c:pt>
                <c:pt idx="572">
                  <c:v>127696.1</c:v>
                </c:pt>
                <c:pt idx="573">
                  <c:v>34959.08</c:v>
                </c:pt>
                <c:pt idx="574">
                  <c:v>148497.29999999999</c:v>
                </c:pt>
                <c:pt idx="575">
                  <c:v>1751.2</c:v>
                </c:pt>
                <c:pt idx="576">
                  <c:v>191896.2</c:v>
                </c:pt>
                <c:pt idx="577">
                  <c:v>21159.08</c:v>
                </c:pt>
                <c:pt idx="578">
                  <c:v>151797.24</c:v>
                </c:pt>
                <c:pt idx="579">
                  <c:v>14104.08</c:v>
                </c:pt>
                <c:pt idx="580">
                  <c:v>5690.5</c:v>
                </c:pt>
                <c:pt idx="581">
                  <c:v>77278.16</c:v>
                </c:pt>
                <c:pt idx="582">
                  <c:v>149037.24</c:v>
                </c:pt>
                <c:pt idx="583">
                  <c:v>136305</c:v>
                </c:pt>
                <c:pt idx="584">
                  <c:v>45899.15</c:v>
                </c:pt>
                <c:pt idx="585">
                  <c:v>1490</c:v>
                </c:pt>
                <c:pt idx="586">
                  <c:v>75259.05</c:v>
                </c:pt>
                <c:pt idx="587">
                  <c:v>1999</c:v>
                </c:pt>
                <c:pt idx="588">
                  <c:v>5990</c:v>
                </c:pt>
                <c:pt idx="589">
                  <c:v>94748.96</c:v>
                </c:pt>
                <c:pt idx="590">
                  <c:v>2999</c:v>
                </c:pt>
                <c:pt idx="591">
                  <c:v>14970</c:v>
                </c:pt>
                <c:pt idx="592">
                  <c:v>60313.600000000006</c:v>
                </c:pt>
                <c:pt idx="593">
                  <c:v>4590.8</c:v>
                </c:pt>
                <c:pt idx="594">
                  <c:v>107457.66</c:v>
                </c:pt>
                <c:pt idx="595">
                  <c:v>4224.5</c:v>
                </c:pt>
                <c:pt idx="596">
                  <c:v>146997</c:v>
                </c:pt>
                <c:pt idx="597">
                  <c:v>70075.8</c:v>
                </c:pt>
                <c:pt idx="598">
                  <c:v>11970</c:v>
                </c:pt>
                <c:pt idx="599">
                  <c:v>69918.16</c:v>
                </c:pt>
                <c:pt idx="600">
                  <c:v>235229.7</c:v>
                </c:pt>
                <c:pt idx="601">
                  <c:v>5271.2</c:v>
                </c:pt>
                <c:pt idx="602">
                  <c:v>4740.5</c:v>
                </c:pt>
                <c:pt idx="603">
                  <c:v>11381</c:v>
                </c:pt>
                <c:pt idx="604">
                  <c:v>57080.1</c:v>
                </c:pt>
                <c:pt idx="605">
                  <c:v>79798.100000000006</c:v>
                </c:pt>
                <c:pt idx="606">
                  <c:v>402870.78</c:v>
                </c:pt>
                <c:pt idx="607">
                  <c:v>95038.24</c:v>
                </c:pt>
                <c:pt idx="608">
                  <c:v>1341</c:v>
                </c:pt>
                <c:pt idx="609">
                  <c:v>57911.05</c:v>
                </c:pt>
                <c:pt idx="610">
                  <c:v>94915.62</c:v>
                </c:pt>
                <c:pt idx="611">
                  <c:v>41989</c:v>
                </c:pt>
                <c:pt idx="612">
                  <c:v>2451</c:v>
                </c:pt>
                <c:pt idx="613">
                  <c:v>75998.100000000006</c:v>
                </c:pt>
                <c:pt idx="614">
                  <c:v>1096.5</c:v>
                </c:pt>
                <c:pt idx="615">
                  <c:v>1799.1</c:v>
                </c:pt>
                <c:pt idx="616">
                  <c:v>132292.5</c:v>
                </c:pt>
                <c:pt idx="617">
                  <c:v>105578.1</c:v>
                </c:pt>
                <c:pt idx="618">
                  <c:v>31499.1</c:v>
                </c:pt>
                <c:pt idx="619">
                  <c:v>5879.05</c:v>
                </c:pt>
                <c:pt idx="620">
                  <c:v>186196.2</c:v>
                </c:pt>
                <c:pt idx="621">
                  <c:v>12349.05</c:v>
                </c:pt>
                <c:pt idx="622">
                  <c:v>68398.2</c:v>
                </c:pt>
                <c:pt idx="623">
                  <c:v>208094.42</c:v>
                </c:pt>
                <c:pt idx="624">
                  <c:v>5299.2</c:v>
                </c:pt>
                <c:pt idx="625">
                  <c:v>56586.1</c:v>
                </c:pt>
                <c:pt idx="626">
                  <c:v>3863.6</c:v>
                </c:pt>
                <c:pt idx="627">
                  <c:v>1490</c:v>
                </c:pt>
                <c:pt idx="628">
                  <c:v>133908</c:v>
                </c:pt>
                <c:pt idx="629">
                  <c:v>31398.080000000002</c:v>
                </c:pt>
                <c:pt idx="630">
                  <c:v>66405</c:v>
                </c:pt>
                <c:pt idx="631">
                  <c:v>46749.15</c:v>
                </c:pt>
                <c:pt idx="632">
                  <c:v>5998</c:v>
                </c:pt>
                <c:pt idx="633">
                  <c:v>76958.080000000002</c:v>
                </c:pt>
                <c:pt idx="634">
                  <c:v>2373.6</c:v>
                </c:pt>
                <c:pt idx="635">
                  <c:v>5931.8</c:v>
                </c:pt>
                <c:pt idx="636">
                  <c:v>35898.25</c:v>
                </c:pt>
                <c:pt idx="637">
                  <c:v>69900</c:v>
                </c:pt>
                <c:pt idx="638">
                  <c:v>123245.05</c:v>
                </c:pt>
                <c:pt idx="639">
                  <c:v>54961.08</c:v>
                </c:pt>
                <c:pt idx="640">
                  <c:v>8483</c:v>
                </c:pt>
                <c:pt idx="641">
                  <c:v>33249.050000000003</c:v>
                </c:pt>
                <c:pt idx="642">
                  <c:v>15172.32</c:v>
                </c:pt>
                <c:pt idx="643">
                  <c:v>53835.899999999994</c:v>
                </c:pt>
                <c:pt idx="644">
                  <c:v>53664.55</c:v>
                </c:pt>
                <c:pt idx="645">
                  <c:v>66278.55</c:v>
                </c:pt>
                <c:pt idx="646">
                  <c:v>130966.90000000001</c:v>
                </c:pt>
                <c:pt idx="647">
                  <c:v>9081.7999999999993</c:v>
                </c:pt>
                <c:pt idx="648">
                  <c:v>95197.180000000008</c:v>
                </c:pt>
                <c:pt idx="649">
                  <c:v>4386</c:v>
                </c:pt>
                <c:pt idx="650">
                  <c:v>14970</c:v>
                </c:pt>
                <c:pt idx="651">
                  <c:v>68469.58</c:v>
                </c:pt>
                <c:pt idx="652">
                  <c:v>186966.02999999997</c:v>
                </c:pt>
                <c:pt idx="653">
                  <c:v>22954</c:v>
                </c:pt>
                <c:pt idx="654">
                  <c:v>3582</c:v>
                </c:pt>
                <c:pt idx="655">
                  <c:v>37799.1</c:v>
                </c:pt>
                <c:pt idx="656">
                  <c:v>64308</c:v>
                </c:pt>
                <c:pt idx="657">
                  <c:v>98079.3</c:v>
                </c:pt>
                <c:pt idx="658">
                  <c:v>104997</c:v>
                </c:pt>
                <c:pt idx="659">
                  <c:v>4590.8</c:v>
                </c:pt>
                <c:pt idx="660">
                  <c:v>13616.32</c:v>
                </c:pt>
                <c:pt idx="661">
                  <c:v>64352</c:v>
                </c:pt>
                <c:pt idx="662">
                  <c:v>117197.2</c:v>
                </c:pt>
                <c:pt idx="663">
                  <c:v>84077.4</c:v>
                </c:pt>
                <c:pt idx="664">
                  <c:v>33249.050000000003</c:v>
                </c:pt>
                <c:pt idx="665">
                  <c:v>137042.01</c:v>
                </c:pt>
                <c:pt idx="666">
                  <c:v>11977</c:v>
                </c:pt>
                <c:pt idx="667">
                  <c:v>1225.5</c:v>
                </c:pt>
                <c:pt idx="668">
                  <c:v>66277</c:v>
                </c:pt>
                <c:pt idx="669">
                  <c:v>79198.2</c:v>
                </c:pt>
                <c:pt idx="670">
                  <c:v>75996.2</c:v>
                </c:pt>
                <c:pt idx="671">
                  <c:v>3998</c:v>
                </c:pt>
                <c:pt idx="672">
                  <c:v>3391.5</c:v>
                </c:pt>
                <c:pt idx="673">
                  <c:v>56398.080000000002</c:v>
                </c:pt>
                <c:pt idx="674">
                  <c:v>2759.08</c:v>
                </c:pt>
                <c:pt idx="675">
                  <c:v>13537.1</c:v>
                </c:pt>
                <c:pt idx="676">
                  <c:v>132996.20000000001</c:v>
                </c:pt>
                <c:pt idx="677">
                  <c:v>65149.1</c:v>
                </c:pt>
                <c:pt idx="678">
                  <c:v>2699.1</c:v>
                </c:pt>
                <c:pt idx="679">
                  <c:v>34859.35</c:v>
                </c:pt>
                <c:pt idx="680">
                  <c:v>143786.38</c:v>
                </c:pt>
                <c:pt idx="681">
                  <c:v>94996.2</c:v>
                </c:pt>
                <c:pt idx="682">
                  <c:v>3670.8</c:v>
                </c:pt>
                <c:pt idx="683">
                  <c:v>303331.20999999996</c:v>
                </c:pt>
                <c:pt idx="684">
                  <c:v>21849.05</c:v>
                </c:pt>
                <c:pt idx="685">
                  <c:v>51058.18</c:v>
                </c:pt>
                <c:pt idx="686">
                  <c:v>205753.08</c:v>
                </c:pt>
                <c:pt idx="687">
                  <c:v>37799.1</c:v>
                </c:pt>
                <c:pt idx="688">
                  <c:v>280094.25</c:v>
                </c:pt>
                <c:pt idx="689">
                  <c:v>12058.24</c:v>
                </c:pt>
                <c:pt idx="690">
                  <c:v>2759.08</c:v>
                </c:pt>
                <c:pt idx="691">
                  <c:v>6422</c:v>
                </c:pt>
                <c:pt idx="692">
                  <c:v>73667.210000000006</c:v>
                </c:pt>
                <c:pt idx="693">
                  <c:v>110857.05</c:v>
                </c:pt>
                <c:pt idx="694">
                  <c:v>98507.1</c:v>
                </c:pt>
                <c:pt idx="695">
                  <c:v>117795.1</c:v>
                </c:pt>
                <c:pt idx="696">
                  <c:v>183075.40000000002</c:v>
                </c:pt>
                <c:pt idx="697">
                  <c:v>68398.2</c:v>
                </c:pt>
                <c:pt idx="698">
                  <c:v>63948.15</c:v>
                </c:pt>
                <c:pt idx="699">
                  <c:v>45781</c:v>
                </c:pt>
                <c:pt idx="700">
                  <c:v>159047.32</c:v>
                </c:pt>
                <c:pt idx="701">
                  <c:v>34959.08</c:v>
                </c:pt>
                <c:pt idx="702">
                  <c:v>7779</c:v>
                </c:pt>
                <c:pt idx="703">
                  <c:v>85498.1</c:v>
                </c:pt>
                <c:pt idx="704">
                  <c:v>181077.59999999998</c:v>
                </c:pt>
                <c:pt idx="705">
                  <c:v>12349.05</c:v>
                </c:pt>
                <c:pt idx="706">
                  <c:v>211416.32000000001</c:v>
                </c:pt>
                <c:pt idx="707">
                  <c:v>50248.200000000004</c:v>
                </c:pt>
                <c:pt idx="708">
                  <c:v>1490</c:v>
                </c:pt>
                <c:pt idx="709">
                  <c:v>34959.08</c:v>
                </c:pt>
                <c:pt idx="710">
                  <c:v>56997.15</c:v>
                </c:pt>
                <c:pt idx="711">
                  <c:v>31499.1</c:v>
                </c:pt>
                <c:pt idx="712">
                  <c:v>66099</c:v>
                </c:pt>
                <c:pt idx="713">
                  <c:v>199237.80000000002</c:v>
                </c:pt>
                <c:pt idx="714">
                  <c:v>41318.130000000005</c:v>
                </c:pt>
                <c:pt idx="715">
                  <c:v>52249.05</c:v>
                </c:pt>
                <c:pt idx="716">
                  <c:v>1290</c:v>
                </c:pt>
                <c:pt idx="717">
                  <c:v>52660.6</c:v>
                </c:pt>
                <c:pt idx="718">
                  <c:v>99747.15</c:v>
                </c:pt>
                <c:pt idx="719">
                  <c:v>54397.120000000003</c:v>
                </c:pt>
                <c:pt idx="720">
                  <c:v>60346.350000000006</c:v>
                </c:pt>
                <c:pt idx="721">
                  <c:v>59398.2</c:v>
                </c:pt>
                <c:pt idx="722">
                  <c:v>23366.6</c:v>
                </c:pt>
                <c:pt idx="723">
                  <c:v>42898.05</c:v>
                </c:pt>
                <c:pt idx="724">
                  <c:v>123197.28</c:v>
                </c:pt>
                <c:pt idx="725">
                  <c:v>65826.149999999994</c:v>
                </c:pt>
                <c:pt idx="726">
                  <c:v>48999</c:v>
                </c:pt>
                <c:pt idx="727">
                  <c:v>24999</c:v>
                </c:pt>
                <c:pt idx="728">
                  <c:v>35042.199999999997</c:v>
                </c:pt>
                <c:pt idx="729">
                  <c:v>49871.450000000004</c:v>
                </c:pt>
                <c:pt idx="730">
                  <c:v>2849.05</c:v>
                </c:pt>
                <c:pt idx="731">
                  <c:v>8982</c:v>
                </c:pt>
                <c:pt idx="732">
                  <c:v>66900</c:v>
                </c:pt>
                <c:pt idx="733">
                  <c:v>143032.31</c:v>
                </c:pt>
                <c:pt idx="734">
                  <c:v>1370.8</c:v>
                </c:pt>
                <c:pt idx="735">
                  <c:v>96747.1</c:v>
                </c:pt>
                <c:pt idx="736">
                  <c:v>10542.4</c:v>
                </c:pt>
                <c:pt idx="737">
                  <c:v>2322</c:v>
                </c:pt>
                <c:pt idx="738">
                  <c:v>3990</c:v>
                </c:pt>
                <c:pt idx="739">
                  <c:v>31529.899999999998</c:v>
                </c:pt>
                <c:pt idx="740">
                  <c:v>139996</c:v>
                </c:pt>
                <c:pt idx="741">
                  <c:v>2759.08</c:v>
                </c:pt>
                <c:pt idx="742">
                  <c:v>1799.1</c:v>
                </c:pt>
                <c:pt idx="743">
                  <c:v>4790</c:v>
                </c:pt>
                <c:pt idx="744">
                  <c:v>90158.16</c:v>
                </c:pt>
                <c:pt idx="745">
                  <c:v>104498.1</c:v>
                </c:pt>
                <c:pt idx="746">
                  <c:v>121956.33</c:v>
                </c:pt>
                <c:pt idx="747">
                  <c:v>51299.05</c:v>
                </c:pt>
                <c:pt idx="748">
                  <c:v>9810.7999999999993</c:v>
                </c:pt>
                <c:pt idx="749">
                  <c:v>227068.3</c:v>
                </c:pt>
                <c:pt idx="750">
                  <c:v>46546.15</c:v>
                </c:pt>
                <c:pt idx="751">
                  <c:v>75998</c:v>
                </c:pt>
                <c:pt idx="752">
                  <c:v>69918.16</c:v>
                </c:pt>
                <c:pt idx="753">
                  <c:v>49369.599999999999</c:v>
                </c:pt>
                <c:pt idx="754">
                  <c:v>22499.1</c:v>
                </c:pt>
                <c:pt idx="755">
                  <c:v>40957.08</c:v>
                </c:pt>
                <c:pt idx="756">
                  <c:v>31349.05</c:v>
                </c:pt>
                <c:pt idx="757">
                  <c:v>8547.15</c:v>
                </c:pt>
                <c:pt idx="758">
                  <c:v>3380.5</c:v>
                </c:pt>
                <c:pt idx="759">
                  <c:v>172036.36</c:v>
                </c:pt>
                <c:pt idx="760">
                  <c:v>79471</c:v>
                </c:pt>
                <c:pt idx="761">
                  <c:v>24300.3</c:v>
                </c:pt>
                <c:pt idx="762">
                  <c:v>3790.5</c:v>
                </c:pt>
                <c:pt idx="763">
                  <c:v>43539.65</c:v>
                </c:pt>
                <c:pt idx="764">
                  <c:v>339391.56000000006</c:v>
                </c:pt>
                <c:pt idx="765">
                  <c:v>37999</c:v>
                </c:pt>
                <c:pt idx="766">
                  <c:v>46633.850000000006</c:v>
                </c:pt>
                <c:pt idx="767">
                  <c:v>11959.08</c:v>
                </c:pt>
                <c:pt idx="768">
                  <c:v>2549.15</c:v>
                </c:pt>
                <c:pt idx="769">
                  <c:v>40998.17</c:v>
                </c:pt>
                <c:pt idx="770">
                  <c:v>107998</c:v>
                </c:pt>
                <c:pt idx="771">
                  <c:v>95996.160000000003</c:v>
                </c:pt>
                <c:pt idx="772">
                  <c:v>91077.08</c:v>
                </c:pt>
                <c:pt idx="773">
                  <c:v>21159.08</c:v>
                </c:pt>
                <c:pt idx="774">
                  <c:v>7789.1</c:v>
                </c:pt>
                <c:pt idx="775">
                  <c:v>41649.15</c:v>
                </c:pt>
                <c:pt idx="776">
                  <c:v>39647.210000000006</c:v>
                </c:pt>
                <c:pt idx="777">
                  <c:v>39899.050000000003</c:v>
                </c:pt>
                <c:pt idx="778">
                  <c:v>61488.740000000005</c:v>
                </c:pt>
                <c:pt idx="779">
                  <c:v>79798.100000000006</c:v>
                </c:pt>
                <c:pt idx="780">
                  <c:v>71298.13</c:v>
                </c:pt>
                <c:pt idx="781">
                  <c:v>93770.1</c:v>
                </c:pt>
                <c:pt idx="782">
                  <c:v>79798.100000000006</c:v>
                </c:pt>
                <c:pt idx="783">
                  <c:v>63987</c:v>
                </c:pt>
                <c:pt idx="784">
                  <c:v>5575.55</c:v>
                </c:pt>
                <c:pt idx="785">
                  <c:v>91317.16</c:v>
                </c:pt>
                <c:pt idx="786">
                  <c:v>137835.45000000001</c:v>
                </c:pt>
                <c:pt idx="787">
                  <c:v>37998.1</c:v>
                </c:pt>
                <c:pt idx="788">
                  <c:v>46549.05</c:v>
                </c:pt>
                <c:pt idx="789">
                  <c:v>1290</c:v>
                </c:pt>
                <c:pt idx="790">
                  <c:v>7996</c:v>
                </c:pt>
                <c:pt idx="791">
                  <c:v>64817.26</c:v>
                </c:pt>
                <c:pt idx="792">
                  <c:v>56798.15</c:v>
                </c:pt>
                <c:pt idx="793">
                  <c:v>176909.1</c:v>
                </c:pt>
                <c:pt idx="794">
                  <c:v>49906.1</c:v>
                </c:pt>
                <c:pt idx="795">
                  <c:v>276932.62</c:v>
                </c:pt>
                <c:pt idx="796">
                  <c:v>68398.2</c:v>
                </c:pt>
                <c:pt idx="797">
                  <c:v>20699.099999999999</c:v>
                </c:pt>
                <c:pt idx="798">
                  <c:v>81937.210000000006</c:v>
                </c:pt>
                <c:pt idx="799">
                  <c:v>14221.5</c:v>
                </c:pt>
                <c:pt idx="800">
                  <c:v>21159.08</c:v>
                </c:pt>
                <c:pt idx="801">
                  <c:v>187236.26</c:v>
                </c:pt>
                <c:pt idx="802">
                  <c:v>172605.15</c:v>
                </c:pt>
                <c:pt idx="803">
                  <c:v>48999</c:v>
                </c:pt>
                <c:pt idx="804">
                  <c:v>80666.48000000001</c:v>
                </c:pt>
                <c:pt idx="805">
                  <c:v>2980</c:v>
                </c:pt>
                <c:pt idx="806">
                  <c:v>69900</c:v>
                </c:pt>
                <c:pt idx="807">
                  <c:v>33249.050000000003</c:v>
                </c:pt>
                <c:pt idx="808">
                  <c:v>132810</c:v>
                </c:pt>
                <c:pt idx="809">
                  <c:v>136796.4</c:v>
                </c:pt>
                <c:pt idx="810">
                  <c:v>1990</c:v>
                </c:pt>
                <c:pt idx="811">
                  <c:v>11980</c:v>
                </c:pt>
                <c:pt idx="812">
                  <c:v>1691.5</c:v>
                </c:pt>
                <c:pt idx="813">
                  <c:v>45079.08</c:v>
                </c:pt>
                <c:pt idx="814">
                  <c:v>61512</c:v>
                </c:pt>
                <c:pt idx="815">
                  <c:v>45079.08</c:v>
                </c:pt>
                <c:pt idx="816">
                  <c:v>9980</c:v>
                </c:pt>
                <c:pt idx="817">
                  <c:v>18363.2</c:v>
                </c:pt>
                <c:pt idx="818">
                  <c:v>23749.05</c:v>
                </c:pt>
                <c:pt idx="819">
                  <c:v>36099.050000000003</c:v>
                </c:pt>
                <c:pt idx="820">
                  <c:v>11049.15</c:v>
                </c:pt>
                <c:pt idx="821">
                  <c:v>3670.8</c:v>
                </c:pt>
                <c:pt idx="822">
                  <c:v>37999</c:v>
                </c:pt>
                <c:pt idx="823">
                  <c:v>98998.2</c:v>
                </c:pt>
                <c:pt idx="824">
                  <c:v>2699.1</c:v>
                </c:pt>
                <c:pt idx="825">
                  <c:v>140247.45000000001</c:v>
                </c:pt>
                <c:pt idx="826">
                  <c:v>74997</c:v>
                </c:pt>
                <c:pt idx="827">
                  <c:v>52249.05</c:v>
                </c:pt>
                <c:pt idx="828">
                  <c:v>118796.4</c:v>
                </c:pt>
                <c:pt idx="829">
                  <c:v>53999</c:v>
                </c:pt>
                <c:pt idx="830">
                  <c:v>2849.05</c:v>
                </c:pt>
                <c:pt idx="831">
                  <c:v>172476.48</c:v>
                </c:pt>
                <c:pt idx="832">
                  <c:v>31349.05</c:v>
                </c:pt>
                <c:pt idx="833">
                  <c:v>4491</c:v>
                </c:pt>
              </c:numCache>
            </c:numRef>
          </c:val>
          <c:extLst>
            <c:ext xmlns:c16="http://schemas.microsoft.com/office/drawing/2014/chart" uri="{C3380CC4-5D6E-409C-BE32-E72D297353CC}">
              <c16:uniqueId val="{00000000-1DB4-43E6-A098-A270C539AB08}"/>
            </c:ext>
          </c:extLst>
        </c:ser>
        <c:dLbls>
          <c:showLegendKey val="0"/>
          <c:showVal val="0"/>
          <c:showCatName val="0"/>
          <c:showSerName val="0"/>
          <c:showPercent val="0"/>
          <c:showBubbleSize val="0"/>
        </c:dLbls>
        <c:axId val="364754640"/>
        <c:axId val="134867872"/>
        <c:axId val="341354400"/>
      </c:area3DChart>
      <c:catAx>
        <c:axId val="36475464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67872"/>
        <c:crosses val="autoZero"/>
        <c:auto val="1"/>
        <c:lblAlgn val="ctr"/>
        <c:lblOffset val="100"/>
        <c:noMultiLvlLbl val="0"/>
      </c:catAx>
      <c:valAx>
        <c:axId val="13486787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754640"/>
        <c:crosses val="autoZero"/>
        <c:crossBetween val="midCat"/>
      </c:valAx>
      <c:serAx>
        <c:axId val="34135440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867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[OnePlus_Sales_Clean_Dataset.xlsx]Sheet4!PivotTable13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0CCF-49FC-AB7F-FA298B74F658}"/>
            </c:ext>
          </c:extLst>
        </c:ser>
        <c:dLbls>
          <c:showLegendKey val="0"/>
          <c:showVal val="0"/>
          <c:showCatName val="0"/>
          <c:showSerName val="0"/>
          <c:showPercent val="0"/>
          <c:showBubbleSize val="0"/>
        </c:dLbls>
        <c:marker val="1"/>
        <c:smooth val="0"/>
        <c:axId val="1479058592"/>
        <c:axId val="1511941568"/>
      </c:lineChart>
      <c:catAx>
        <c:axId val="1479058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Sheet4!$O$13</c:f>
              <c:strCache>
                <c:ptCount val="1"/>
                <c:pt idx="0">
                  <c:v>Total</c:v>
                </c:pt>
              </c:strCache>
            </c:strRef>
          </c:tx>
          <c:spPr>
            <a:ln w="28575" cap="rnd">
              <a:solidFill>
                <a:schemeClr val="accent1"/>
              </a:solidFill>
              <a:round/>
            </a:ln>
            <a:effectLst/>
          </c:spPr>
          <c:marker>
            <c:symbol val="none"/>
          </c:marker>
          <c:cat>
            <c:strRef>
              <c:f>Sheet4!$N$14:$N$18</c:f>
              <c:strCache>
                <c:ptCount val="4"/>
                <c:pt idx="0">
                  <c:v>2018</c:v>
                </c:pt>
                <c:pt idx="1">
                  <c:v>2019</c:v>
                </c:pt>
                <c:pt idx="2">
                  <c:v>2020</c:v>
                </c:pt>
                <c:pt idx="3">
                  <c:v>2021</c:v>
                </c:pt>
              </c:strCache>
            </c:strRef>
          </c:cat>
          <c:val>
            <c:numRef>
              <c:f>Sheet4!$O$14:$O$18</c:f>
              <c:numCache>
                <c:formatCode>\₹#,##0.00</c:formatCode>
                <c:ptCount val="4"/>
                <c:pt idx="0">
                  <c:v>16759914.900000006</c:v>
                </c:pt>
                <c:pt idx="1">
                  <c:v>18747410.900000025</c:v>
                </c:pt>
                <c:pt idx="2">
                  <c:v>19051093.630000029</c:v>
                </c:pt>
                <c:pt idx="3">
                  <c:v>110015.4</c:v>
                </c:pt>
              </c:numCache>
            </c:numRef>
          </c:val>
          <c:smooth val="0"/>
          <c:extLst>
            <c:ext xmlns:c16="http://schemas.microsoft.com/office/drawing/2014/chart" uri="{C3380CC4-5D6E-409C-BE32-E72D297353CC}">
              <c16:uniqueId val="{00000000-0083-47CF-81F8-2CEFF4FD02D2}"/>
            </c:ext>
          </c:extLst>
        </c:ser>
        <c:dLbls>
          <c:showLegendKey val="0"/>
          <c:showVal val="0"/>
          <c:showCatName val="0"/>
          <c:showSerName val="0"/>
          <c:showPercent val="0"/>
          <c:showBubbleSize val="0"/>
        </c:dLbls>
        <c:smooth val="0"/>
        <c:axId val="1479058592"/>
        <c:axId val="1511941568"/>
      </c:lineChart>
      <c:catAx>
        <c:axId val="14790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41568"/>
        <c:crosses val="autoZero"/>
        <c:auto val="1"/>
        <c:lblAlgn val="ctr"/>
        <c:lblOffset val="100"/>
        <c:noMultiLvlLbl val="0"/>
      </c:catAx>
      <c:valAx>
        <c:axId val="151194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5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[OnePlus_Sales_Clean_Dataset.xlsx]Sheet4!PivotTable9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Sum of sales</c:v>
                </c:pt>
              </c:strCache>
            </c:strRef>
          </c:tx>
          <c:spPr>
            <a:solidFill>
              <a:schemeClr val="accent1"/>
            </a:solidFill>
            <a:ln>
              <a:noFill/>
            </a:ln>
            <a:effectLst/>
          </c:spPr>
          <c:invertIfNegative val="0"/>
          <c:cat>
            <c:strRef>
              <c:f>Sheet4!$A$14:$A$18</c:f>
              <c:strCache>
                <c:ptCount val="4"/>
                <c:pt idx="0">
                  <c:v>East</c:v>
                </c:pt>
                <c:pt idx="1">
                  <c:v>North</c:v>
                </c:pt>
                <c:pt idx="2">
                  <c:v>South</c:v>
                </c:pt>
                <c:pt idx="3">
                  <c:v>West</c:v>
                </c:pt>
              </c:strCache>
            </c:strRef>
          </c:cat>
          <c:val>
            <c:numRef>
              <c:f>Sheet4!$B$14:$B$18</c:f>
              <c:numCache>
                <c:formatCode>\₹#,##0.00</c:formatCode>
                <c:ptCount val="4"/>
                <c:pt idx="0">
                  <c:v>6562065.4499999993</c:v>
                </c:pt>
                <c:pt idx="1">
                  <c:v>15032858.890000008</c:v>
                </c:pt>
                <c:pt idx="2">
                  <c:v>19822870.54000001</c:v>
                </c:pt>
                <c:pt idx="3">
                  <c:v>13250639.950000009</c:v>
                </c:pt>
              </c:numCache>
            </c:numRef>
          </c:val>
          <c:extLst>
            <c:ext xmlns:c16="http://schemas.microsoft.com/office/drawing/2014/chart" uri="{C3380CC4-5D6E-409C-BE32-E72D297353CC}">
              <c16:uniqueId val="{00000000-CF1B-4C5C-BE6A-15C8041E0C2A}"/>
            </c:ext>
          </c:extLst>
        </c:ser>
        <c:ser>
          <c:idx val="1"/>
          <c:order val="1"/>
          <c:tx>
            <c:strRef>
              <c:f>Sheet4!$C$13</c:f>
              <c:strCache>
                <c:ptCount val="1"/>
                <c:pt idx="0">
                  <c:v>Sum of profit</c:v>
                </c:pt>
              </c:strCache>
            </c:strRef>
          </c:tx>
          <c:spPr>
            <a:solidFill>
              <a:schemeClr val="accent2"/>
            </a:solidFill>
            <a:ln>
              <a:noFill/>
            </a:ln>
            <a:effectLst/>
          </c:spPr>
          <c:invertIfNegative val="0"/>
          <c:cat>
            <c:strRef>
              <c:f>Sheet4!$A$14:$A$18</c:f>
              <c:strCache>
                <c:ptCount val="4"/>
                <c:pt idx="0">
                  <c:v>East</c:v>
                </c:pt>
                <c:pt idx="1">
                  <c:v>North</c:v>
                </c:pt>
                <c:pt idx="2">
                  <c:v>South</c:v>
                </c:pt>
                <c:pt idx="3">
                  <c:v>West</c:v>
                </c:pt>
              </c:strCache>
            </c:strRef>
          </c:cat>
          <c:val>
            <c:numRef>
              <c:f>Sheet4!$C$14:$C$18</c:f>
              <c:numCache>
                <c:formatCode>\₹#,##0.00</c:formatCode>
                <c:ptCount val="4"/>
                <c:pt idx="0">
                  <c:v>1358549.01</c:v>
                </c:pt>
                <c:pt idx="1">
                  <c:v>2983672.5399999982</c:v>
                </c:pt>
                <c:pt idx="2">
                  <c:v>3985458.6499999962</c:v>
                </c:pt>
                <c:pt idx="3">
                  <c:v>2684528.4200000013</c:v>
                </c:pt>
              </c:numCache>
            </c:numRef>
          </c:val>
          <c:extLst>
            <c:ext xmlns:c16="http://schemas.microsoft.com/office/drawing/2014/chart" uri="{C3380CC4-5D6E-409C-BE32-E72D297353CC}">
              <c16:uniqueId val="{00000001-CF1B-4C5C-BE6A-15C8041E0C2A}"/>
            </c:ext>
          </c:extLst>
        </c:ser>
        <c:ser>
          <c:idx val="2"/>
          <c:order val="2"/>
          <c:tx>
            <c:strRef>
              <c:f>Sheet4!$D$13</c:f>
              <c:strCache>
                <c:ptCount val="1"/>
                <c:pt idx="0">
                  <c:v>Sum of quantity</c:v>
                </c:pt>
              </c:strCache>
            </c:strRef>
          </c:tx>
          <c:spPr>
            <a:solidFill>
              <a:schemeClr val="accent3"/>
            </a:solidFill>
            <a:ln>
              <a:noFill/>
            </a:ln>
            <a:effectLst/>
          </c:spPr>
          <c:invertIfNegative val="0"/>
          <c:cat>
            <c:strRef>
              <c:f>Sheet4!$A$14:$A$18</c:f>
              <c:strCache>
                <c:ptCount val="4"/>
                <c:pt idx="0">
                  <c:v>East</c:v>
                </c:pt>
                <c:pt idx="1">
                  <c:v>North</c:v>
                </c:pt>
                <c:pt idx="2">
                  <c:v>South</c:v>
                </c:pt>
                <c:pt idx="3">
                  <c:v>West</c:v>
                </c:pt>
              </c:strCache>
            </c:strRef>
          </c:cat>
          <c:val>
            <c:numRef>
              <c:f>Sheet4!$D$14:$D$18</c:f>
              <c:numCache>
                <c:formatCode>#,##0</c:formatCode>
                <c:ptCount val="4"/>
                <c:pt idx="0">
                  <c:v>332</c:v>
                </c:pt>
                <c:pt idx="1">
                  <c:v>700</c:v>
                </c:pt>
                <c:pt idx="2">
                  <c:v>822</c:v>
                </c:pt>
                <c:pt idx="3">
                  <c:v>581</c:v>
                </c:pt>
              </c:numCache>
            </c:numRef>
          </c:val>
          <c:extLst>
            <c:ext xmlns:c16="http://schemas.microsoft.com/office/drawing/2014/chart" uri="{C3380CC4-5D6E-409C-BE32-E72D297353CC}">
              <c16:uniqueId val="{00000002-CF1B-4C5C-BE6A-15C8041E0C2A}"/>
            </c:ext>
          </c:extLst>
        </c:ser>
        <c:ser>
          <c:idx val="3"/>
          <c:order val="3"/>
          <c:tx>
            <c:strRef>
              <c:f>Sheet4!$E$13</c:f>
              <c:strCache>
                <c:ptCount val="1"/>
                <c:pt idx="0">
                  <c:v>Sum of discount</c:v>
                </c:pt>
              </c:strCache>
            </c:strRef>
          </c:tx>
          <c:spPr>
            <a:solidFill>
              <a:schemeClr val="accent4"/>
            </a:solidFill>
            <a:ln>
              <a:noFill/>
            </a:ln>
            <a:effectLst/>
          </c:spPr>
          <c:invertIfNegative val="0"/>
          <c:cat>
            <c:strRef>
              <c:f>Sheet4!$A$14:$A$18</c:f>
              <c:strCache>
                <c:ptCount val="4"/>
                <c:pt idx="0">
                  <c:v>East</c:v>
                </c:pt>
                <c:pt idx="1">
                  <c:v>North</c:v>
                </c:pt>
                <c:pt idx="2">
                  <c:v>South</c:v>
                </c:pt>
                <c:pt idx="3">
                  <c:v>West</c:v>
                </c:pt>
              </c:strCache>
            </c:strRef>
          </c:cat>
          <c:val>
            <c:numRef>
              <c:f>Sheet4!$E$14:$E$18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3-CF1B-4C5C-BE6A-15C8041E0C2A}"/>
            </c:ext>
          </c:extLst>
        </c:ser>
        <c:ser>
          <c:idx val="4"/>
          <c:order val="4"/>
          <c:tx>
            <c:strRef>
              <c:f>Sheet4!$F$13</c:f>
              <c:strCache>
                <c:ptCount val="1"/>
                <c:pt idx="0">
                  <c:v>Sum of discount_value</c:v>
                </c:pt>
              </c:strCache>
            </c:strRef>
          </c:tx>
          <c:spPr>
            <a:solidFill>
              <a:schemeClr val="accent5"/>
            </a:solidFill>
            <a:ln>
              <a:noFill/>
            </a:ln>
            <a:effectLst/>
          </c:spPr>
          <c:invertIfNegative val="0"/>
          <c:cat>
            <c:strRef>
              <c:f>Sheet4!$A$14:$A$18</c:f>
              <c:strCache>
                <c:ptCount val="4"/>
                <c:pt idx="0">
                  <c:v>East</c:v>
                </c:pt>
                <c:pt idx="1">
                  <c:v>North</c:v>
                </c:pt>
                <c:pt idx="2">
                  <c:v>South</c:v>
                </c:pt>
                <c:pt idx="3">
                  <c:v>West</c:v>
                </c:pt>
              </c:strCache>
            </c:strRef>
          </c:cat>
          <c:val>
            <c:numRef>
              <c:f>Sheet4!$F$14:$F$18</c:f>
              <c:numCache>
                <c:formatCode>\₹#,##0.00</c:formatCode>
                <c:ptCount val="4"/>
                <c:pt idx="0">
                  <c:v>424131.5500000004</c:v>
                </c:pt>
                <c:pt idx="1">
                  <c:v>959193.10999999987</c:v>
                </c:pt>
                <c:pt idx="2">
                  <c:v>1309296.4599999986</c:v>
                </c:pt>
                <c:pt idx="3">
                  <c:v>828509.05</c:v>
                </c:pt>
              </c:numCache>
            </c:numRef>
          </c:val>
          <c:extLst>
            <c:ext xmlns:c16="http://schemas.microsoft.com/office/drawing/2014/chart" uri="{C3380CC4-5D6E-409C-BE32-E72D297353CC}">
              <c16:uniqueId val="{00000004-CF1B-4C5C-BE6A-15C8041E0C2A}"/>
            </c:ext>
          </c:extLst>
        </c:ser>
        <c:dLbls>
          <c:showLegendKey val="0"/>
          <c:showVal val="0"/>
          <c:showCatName val="0"/>
          <c:showSerName val="0"/>
          <c:showPercent val="0"/>
          <c:showBubbleSize val="0"/>
        </c:dLbls>
        <c:gapWidth val="219"/>
        <c:overlap val="-27"/>
        <c:axId val="1705956976"/>
        <c:axId val="1693500800"/>
      </c:barChart>
      <c:catAx>
        <c:axId val="17059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00800"/>
        <c:crosses val="autoZero"/>
        <c:auto val="1"/>
        <c:lblAlgn val="ctr"/>
        <c:lblOffset val="100"/>
        <c:noMultiLvlLbl val="0"/>
      </c:catAx>
      <c:valAx>
        <c:axId val="169350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9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Sheet4!$R$11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6-41A9-BAE7-B16A77303F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6-41A9-BAE7-B16A77303F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06-41A9-BAE7-B16A77303F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06-41A9-BAE7-B16A77303F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06-41A9-BAE7-B16A77303F9F}"/>
              </c:ext>
            </c:extLst>
          </c:dPt>
          <c:cat>
            <c:strRef>
              <c:f>Sheet4!$Q$12:$Q$17</c:f>
              <c:strCache>
                <c:ptCount val="5"/>
                <c:pt idx="0">
                  <c:v>Accessories &amp; Gear</c:v>
                </c:pt>
                <c:pt idx="1">
                  <c:v>Audio &amp; Wearables</c:v>
                </c:pt>
                <c:pt idx="2">
                  <c:v>Flagship Smartphones</c:v>
                </c:pt>
                <c:pt idx="3">
                  <c:v>Mid-Range Smartphones</c:v>
                </c:pt>
                <c:pt idx="4">
                  <c:v>Smart TV &amp; Display</c:v>
                </c:pt>
              </c:strCache>
            </c:strRef>
          </c:cat>
          <c:val>
            <c:numRef>
              <c:f>Sheet4!$R$12:$R$17</c:f>
              <c:numCache>
                <c:formatCode>\₹#,##0.00</c:formatCode>
                <c:ptCount val="5"/>
                <c:pt idx="0">
                  <c:v>1072083.4000000006</c:v>
                </c:pt>
                <c:pt idx="1">
                  <c:v>1760912.0900000015</c:v>
                </c:pt>
                <c:pt idx="2">
                  <c:v>38892840.419999972</c:v>
                </c:pt>
                <c:pt idx="3">
                  <c:v>4823835.3200000022</c:v>
                </c:pt>
                <c:pt idx="4">
                  <c:v>8118763.5999999968</c:v>
                </c:pt>
              </c:numCache>
            </c:numRef>
          </c:val>
          <c:extLst>
            <c:ext xmlns:c16="http://schemas.microsoft.com/office/drawing/2014/chart" uri="{C3380CC4-5D6E-409C-BE32-E72D297353CC}">
              <c16:uniqueId val="{00000000-C5EA-4527-8A6A-46CFCCECA4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[OnePlus_Sales_Clean_Dataset.xlsx]Sheet4!PivotTable10</c:name>
    <c:fmtId val="2"/>
  </c:pivotSource>
  <c:chart>
    <c:title>
      <c:layout>
        <c:manualLayout>
          <c:xMode val="edge"/>
          <c:yMode val="edge"/>
          <c:x val="0.45083333333333336"/>
          <c:y val="0.119349664625255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F1-449A-AA14-C2914ACFEE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F1-449A-AA14-C2914ACFEE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F1-449A-AA14-C2914ACFEE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F1-449A-AA14-C2914ACFEEEF}"/>
              </c:ext>
            </c:extLst>
          </c:dPt>
          <c:cat>
            <c:strRef>
              <c:f>Sheet4!$H$14:$H$18</c:f>
              <c:strCache>
                <c:ptCount val="4"/>
                <c:pt idx="0">
                  <c:v>East</c:v>
                </c:pt>
                <c:pt idx="1">
                  <c:v>North</c:v>
                </c:pt>
                <c:pt idx="2">
                  <c:v>South</c:v>
                </c:pt>
                <c:pt idx="3">
                  <c:v>West</c:v>
                </c:pt>
              </c:strCache>
            </c:strRef>
          </c:cat>
          <c:val>
            <c:numRef>
              <c:f>Sheet4!$I$14:$I$18</c:f>
              <c:numCache>
                <c:formatCode>0.0%</c:formatCode>
                <c:ptCount val="4"/>
                <c:pt idx="0">
                  <c:v>11.890000000000006</c:v>
                </c:pt>
                <c:pt idx="1">
                  <c:v>25.850000000000041</c:v>
                </c:pt>
                <c:pt idx="2">
                  <c:v>30.630000000000074</c:v>
                </c:pt>
                <c:pt idx="3">
                  <c:v>21.280000000000005</c:v>
                </c:pt>
              </c:numCache>
            </c:numRef>
          </c:val>
          <c:extLst>
            <c:ext xmlns:c16="http://schemas.microsoft.com/office/drawing/2014/chart" uri="{C3380CC4-5D6E-409C-BE32-E72D297353CC}">
              <c16:uniqueId val="{00000000-BEF0-4B59-BE57-0D4F574E799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[OnePlus_Sales_Clean_Dataset.xlsx]Sheet4!PivotTable11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Sheet4!$L$13</c:f>
              <c:strCache>
                <c:ptCount val="1"/>
                <c:pt idx="0">
                  <c:v>Total</c:v>
                </c:pt>
              </c:strCache>
            </c:strRef>
          </c:tx>
          <c:spPr>
            <a:solidFill>
              <a:schemeClr val="accent1"/>
            </a:solidFill>
            <a:ln>
              <a:noFill/>
            </a:ln>
            <a:effectLst/>
            <a:sp3d/>
          </c:spPr>
          <c:cat>
            <c:strRef>
              <c:f>Sheet4!$K$14:$K$848</c:f>
              <c:strCache>
                <c:ptCount val="834"/>
                <c:pt idx="0">
                  <c:v>43101</c:v>
                </c:pt>
                <c:pt idx="1">
                  <c:v>43102</c:v>
                </c:pt>
                <c:pt idx="2">
                  <c:v>43103</c:v>
                </c:pt>
                <c:pt idx="3">
                  <c:v>43105</c:v>
                </c:pt>
                <c:pt idx="4">
                  <c:v>43106</c:v>
                </c:pt>
                <c:pt idx="5">
                  <c:v>43110</c:v>
                </c:pt>
                <c:pt idx="6">
                  <c:v>43111</c:v>
                </c:pt>
                <c:pt idx="7">
                  <c:v>43112</c:v>
                </c:pt>
                <c:pt idx="8">
                  <c:v>43113</c:v>
                </c:pt>
                <c:pt idx="9">
                  <c:v>43114</c:v>
                </c:pt>
                <c:pt idx="10">
                  <c:v>43115</c:v>
                </c:pt>
                <c:pt idx="11">
                  <c:v>43116</c:v>
                </c:pt>
                <c:pt idx="12">
                  <c:v>43118</c:v>
                </c:pt>
                <c:pt idx="13">
                  <c:v>43119</c:v>
                </c:pt>
                <c:pt idx="14">
                  <c:v>43120</c:v>
                </c:pt>
                <c:pt idx="15">
                  <c:v>43121</c:v>
                </c:pt>
                <c:pt idx="16">
                  <c:v>43122</c:v>
                </c:pt>
                <c:pt idx="17">
                  <c:v>43124</c:v>
                </c:pt>
                <c:pt idx="18">
                  <c:v>43125</c:v>
                </c:pt>
                <c:pt idx="19">
                  <c:v>43126</c:v>
                </c:pt>
                <c:pt idx="20">
                  <c:v>43127</c:v>
                </c:pt>
                <c:pt idx="21">
                  <c:v>43128</c:v>
                </c:pt>
                <c:pt idx="22">
                  <c:v>43129</c:v>
                </c:pt>
                <c:pt idx="23">
                  <c:v>43130</c:v>
                </c:pt>
                <c:pt idx="24">
                  <c:v>43131</c:v>
                </c:pt>
                <c:pt idx="25">
                  <c:v>43132</c:v>
                </c:pt>
                <c:pt idx="26">
                  <c:v>43138</c:v>
                </c:pt>
                <c:pt idx="27">
                  <c:v>43139</c:v>
                </c:pt>
                <c:pt idx="28">
                  <c:v>43140</c:v>
                </c:pt>
                <c:pt idx="29">
                  <c:v>43141</c:v>
                </c:pt>
                <c:pt idx="30">
                  <c:v>43144</c:v>
                </c:pt>
                <c:pt idx="31">
                  <c:v>43145</c:v>
                </c:pt>
                <c:pt idx="32">
                  <c:v>43146</c:v>
                </c:pt>
                <c:pt idx="33">
                  <c:v>43147</c:v>
                </c:pt>
                <c:pt idx="34">
                  <c:v>43149</c:v>
                </c:pt>
                <c:pt idx="35">
                  <c:v>43150</c:v>
                </c:pt>
                <c:pt idx="36">
                  <c:v>43152</c:v>
                </c:pt>
                <c:pt idx="37">
                  <c:v>43154</c:v>
                </c:pt>
                <c:pt idx="38">
                  <c:v>43156</c:v>
                </c:pt>
                <c:pt idx="39">
                  <c:v>43157</c:v>
                </c:pt>
                <c:pt idx="40">
                  <c:v>43158</c:v>
                </c:pt>
                <c:pt idx="41">
                  <c:v>43159</c:v>
                </c:pt>
                <c:pt idx="42">
                  <c:v>43161</c:v>
                </c:pt>
                <c:pt idx="43">
                  <c:v>43163</c:v>
                </c:pt>
                <c:pt idx="44">
                  <c:v>43164</c:v>
                </c:pt>
                <c:pt idx="45">
                  <c:v>43167</c:v>
                </c:pt>
                <c:pt idx="46">
                  <c:v>43168</c:v>
                </c:pt>
                <c:pt idx="47">
                  <c:v>43172</c:v>
                </c:pt>
                <c:pt idx="48">
                  <c:v>43173</c:v>
                </c:pt>
                <c:pt idx="49">
                  <c:v>43174</c:v>
                </c:pt>
                <c:pt idx="50">
                  <c:v>43177</c:v>
                </c:pt>
                <c:pt idx="51">
                  <c:v>43178</c:v>
                </c:pt>
                <c:pt idx="52">
                  <c:v>43179</c:v>
                </c:pt>
                <c:pt idx="53">
                  <c:v>43180</c:v>
                </c:pt>
                <c:pt idx="54">
                  <c:v>43182</c:v>
                </c:pt>
                <c:pt idx="55">
                  <c:v>43184</c:v>
                </c:pt>
                <c:pt idx="56">
                  <c:v>43185</c:v>
                </c:pt>
                <c:pt idx="57">
                  <c:v>43186</c:v>
                </c:pt>
                <c:pt idx="58">
                  <c:v>43187</c:v>
                </c:pt>
                <c:pt idx="59">
                  <c:v>43188</c:v>
                </c:pt>
                <c:pt idx="60">
                  <c:v>43193</c:v>
                </c:pt>
                <c:pt idx="61">
                  <c:v>43195</c:v>
                </c:pt>
                <c:pt idx="62">
                  <c:v>43196</c:v>
                </c:pt>
                <c:pt idx="63">
                  <c:v>43197</c:v>
                </c:pt>
                <c:pt idx="64">
                  <c:v>43198</c:v>
                </c:pt>
                <c:pt idx="65">
                  <c:v>43199</c:v>
                </c:pt>
                <c:pt idx="66">
                  <c:v>43204</c:v>
                </c:pt>
                <c:pt idx="67">
                  <c:v>43205</c:v>
                </c:pt>
                <c:pt idx="68">
                  <c:v>43206</c:v>
                </c:pt>
                <c:pt idx="69">
                  <c:v>43207</c:v>
                </c:pt>
                <c:pt idx="70">
                  <c:v>43208</c:v>
                </c:pt>
                <c:pt idx="71">
                  <c:v>43209</c:v>
                </c:pt>
                <c:pt idx="72">
                  <c:v>43210</c:v>
                </c:pt>
                <c:pt idx="73">
                  <c:v>43211</c:v>
                </c:pt>
                <c:pt idx="74">
                  <c:v>43212</c:v>
                </c:pt>
                <c:pt idx="75">
                  <c:v>43213</c:v>
                </c:pt>
                <c:pt idx="76">
                  <c:v>43215</c:v>
                </c:pt>
                <c:pt idx="77">
                  <c:v>43216</c:v>
                </c:pt>
                <c:pt idx="78">
                  <c:v>43217</c:v>
                </c:pt>
                <c:pt idx="79">
                  <c:v>43218</c:v>
                </c:pt>
                <c:pt idx="80">
                  <c:v>43219</c:v>
                </c:pt>
                <c:pt idx="81">
                  <c:v>43220</c:v>
                </c:pt>
                <c:pt idx="82">
                  <c:v>43222</c:v>
                </c:pt>
                <c:pt idx="83">
                  <c:v>43224</c:v>
                </c:pt>
                <c:pt idx="84">
                  <c:v>43226</c:v>
                </c:pt>
                <c:pt idx="85">
                  <c:v>43228</c:v>
                </c:pt>
                <c:pt idx="86">
                  <c:v>43230</c:v>
                </c:pt>
                <c:pt idx="87">
                  <c:v>43231</c:v>
                </c:pt>
                <c:pt idx="88">
                  <c:v>43232</c:v>
                </c:pt>
                <c:pt idx="89">
                  <c:v>43233</c:v>
                </c:pt>
                <c:pt idx="90">
                  <c:v>43234</c:v>
                </c:pt>
                <c:pt idx="91">
                  <c:v>43236</c:v>
                </c:pt>
                <c:pt idx="92">
                  <c:v>43237</c:v>
                </c:pt>
                <c:pt idx="93">
                  <c:v>43238</c:v>
                </c:pt>
                <c:pt idx="94">
                  <c:v>43239</c:v>
                </c:pt>
                <c:pt idx="95">
                  <c:v>43240</c:v>
                </c:pt>
                <c:pt idx="96">
                  <c:v>43242</c:v>
                </c:pt>
                <c:pt idx="97">
                  <c:v>43243</c:v>
                </c:pt>
                <c:pt idx="98">
                  <c:v>43244</c:v>
                </c:pt>
                <c:pt idx="99">
                  <c:v>43245</c:v>
                </c:pt>
                <c:pt idx="100">
                  <c:v>43246</c:v>
                </c:pt>
                <c:pt idx="101">
                  <c:v>43248</c:v>
                </c:pt>
                <c:pt idx="102">
                  <c:v>43249</c:v>
                </c:pt>
                <c:pt idx="103">
                  <c:v>43251</c:v>
                </c:pt>
                <c:pt idx="104">
                  <c:v>43252</c:v>
                </c:pt>
                <c:pt idx="105">
                  <c:v>43253</c:v>
                </c:pt>
                <c:pt idx="106">
                  <c:v>43255</c:v>
                </c:pt>
                <c:pt idx="107">
                  <c:v>43256</c:v>
                </c:pt>
                <c:pt idx="108">
                  <c:v>43259</c:v>
                </c:pt>
                <c:pt idx="109">
                  <c:v>43260</c:v>
                </c:pt>
                <c:pt idx="110">
                  <c:v>43261</c:v>
                </c:pt>
                <c:pt idx="111">
                  <c:v>43262</c:v>
                </c:pt>
                <c:pt idx="112">
                  <c:v>43265</c:v>
                </c:pt>
                <c:pt idx="113">
                  <c:v>43266</c:v>
                </c:pt>
                <c:pt idx="114">
                  <c:v>43269</c:v>
                </c:pt>
                <c:pt idx="115">
                  <c:v>43270</c:v>
                </c:pt>
                <c:pt idx="116">
                  <c:v>43271</c:v>
                </c:pt>
                <c:pt idx="117">
                  <c:v>43272</c:v>
                </c:pt>
                <c:pt idx="118">
                  <c:v>43273</c:v>
                </c:pt>
                <c:pt idx="119">
                  <c:v>43275</c:v>
                </c:pt>
                <c:pt idx="120">
                  <c:v>43276</c:v>
                </c:pt>
                <c:pt idx="121">
                  <c:v>43277</c:v>
                </c:pt>
                <c:pt idx="122">
                  <c:v>43279</c:v>
                </c:pt>
                <c:pt idx="123">
                  <c:v>43280</c:v>
                </c:pt>
                <c:pt idx="124">
                  <c:v>43281</c:v>
                </c:pt>
                <c:pt idx="125">
                  <c:v>43283</c:v>
                </c:pt>
                <c:pt idx="126">
                  <c:v>43284</c:v>
                </c:pt>
                <c:pt idx="127">
                  <c:v>43289</c:v>
                </c:pt>
                <c:pt idx="128">
                  <c:v>43290</c:v>
                </c:pt>
                <c:pt idx="129">
                  <c:v>43291</c:v>
                </c:pt>
                <c:pt idx="130">
                  <c:v>43292</c:v>
                </c:pt>
                <c:pt idx="131">
                  <c:v>43293</c:v>
                </c:pt>
                <c:pt idx="132">
                  <c:v>43294</c:v>
                </c:pt>
                <c:pt idx="133">
                  <c:v>43295</c:v>
                </c:pt>
                <c:pt idx="134">
                  <c:v>43296</c:v>
                </c:pt>
                <c:pt idx="135">
                  <c:v>43297</c:v>
                </c:pt>
                <c:pt idx="136">
                  <c:v>43298</c:v>
                </c:pt>
                <c:pt idx="137">
                  <c:v>43301</c:v>
                </c:pt>
                <c:pt idx="138">
                  <c:v>43302</c:v>
                </c:pt>
                <c:pt idx="139">
                  <c:v>43303</c:v>
                </c:pt>
                <c:pt idx="140">
                  <c:v>43304</c:v>
                </c:pt>
                <c:pt idx="141">
                  <c:v>43305</c:v>
                </c:pt>
                <c:pt idx="142">
                  <c:v>43306</c:v>
                </c:pt>
                <c:pt idx="143">
                  <c:v>43307</c:v>
                </c:pt>
                <c:pt idx="144">
                  <c:v>43308</c:v>
                </c:pt>
                <c:pt idx="145">
                  <c:v>43309</c:v>
                </c:pt>
                <c:pt idx="146">
                  <c:v>43311</c:v>
                </c:pt>
                <c:pt idx="147">
                  <c:v>43312</c:v>
                </c:pt>
                <c:pt idx="148">
                  <c:v>43313</c:v>
                </c:pt>
                <c:pt idx="149">
                  <c:v>43314</c:v>
                </c:pt>
                <c:pt idx="150">
                  <c:v>43316</c:v>
                </c:pt>
                <c:pt idx="151">
                  <c:v>43317</c:v>
                </c:pt>
                <c:pt idx="152">
                  <c:v>43319</c:v>
                </c:pt>
                <c:pt idx="153">
                  <c:v>43320</c:v>
                </c:pt>
                <c:pt idx="154">
                  <c:v>43321</c:v>
                </c:pt>
                <c:pt idx="155">
                  <c:v>43322</c:v>
                </c:pt>
                <c:pt idx="156">
                  <c:v>43323</c:v>
                </c:pt>
                <c:pt idx="157">
                  <c:v>43325</c:v>
                </c:pt>
                <c:pt idx="158">
                  <c:v>43326</c:v>
                </c:pt>
                <c:pt idx="159">
                  <c:v>43327</c:v>
                </c:pt>
                <c:pt idx="160">
                  <c:v>43328</c:v>
                </c:pt>
                <c:pt idx="161">
                  <c:v>43329</c:v>
                </c:pt>
                <c:pt idx="162">
                  <c:v>43330</c:v>
                </c:pt>
                <c:pt idx="163">
                  <c:v>43331</c:v>
                </c:pt>
                <c:pt idx="164">
                  <c:v>43333</c:v>
                </c:pt>
                <c:pt idx="165">
                  <c:v>43334</c:v>
                </c:pt>
                <c:pt idx="166">
                  <c:v>43337</c:v>
                </c:pt>
                <c:pt idx="167">
                  <c:v>43338</c:v>
                </c:pt>
                <c:pt idx="168">
                  <c:v>43339</c:v>
                </c:pt>
                <c:pt idx="169">
                  <c:v>43340</c:v>
                </c:pt>
                <c:pt idx="170">
                  <c:v>43342</c:v>
                </c:pt>
                <c:pt idx="171">
                  <c:v>43343</c:v>
                </c:pt>
                <c:pt idx="172">
                  <c:v>43345</c:v>
                </c:pt>
                <c:pt idx="173">
                  <c:v>43346</c:v>
                </c:pt>
                <c:pt idx="174">
                  <c:v>43347</c:v>
                </c:pt>
                <c:pt idx="175">
                  <c:v>43348</c:v>
                </c:pt>
                <c:pt idx="176">
                  <c:v>43349</c:v>
                </c:pt>
                <c:pt idx="177">
                  <c:v>43350</c:v>
                </c:pt>
                <c:pt idx="178">
                  <c:v>43352</c:v>
                </c:pt>
                <c:pt idx="179">
                  <c:v>43353</c:v>
                </c:pt>
                <c:pt idx="180">
                  <c:v>43354</c:v>
                </c:pt>
                <c:pt idx="181">
                  <c:v>43357</c:v>
                </c:pt>
                <c:pt idx="182">
                  <c:v>43358</c:v>
                </c:pt>
                <c:pt idx="183">
                  <c:v>43360</c:v>
                </c:pt>
                <c:pt idx="184">
                  <c:v>43362</c:v>
                </c:pt>
                <c:pt idx="185">
                  <c:v>43363</c:v>
                </c:pt>
                <c:pt idx="186">
                  <c:v>43364</c:v>
                </c:pt>
                <c:pt idx="187">
                  <c:v>43365</c:v>
                </c:pt>
                <c:pt idx="188">
                  <c:v>43366</c:v>
                </c:pt>
                <c:pt idx="189">
                  <c:v>43367</c:v>
                </c:pt>
                <c:pt idx="190">
                  <c:v>43368</c:v>
                </c:pt>
                <c:pt idx="191">
                  <c:v>43369</c:v>
                </c:pt>
                <c:pt idx="192">
                  <c:v>43371</c:v>
                </c:pt>
                <c:pt idx="193">
                  <c:v>43372</c:v>
                </c:pt>
                <c:pt idx="194">
                  <c:v>43377</c:v>
                </c:pt>
                <c:pt idx="195">
                  <c:v>43379</c:v>
                </c:pt>
                <c:pt idx="196">
                  <c:v>43380</c:v>
                </c:pt>
                <c:pt idx="197">
                  <c:v>43381</c:v>
                </c:pt>
                <c:pt idx="198">
                  <c:v>43382</c:v>
                </c:pt>
                <c:pt idx="199">
                  <c:v>43385</c:v>
                </c:pt>
                <c:pt idx="200">
                  <c:v>43386</c:v>
                </c:pt>
                <c:pt idx="201">
                  <c:v>43387</c:v>
                </c:pt>
                <c:pt idx="202">
                  <c:v>43389</c:v>
                </c:pt>
                <c:pt idx="203">
                  <c:v>43390</c:v>
                </c:pt>
                <c:pt idx="204">
                  <c:v>43392</c:v>
                </c:pt>
                <c:pt idx="205">
                  <c:v>43393</c:v>
                </c:pt>
                <c:pt idx="206">
                  <c:v>43394</c:v>
                </c:pt>
                <c:pt idx="207">
                  <c:v>43395</c:v>
                </c:pt>
                <c:pt idx="208">
                  <c:v>43396</c:v>
                </c:pt>
                <c:pt idx="209">
                  <c:v>43400</c:v>
                </c:pt>
                <c:pt idx="210">
                  <c:v>43402</c:v>
                </c:pt>
                <c:pt idx="211">
                  <c:v>43403</c:v>
                </c:pt>
                <c:pt idx="212">
                  <c:v>43406</c:v>
                </c:pt>
                <c:pt idx="213">
                  <c:v>43407</c:v>
                </c:pt>
                <c:pt idx="214">
                  <c:v>43408</c:v>
                </c:pt>
                <c:pt idx="215">
                  <c:v>43409</c:v>
                </c:pt>
                <c:pt idx="216">
                  <c:v>43410</c:v>
                </c:pt>
                <c:pt idx="217">
                  <c:v>43411</c:v>
                </c:pt>
                <c:pt idx="218">
                  <c:v>43412</c:v>
                </c:pt>
                <c:pt idx="219">
                  <c:v>43413</c:v>
                </c:pt>
                <c:pt idx="220">
                  <c:v>43414</c:v>
                </c:pt>
                <c:pt idx="221">
                  <c:v>43415</c:v>
                </c:pt>
                <c:pt idx="222">
                  <c:v>43416</c:v>
                </c:pt>
                <c:pt idx="223">
                  <c:v>43417</c:v>
                </c:pt>
                <c:pt idx="224">
                  <c:v>43418</c:v>
                </c:pt>
                <c:pt idx="225">
                  <c:v>43419</c:v>
                </c:pt>
                <c:pt idx="226">
                  <c:v>43420</c:v>
                </c:pt>
                <c:pt idx="227">
                  <c:v>43421</c:v>
                </c:pt>
                <c:pt idx="228">
                  <c:v>43422</c:v>
                </c:pt>
                <c:pt idx="229">
                  <c:v>43424</c:v>
                </c:pt>
                <c:pt idx="230">
                  <c:v>43425</c:v>
                </c:pt>
                <c:pt idx="231">
                  <c:v>43426</c:v>
                </c:pt>
                <c:pt idx="232">
                  <c:v>43427</c:v>
                </c:pt>
                <c:pt idx="233">
                  <c:v>43428</c:v>
                </c:pt>
                <c:pt idx="234">
                  <c:v>43429</c:v>
                </c:pt>
                <c:pt idx="235">
                  <c:v>43430</c:v>
                </c:pt>
                <c:pt idx="236">
                  <c:v>43431</c:v>
                </c:pt>
                <c:pt idx="237">
                  <c:v>43433</c:v>
                </c:pt>
                <c:pt idx="238">
                  <c:v>43434</c:v>
                </c:pt>
                <c:pt idx="239">
                  <c:v>43436</c:v>
                </c:pt>
                <c:pt idx="240">
                  <c:v>43437</c:v>
                </c:pt>
                <c:pt idx="241">
                  <c:v>43438</c:v>
                </c:pt>
                <c:pt idx="242">
                  <c:v>43439</c:v>
                </c:pt>
                <c:pt idx="243">
                  <c:v>43440</c:v>
                </c:pt>
                <c:pt idx="244">
                  <c:v>43442</c:v>
                </c:pt>
                <c:pt idx="245">
                  <c:v>43443</c:v>
                </c:pt>
                <c:pt idx="246">
                  <c:v>43444</c:v>
                </c:pt>
                <c:pt idx="247">
                  <c:v>43445</c:v>
                </c:pt>
                <c:pt idx="248">
                  <c:v>43447</c:v>
                </c:pt>
                <c:pt idx="249">
                  <c:v>43448</c:v>
                </c:pt>
                <c:pt idx="250">
                  <c:v>43449</c:v>
                </c:pt>
                <c:pt idx="251">
                  <c:v>43450</c:v>
                </c:pt>
                <c:pt idx="252">
                  <c:v>43453</c:v>
                </c:pt>
                <c:pt idx="253">
                  <c:v>43455</c:v>
                </c:pt>
                <c:pt idx="254">
                  <c:v>43456</c:v>
                </c:pt>
                <c:pt idx="255">
                  <c:v>43457</c:v>
                </c:pt>
                <c:pt idx="256">
                  <c:v>43458</c:v>
                </c:pt>
                <c:pt idx="257">
                  <c:v>43459</c:v>
                </c:pt>
                <c:pt idx="258">
                  <c:v>43460</c:v>
                </c:pt>
                <c:pt idx="259">
                  <c:v>43461</c:v>
                </c:pt>
                <c:pt idx="260">
                  <c:v>43462</c:v>
                </c:pt>
                <c:pt idx="261">
                  <c:v>43463</c:v>
                </c:pt>
                <c:pt idx="262">
                  <c:v>43464</c:v>
                </c:pt>
                <c:pt idx="263">
                  <c:v>43465</c:v>
                </c:pt>
                <c:pt idx="264">
                  <c:v>43467</c:v>
                </c:pt>
                <c:pt idx="265">
                  <c:v>43469</c:v>
                </c:pt>
                <c:pt idx="266">
                  <c:v>43471</c:v>
                </c:pt>
                <c:pt idx="267">
                  <c:v>43472</c:v>
                </c:pt>
                <c:pt idx="268">
                  <c:v>43473</c:v>
                </c:pt>
                <c:pt idx="269">
                  <c:v>43474</c:v>
                </c:pt>
                <c:pt idx="270">
                  <c:v>43476</c:v>
                </c:pt>
                <c:pt idx="271">
                  <c:v>43477</c:v>
                </c:pt>
                <c:pt idx="272">
                  <c:v>43479</c:v>
                </c:pt>
                <c:pt idx="273">
                  <c:v>43480</c:v>
                </c:pt>
                <c:pt idx="274">
                  <c:v>43481</c:v>
                </c:pt>
                <c:pt idx="275">
                  <c:v>43483</c:v>
                </c:pt>
                <c:pt idx="276">
                  <c:v>43486</c:v>
                </c:pt>
                <c:pt idx="277">
                  <c:v>43487</c:v>
                </c:pt>
                <c:pt idx="278">
                  <c:v>43488</c:v>
                </c:pt>
                <c:pt idx="279">
                  <c:v>43489</c:v>
                </c:pt>
                <c:pt idx="280">
                  <c:v>43490</c:v>
                </c:pt>
                <c:pt idx="281">
                  <c:v>43491</c:v>
                </c:pt>
                <c:pt idx="282">
                  <c:v>43493</c:v>
                </c:pt>
                <c:pt idx="283">
                  <c:v>43495</c:v>
                </c:pt>
                <c:pt idx="284">
                  <c:v>43496</c:v>
                </c:pt>
                <c:pt idx="285">
                  <c:v>43497</c:v>
                </c:pt>
                <c:pt idx="286">
                  <c:v>43498</c:v>
                </c:pt>
                <c:pt idx="287">
                  <c:v>43499</c:v>
                </c:pt>
                <c:pt idx="288">
                  <c:v>43501</c:v>
                </c:pt>
                <c:pt idx="289">
                  <c:v>43502</c:v>
                </c:pt>
                <c:pt idx="290">
                  <c:v>43503</c:v>
                </c:pt>
                <c:pt idx="291">
                  <c:v>43504</c:v>
                </c:pt>
                <c:pt idx="292">
                  <c:v>43505</c:v>
                </c:pt>
                <c:pt idx="293">
                  <c:v>43507</c:v>
                </c:pt>
                <c:pt idx="294">
                  <c:v>43508</c:v>
                </c:pt>
                <c:pt idx="295">
                  <c:v>43509</c:v>
                </c:pt>
                <c:pt idx="296">
                  <c:v>43510</c:v>
                </c:pt>
                <c:pt idx="297">
                  <c:v>43512</c:v>
                </c:pt>
                <c:pt idx="298">
                  <c:v>43513</c:v>
                </c:pt>
                <c:pt idx="299">
                  <c:v>43516</c:v>
                </c:pt>
                <c:pt idx="300">
                  <c:v>43517</c:v>
                </c:pt>
                <c:pt idx="301">
                  <c:v>43518</c:v>
                </c:pt>
                <c:pt idx="302">
                  <c:v>43523</c:v>
                </c:pt>
                <c:pt idx="303">
                  <c:v>43524</c:v>
                </c:pt>
                <c:pt idx="304">
                  <c:v>43526</c:v>
                </c:pt>
                <c:pt idx="305">
                  <c:v>43527</c:v>
                </c:pt>
                <c:pt idx="306">
                  <c:v>43528</c:v>
                </c:pt>
                <c:pt idx="307">
                  <c:v>43529</c:v>
                </c:pt>
                <c:pt idx="308">
                  <c:v>43530</c:v>
                </c:pt>
                <c:pt idx="309">
                  <c:v>43533</c:v>
                </c:pt>
                <c:pt idx="310">
                  <c:v>43534</c:v>
                </c:pt>
                <c:pt idx="311">
                  <c:v>43535</c:v>
                </c:pt>
                <c:pt idx="312">
                  <c:v>43537</c:v>
                </c:pt>
                <c:pt idx="313">
                  <c:v>43538</c:v>
                </c:pt>
                <c:pt idx="314">
                  <c:v>43539</c:v>
                </c:pt>
                <c:pt idx="315">
                  <c:v>43540</c:v>
                </c:pt>
                <c:pt idx="316">
                  <c:v>43541</c:v>
                </c:pt>
                <c:pt idx="317">
                  <c:v>43542</c:v>
                </c:pt>
                <c:pt idx="318">
                  <c:v>43543</c:v>
                </c:pt>
                <c:pt idx="319">
                  <c:v>43545</c:v>
                </c:pt>
                <c:pt idx="320">
                  <c:v>43546</c:v>
                </c:pt>
                <c:pt idx="321">
                  <c:v>43547</c:v>
                </c:pt>
                <c:pt idx="322">
                  <c:v>43549</c:v>
                </c:pt>
                <c:pt idx="323">
                  <c:v>43550</c:v>
                </c:pt>
                <c:pt idx="324">
                  <c:v>43553</c:v>
                </c:pt>
                <c:pt idx="325">
                  <c:v>43554</c:v>
                </c:pt>
                <c:pt idx="326">
                  <c:v>43555</c:v>
                </c:pt>
                <c:pt idx="327">
                  <c:v>43556</c:v>
                </c:pt>
                <c:pt idx="328">
                  <c:v>43557</c:v>
                </c:pt>
                <c:pt idx="329">
                  <c:v>43558</c:v>
                </c:pt>
                <c:pt idx="330">
                  <c:v>43559</c:v>
                </c:pt>
                <c:pt idx="331">
                  <c:v>43560</c:v>
                </c:pt>
                <c:pt idx="332">
                  <c:v>43563</c:v>
                </c:pt>
                <c:pt idx="333">
                  <c:v>43564</c:v>
                </c:pt>
                <c:pt idx="334">
                  <c:v>43565</c:v>
                </c:pt>
                <c:pt idx="335">
                  <c:v>43566</c:v>
                </c:pt>
                <c:pt idx="336">
                  <c:v>43567</c:v>
                </c:pt>
                <c:pt idx="337">
                  <c:v>43568</c:v>
                </c:pt>
                <c:pt idx="338">
                  <c:v>43570</c:v>
                </c:pt>
                <c:pt idx="339">
                  <c:v>43571</c:v>
                </c:pt>
                <c:pt idx="340">
                  <c:v>43572</c:v>
                </c:pt>
                <c:pt idx="341">
                  <c:v>43573</c:v>
                </c:pt>
                <c:pt idx="342">
                  <c:v>43574</c:v>
                </c:pt>
                <c:pt idx="343">
                  <c:v>43576</c:v>
                </c:pt>
                <c:pt idx="344">
                  <c:v>43577</c:v>
                </c:pt>
                <c:pt idx="345">
                  <c:v>43578</c:v>
                </c:pt>
                <c:pt idx="346">
                  <c:v>43579</c:v>
                </c:pt>
                <c:pt idx="347">
                  <c:v>43580</c:v>
                </c:pt>
                <c:pt idx="348">
                  <c:v>43581</c:v>
                </c:pt>
                <c:pt idx="349">
                  <c:v>43582</c:v>
                </c:pt>
                <c:pt idx="350">
                  <c:v>43583</c:v>
                </c:pt>
                <c:pt idx="351">
                  <c:v>43584</c:v>
                </c:pt>
                <c:pt idx="352">
                  <c:v>43585</c:v>
                </c:pt>
                <c:pt idx="353">
                  <c:v>43588</c:v>
                </c:pt>
                <c:pt idx="354">
                  <c:v>43589</c:v>
                </c:pt>
                <c:pt idx="355">
                  <c:v>43590</c:v>
                </c:pt>
                <c:pt idx="356">
                  <c:v>43591</c:v>
                </c:pt>
                <c:pt idx="357">
                  <c:v>43592</c:v>
                </c:pt>
                <c:pt idx="358">
                  <c:v>43593</c:v>
                </c:pt>
                <c:pt idx="359">
                  <c:v>43594</c:v>
                </c:pt>
                <c:pt idx="360">
                  <c:v>43595</c:v>
                </c:pt>
                <c:pt idx="361">
                  <c:v>43596</c:v>
                </c:pt>
                <c:pt idx="362">
                  <c:v>43597</c:v>
                </c:pt>
                <c:pt idx="363">
                  <c:v>43598</c:v>
                </c:pt>
                <c:pt idx="364">
                  <c:v>43599</c:v>
                </c:pt>
                <c:pt idx="365">
                  <c:v>43600</c:v>
                </c:pt>
                <c:pt idx="366">
                  <c:v>43602</c:v>
                </c:pt>
                <c:pt idx="367">
                  <c:v>43603</c:v>
                </c:pt>
                <c:pt idx="368">
                  <c:v>43604</c:v>
                </c:pt>
                <c:pt idx="369">
                  <c:v>43605</c:v>
                </c:pt>
                <c:pt idx="370">
                  <c:v>43606</c:v>
                </c:pt>
                <c:pt idx="371">
                  <c:v>43608</c:v>
                </c:pt>
                <c:pt idx="372">
                  <c:v>43609</c:v>
                </c:pt>
                <c:pt idx="373">
                  <c:v>43610</c:v>
                </c:pt>
                <c:pt idx="374">
                  <c:v>43611</c:v>
                </c:pt>
                <c:pt idx="375">
                  <c:v>43612</c:v>
                </c:pt>
                <c:pt idx="376">
                  <c:v>43613</c:v>
                </c:pt>
                <c:pt idx="377">
                  <c:v>43614</c:v>
                </c:pt>
                <c:pt idx="378">
                  <c:v>43616</c:v>
                </c:pt>
                <c:pt idx="379">
                  <c:v>43618</c:v>
                </c:pt>
                <c:pt idx="380">
                  <c:v>43619</c:v>
                </c:pt>
                <c:pt idx="381">
                  <c:v>43620</c:v>
                </c:pt>
                <c:pt idx="382">
                  <c:v>43621</c:v>
                </c:pt>
                <c:pt idx="383">
                  <c:v>43622</c:v>
                </c:pt>
                <c:pt idx="384">
                  <c:v>43623</c:v>
                </c:pt>
                <c:pt idx="385">
                  <c:v>43624</c:v>
                </c:pt>
                <c:pt idx="386">
                  <c:v>43625</c:v>
                </c:pt>
                <c:pt idx="387">
                  <c:v>43627</c:v>
                </c:pt>
                <c:pt idx="388">
                  <c:v>43628</c:v>
                </c:pt>
                <c:pt idx="389">
                  <c:v>43629</c:v>
                </c:pt>
                <c:pt idx="390">
                  <c:v>43630</c:v>
                </c:pt>
                <c:pt idx="391">
                  <c:v>43631</c:v>
                </c:pt>
                <c:pt idx="392">
                  <c:v>43633</c:v>
                </c:pt>
                <c:pt idx="393">
                  <c:v>43634</c:v>
                </c:pt>
                <c:pt idx="394">
                  <c:v>43635</c:v>
                </c:pt>
                <c:pt idx="395">
                  <c:v>43636</c:v>
                </c:pt>
                <c:pt idx="396">
                  <c:v>43638</c:v>
                </c:pt>
                <c:pt idx="397">
                  <c:v>43642</c:v>
                </c:pt>
                <c:pt idx="398">
                  <c:v>43643</c:v>
                </c:pt>
                <c:pt idx="399">
                  <c:v>43646</c:v>
                </c:pt>
                <c:pt idx="400">
                  <c:v>43647</c:v>
                </c:pt>
                <c:pt idx="401">
                  <c:v>43648</c:v>
                </c:pt>
                <c:pt idx="402">
                  <c:v>43649</c:v>
                </c:pt>
                <c:pt idx="403">
                  <c:v>43650</c:v>
                </c:pt>
                <c:pt idx="404">
                  <c:v>43653</c:v>
                </c:pt>
                <c:pt idx="405">
                  <c:v>43654</c:v>
                </c:pt>
                <c:pt idx="406">
                  <c:v>43657</c:v>
                </c:pt>
                <c:pt idx="407">
                  <c:v>43658</c:v>
                </c:pt>
                <c:pt idx="408">
                  <c:v>43659</c:v>
                </c:pt>
                <c:pt idx="409">
                  <c:v>43660</c:v>
                </c:pt>
                <c:pt idx="410">
                  <c:v>43661</c:v>
                </c:pt>
                <c:pt idx="411">
                  <c:v>43662</c:v>
                </c:pt>
                <c:pt idx="412">
                  <c:v>43663</c:v>
                </c:pt>
                <c:pt idx="413">
                  <c:v>43665</c:v>
                </c:pt>
                <c:pt idx="414">
                  <c:v>43666</c:v>
                </c:pt>
                <c:pt idx="415">
                  <c:v>43667</c:v>
                </c:pt>
                <c:pt idx="416">
                  <c:v>43668</c:v>
                </c:pt>
                <c:pt idx="417">
                  <c:v>43669</c:v>
                </c:pt>
                <c:pt idx="418">
                  <c:v>43670</c:v>
                </c:pt>
                <c:pt idx="419">
                  <c:v>43671</c:v>
                </c:pt>
                <c:pt idx="420">
                  <c:v>43672</c:v>
                </c:pt>
                <c:pt idx="421">
                  <c:v>43673</c:v>
                </c:pt>
                <c:pt idx="422">
                  <c:v>43674</c:v>
                </c:pt>
                <c:pt idx="423">
                  <c:v>43675</c:v>
                </c:pt>
                <c:pt idx="424">
                  <c:v>43676</c:v>
                </c:pt>
                <c:pt idx="425">
                  <c:v>43677</c:v>
                </c:pt>
                <c:pt idx="426">
                  <c:v>43678</c:v>
                </c:pt>
                <c:pt idx="427">
                  <c:v>43682</c:v>
                </c:pt>
                <c:pt idx="428">
                  <c:v>43683</c:v>
                </c:pt>
                <c:pt idx="429">
                  <c:v>43685</c:v>
                </c:pt>
                <c:pt idx="430">
                  <c:v>43686</c:v>
                </c:pt>
                <c:pt idx="431">
                  <c:v>43688</c:v>
                </c:pt>
                <c:pt idx="432">
                  <c:v>43689</c:v>
                </c:pt>
                <c:pt idx="433">
                  <c:v>43691</c:v>
                </c:pt>
                <c:pt idx="434">
                  <c:v>43692</c:v>
                </c:pt>
                <c:pt idx="435">
                  <c:v>43693</c:v>
                </c:pt>
                <c:pt idx="436">
                  <c:v>43696</c:v>
                </c:pt>
                <c:pt idx="437">
                  <c:v>43697</c:v>
                </c:pt>
                <c:pt idx="438">
                  <c:v>43698</c:v>
                </c:pt>
                <c:pt idx="439">
                  <c:v>43699</c:v>
                </c:pt>
                <c:pt idx="440">
                  <c:v>43700</c:v>
                </c:pt>
                <c:pt idx="441">
                  <c:v>43701</c:v>
                </c:pt>
                <c:pt idx="442">
                  <c:v>43702</c:v>
                </c:pt>
                <c:pt idx="443">
                  <c:v>43705</c:v>
                </c:pt>
                <c:pt idx="444">
                  <c:v>43706</c:v>
                </c:pt>
                <c:pt idx="445">
                  <c:v>43707</c:v>
                </c:pt>
                <c:pt idx="446">
                  <c:v>43708</c:v>
                </c:pt>
                <c:pt idx="447">
                  <c:v>43710</c:v>
                </c:pt>
                <c:pt idx="448">
                  <c:v>43712</c:v>
                </c:pt>
                <c:pt idx="449">
                  <c:v>43713</c:v>
                </c:pt>
                <c:pt idx="450">
                  <c:v>43715</c:v>
                </c:pt>
                <c:pt idx="451">
                  <c:v>43716</c:v>
                </c:pt>
                <c:pt idx="452">
                  <c:v>43717</c:v>
                </c:pt>
                <c:pt idx="453">
                  <c:v>43718</c:v>
                </c:pt>
                <c:pt idx="454">
                  <c:v>43719</c:v>
                </c:pt>
                <c:pt idx="455">
                  <c:v>43720</c:v>
                </c:pt>
                <c:pt idx="456">
                  <c:v>43721</c:v>
                </c:pt>
                <c:pt idx="457">
                  <c:v>43722</c:v>
                </c:pt>
                <c:pt idx="458">
                  <c:v>43723</c:v>
                </c:pt>
                <c:pt idx="459">
                  <c:v>43724</c:v>
                </c:pt>
                <c:pt idx="460">
                  <c:v>43725</c:v>
                </c:pt>
                <c:pt idx="461">
                  <c:v>43726</c:v>
                </c:pt>
                <c:pt idx="462">
                  <c:v>43727</c:v>
                </c:pt>
                <c:pt idx="463">
                  <c:v>43728</c:v>
                </c:pt>
                <c:pt idx="464">
                  <c:v>43729</c:v>
                </c:pt>
                <c:pt idx="465">
                  <c:v>43731</c:v>
                </c:pt>
                <c:pt idx="466">
                  <c:v>43732</c:v>
                </c:pt>
                <c:pt idx="467">
                  <c:v>43734</c:v>
                </c:pt>
                <c:pt idx="468">
                  <c:v>43735</c:v>
                </c:pt>
                <c:pt idx="469">
                  <c:v>43737</c:v>
                </c:pt>
                <c:pt idx="470">
                  <c:v>43738</c:v>
                </c:pt>
                <c:pt idx="471">
                  <c:v>43739</c:v>
                </c:pt>
                <c:pt idx="472">
                  <c:v>43740</c:v>
                </c:pt>
                <c:pt idx="473">
                  <c:v>43741</c:v>
                </c:pt>
                <c:pt idx="474">
                  <c:v>43744</c:v>
                </c:pt>
                <c:pt idx="475">
                  <c:v>43746</c:v>
                </c:pt>
                <c:pt idx="476">
                  <c:v>43747</c:v>
                </c:pt>
                <c:pt idx="477">
                  <c:v>43748</c:v>
                </c:pt>
                <c:pt idx="478">
                  <c:v>43749</c:v>
                </c:pt>
                <c:pt idx="479">
                  <c:v>43750</c:v>
                </c:pt>
                <c:pt idx="480">
                  <c:v>43752</c:v>
                </c:pt>
                <c:pt idx="481">
                  <c:v>43753</c:v>
                </c:pt>
                <c:pt idx="482">
                  <c:v>43755</c:v>
                </c:pt>
                <c:pt idx="483">
                  <c:v>43756</c:v>
                </c:pt>
                <c:pt idx="484">
                  <c:v>43759</c:v>
                </c:pt>
                <c:pt idx="485">
                  <c:v>43761</c:v>
                </c:pt>
                <c:pt idx="486">
                  <c:v>43763</c:v>
                </c:pt>
                <c:pt idx="487">
                  <c:v>43764</c:v>
                </c:pt>
                <c:pt idx="488">
                  <c:v>43765</c:v>
                </c:pt>
                <c:pt idx="489">
                  <c:v>43766</c:v>
                </c:pt>
                <c:pt idx="490">
                  <c:v>43767</c:v>
                </c:pt>
                <c:pt idx="491">
                  <c:v>43768</c:v>
                </c:pt>
                <c:pt idx="492">
                  <c:v>43770</c:v>
                </c:pt>
                <c:pt idx="493">
                  <c:v>43773</c:v>
                </c:pt>
                <c:pt idx="494">
                  <c:v>43774</c:v>
                </c:pt>
                <c:pt idx="495">
                  <c:v>43775</c:v>
                </c:pt>
                <c:pt idx="496">
                  <c:v>43776</c:v>
                </c:pt>
                <c:pt idx="497">
                  <c:v>43779</c:v>
                </c:pt>
                <c:pt idx="498">
                  <c:v>43780</c:v>
                </c:pt>
                <c:pt idx="499">
                  <c:v>43781</c:v>
                </c:pt>
                <c:pt idx="500">
                  <c:v>43782</c:v>
                </c:pt>
                <c:pt idx="501">
                  <c:v>43785</c:v>
                </c:pt>
                <c:pt idx="502">
                  <c:v>43786</c:v>
                </c:pt>
                <c:pt idx="503">
                  <c:v>43788</c:v>
                </c:pt>
                <c:pt idx="504">
                  <c:v>43790</c:v>
                </c:pt>
                <c:pt idx="505">
                  <c:v>43791</c:v>
                </c:pt>
                <c:pt idx="506">
                  <c:v>43793</c:v>
                </c:pt>
                <c:pt idx="507">
                  <c:v>43794</c:v>
                </c:pt>
                <c:pt idx="508">
                  <c:v>43797</c:v>
                </c:pt>
                <c:pt idx="509">
                  <c:v>43798</c:v>
                </c:pt>
                <c:pt idx="510">
                  <c:v>43799</c:v>
                </c:pt>
                <c:pt idx="511">
                  <c:v>43800</c:v>
                </c:pt>
                <c:pt idx="512">
                  <c:v>43802</c:v>
                </c:pt>
                <c:pt idx="513">
                  <c:v>43804</c:v>
                </c:pt>
                <c:pt idx="514">
                  <c:v>43805</c:v>
                </c:pt>
                <c:pt idx="515">
                  <c:v>43808</c:v>
                </c:pt>
                <c:pt idx="516">
                  <c:v>43809</c:v>
                </c:pt>
                <c:pt idx="517">
                  <c:v>43810</c:v>
                </c:pt>
                <c:pt idx="518">
                  <c:v>43814</c:v>
                </c:pt>
                <c:pt idx="519">
                  <c:v>43815</c:v>
                </c:pt>
                <c:pt idx="520">
                  <c:v>43816</c:v>
                </c:pt>
                <c:pt idx="521">
                  <c:v>43817</c:v>
                </c:pt>
                <c:pt idx="522">
                  <c:v>43818</c:v>
                </c:pt>
                <c:pt idx="523">
                  <c:v>43819</c:v>
                </c:pt>
                <c:pt idx="524">
                  <c:v>43820</c:v>
                </c:pt>
                <c:pt idx="525">
                  <c:v>43821</c:v>
                </c:pt>
                <c:pt idx="526">
                  <c:v>43822</c:v>
                </c:pt>
                <c:pt idx="527">
                  <c:v>43824</c:v>
                </c:pt>
                <c:pt idx="528">
                  <c:v>43825</c:v>
                </c:pt>
                <c:pt idx="529">
                  <c:v>43826</c:v>
                </c:pt>
                <c:pt idx="530">
                  <c:v>43827</c:v>
                </c:pt>
                <c:pt idx="531">
                  <c:v>43829</c:v>
                </c:pt>
                <c:pt idx="532">
                  <c:v>43830</c:v>
                </c:pt>
                <c:pt idx="533">
                  <c:v>43831</c:v>
                </c:pt>
                <c:pt idx="534">
                  <c:v>43832</c:v>
                </c:pt>
                <c:pt idx="535">
                  <c:v>43835</c:v>
                </c:pt>
                <c:pt idx="536">
                  <c:v>43837</c:v>
                </c:pt>
                <c:pt idx="537">
                  <c:v>43838</c:v>
                </c:pt>
                <c:pt idx="538">
                  <c:v>43839</c:v>
                </c:pt>
                <c:pt idx="539">
                  <c:v>43840</c:v>
                </c:pt>
                <c:pt idx="540">
                  <c:v>43843</c:v>
                </c:pt>
                <c:pt idx="541">
                  <c:v>43844</c:v>
                </c:pt>
                <c:pt idx="542">
                  <c:v>43845</c:v>
                </c:pt>
                <c:pt idx="543">
                  <c:v>43846</c:v>
                </c:pt>
                <c:pt idx="544">
                  <c:v>43848</c:v>
                </c:pt>
                <c:pt idx="545">
                  <c:v>43849</c:v>
                </c:pt>
                <c:pt idx="546">
                  <c:v>43851</c:v>
                </c:pt>
                <c:pt idx="547">
                  <c:v>43852</c:v>
                </c:pt>
                <c:pt idx="548">
                  <c:v>43853</c:v>
                </c:pt>
                <c:pt idx="549">
                  <c:v>43854</c:v>
                </c:pt>
                <c:pt idx="550">
                  <c:v>43855</c:v>
                </c:pt>
                <c:pt idx="551">
                  <c:v>43856</c:v>
                </c:pt>
                <c:pt idx="552">
                  <c:v>43857</c:v>
                </c:pt>
                <c:pt idx="553">
                  <c:v>43858</c:v>
                </c:pt>
                <c:pt idx="554">
                  <c:v>43859</c:v>
                </c:pt>
                <c:pt idx="555">
                  <c:v>43861</c:v>
                </c:pt>
                <c:pt idx="556">
                  <c:v>43862</c:v>
                </c:pt>
                <c:pt idx="557">
                  <c:v>43863</c:v>
                </c:pt>
                <c:pt idx="558">
                  <c:v>43864</c:v>
                </c:pt>
                <c:pt idx="559">
                  <c:v>43865</c:v>
                </c:pt>
                <c:pt idx="560">
                  <c:v>43866</c:v>
                </c:pt>
                <c:pt idx="561">
                  <c:v>43867</c:v>
                </c:pt>
                <c:pt idx="562">
                  <c:v>43868</c:v>
                </c:pt>
                <c:pt idx="563">
                  <c:v>43869</c:v>
                </c:pt>
                <c:pt idx="564">
                  <c:v>43870</c:v>
                </c:pt>
                <c:pt idx="565">
                  <c:v>43871</c:v>
                </c:pt>
                <c:pt idx="566">
                  <c:v>43872</c:v>
                </c:pt>
                <c:pt idx="567">
                  <c:v>43874</c:v>
                </c:pt>
                <c:pt idx="568">
                  <c:v>43877</c:v>
                </c:pt>
                <c:pt idx="569">
                  <c:v>43878</c:v>
                </c:pt>
                <c:pt idx="570">
                  <c:v>43881</c:v>
                </c:pt>
                <c:pt idx="571">
                  <c:v>43883</c:v>
                </c:pt>
                <c:pt idx="572">
                  <c:v>43885</c:v>
                </c:pt>
                <c:pt idx="573">
                  <c:v>43886</c:v>
                </c:pt>
                <c:pt idx="574">
                  <c:v>43888</c:v>
                </c:pt>
                <c:pt idx="575">
                  <c:v>43889</c:v>
                </c:pt>
                <c:pt idx="576">
                  <c:v>43890</c:v>
                </c:pt>
                <c:pt idx="577">
                  <c:v>43891</c:v>
                </c:pt>
                <c:pt idx="578">
                  <c:v>43892</c:v>
                </c:pt>
                <c:pt idx="579">
                  <c:v>43894</c:v>
                </c:pt>
                <c:pt idx="580">
                  <c:v>43895</c:v>
                </c:pt>
                <c:pt idx="581">
                  <c:v>43896</c:v>
                </c:pt>
                <c:pt idx="582">
                  <c:v>43897</c:v>
                </c:pt>
                <c:pt idx="583">
                  <c:v>43898</c:v>
                </c:pt>
                <c:pt idx="584">
                  <c:v>43899</c:v>
                </c:pt>
                <c:pt idx="585">
                  <c:v>43900</c:v>
                </c:pt>
                <c:pt idx="586">
                  <c:v>43901</c:v>
                </c:pt>
                <c:pt idx="587">
                  <c:v>43902</c:v>
                </c:pt>
                <c:pt idx="588">
                  <c:v>43905</c:v>
                </c:pt>
                <c:pt idx="589">
                  <c:v>43907</c:v>
                </c:pt>
                <c:pt idx="590">
                  <c:v>43908</c:v>
                </c:pt>
                <c:pt idx="591">
                  <c:v>43909</c:v>
                </c:pt>
                <c:pt idx="592">
                  <c:v>43910</c:v>
                </c:pt>
                <c:pt idx="593">
                  <c:v>43911</c:v>
                </c:pt>
                <c:pt idx="594">
                  <c:v>43913</c:v>
                </c:pt>
                <c:pt idx="595">
                  <c:v>43914</c:v>
                </c:pt>
                <c:pt idx="596">
                  <c:v>43915</c:v>
                </c:pt>
                <c:pt idx="597">
                  <c:v>43916</c:v>
                </c:pt>
                <c:pt idx="598">
                  <c:v>43918</c:v>
                </c:pt>
                <c:pt idx="599">
                  <c:v>43921</c:v>
                </c:pt>
                <c:pt idx="600">
                  <c:v>43922</c:v>
                </c:pt>
                <c:pt idx="601">
                  <c:v>43923</c:v>
                </c:pt>
                <c:pt idx="602">
                  <c:v>43924</c:v>
                </c:pt>
                <c:pt idx="603">
                  <c:v>43925</c:v>
                </c:pt>
                <c:pt idx="604">
                  <c:v>43926</c:v>
                </c:pt>
                <c:pt idx="605">
                  <c:v>43928</c:v>
                </c:pt>
                <c:pt idx="606">
                  <c:v>43930</c:v>
                </c:pt>
                <c:pt idx="607">
                  <c:v>43932</c:v>
                </c:pt>
                <c:pt idx="608">
                  <c:v>43933</c:v>
                </c:pt>
                <c:pt idx="609">
                  <c:v>43934</c:v>
                </c:pt>
                <c:pt idx="610">
                  <c:v>43935</c:v>
                </c:pt>
                <c:pt idx="611">
                  <c:v>43936</c:v>
                </c:pt>
                <c:pt idx="612">
                  <c:v>43937</c:v>
                </c:pt>
                <c:pt idx="613">
                  <c:v>43938</c:v>
                </c:pt>
                <c:pt idx="614">
                  <c:v>43939</c:v>
                </c:pt>
                <c:pt idx="615">
                  <c:v>43940</c:v>
                </c:pt>
                <c:pt idx="616">
                  <c:v>43941</c:v>
                </c:pt>
                <c:pt idx="617">
                  <c:v>43942</c:v>
                </c:pt>
                <c:pt idx="618">
                  <c:v>43943</c:v>
                </c:pt>
                <c:pt idx="619">
                  <c:v>43944</c:v>
                </c:pt>
                <c:pt idx="620">
                  <c:v>43945</c:v>
                </c:pt>
                <c:pt idx="621">
                  <c:v>43946</c:v>
                </c:pt>
                <c:pt idx="622">
                  <c:v>43947</c:v>
                </c:pt>
                <c:pt idx="623">
                  <c:v>43948</c:v>
                </c:pt>
                <c:pt idx="624">
                  <c:v>43949</c:v>
                </c:pt>
                <c:pt idx="625">
                  <c:v>43950</c:v>
                </c:pt>
                <c:pt idx="626">
                  <c:v>43951</c:v>
                </c:pt>
                <c:pt idx="627">
                  <c:v>43953</c:v>
                </c:pt>
                <c:pt idx="628">
                  <c:v>43954</c:v>
                </c:pt>
                <c:pt idx="629">
                  <c:v>43955</c:v>
                </c:pt>
                <c:pt idx="630">
                  <c:v>43956</c:v>
                </c:pt>
                <c:pt idx="631">
                  <c:v>43957</c:v>
                </c:pt>
                <c:pt idx="632">
                  <c:v>43958</c:v>
                </c:pt>
                <c:pt idx="633">
                  <c:v>43959</c:v>
                </c:pt>
                <c:pt idx="634">
                  <c:v>43960</c:v>
                </c:pt>
                <c:pt idx="635">
                  <c:v>43961</c:v>
                </c:pt>
                <c:pt idx="636">
                  <c:v>43962</c:v>
                </c:pt>
                <c:pt idx="637">
                  <c:v>43963</c:v>
                </c:pt>
                <c:pt idx="638">
                  <c:v>43964</c:v>
                </c:pt>
                <c:pt idx="639">
                  <c:v>43965</c:v>
                </c:pt>
                <c:pt idx="640">
                  <c:v>43966</c:v>
                </c:pt>
                <c:pt idx="641">
                  <c:v>43967</c:v>
                </c:pt>
                <c:pt idx="642">
                  <c:v>43968</c:v>
                </c:pt>
                <c:pt idx="643">
                  <c:v>43970</c:v>
                </c:pt>
                <c:pt idx="644">
                  <c:v>43971</c:v>
                </c:pt>
                <c:pt idx="645">
                  <c:v>43972</c:v>
                </c:pt>
                <c:pt idx="646">
                  <c:v>43975</c:v>
                </c:pt>
                <c:pt idx="647">
                  <c:v>43976</c:v>
                </c:pt>
                <c:pt idx="648">
                  <c:v>43977</c:v>
                </c:pt>
                <c:pt idx="649">
                  <c:v>43978</c:v>
                </c:pt>
                <c:pt idx="650">
                  <c:v>43979</c:v>
                </c:pt>
                <c:pt idx="651">
                  <c:v>43981</c:v>
                </c:pt>
                <c:pt idx="652">
                  <c:v>43984</c:v>
                </c:pt>
                <c:pt idx="653">
                  <c:v>43985</c:v>
                </c:pt>
                <c:pt idx="654">
                  <c:v>43986</c:v>
                </c:pt>
                <c:pt idx="655">
                  <c:v>43987</c:v>
                </c:pt>
                <c:pt idx="656">
                  <c:v>43988</c:v>
                </c:pt>
                <c:pt idx="657">
                  <c:v>43990</c:v>
                </c:pt>
                <c:pt idx="658">
                  <c:v>43991</c:v>
                </c:pt>
                <c:pt idx="659">
                  <c:v>43992</c:v>
                </c:pt>
                <c:pt idx="660">
                  <c:v>43993</c:v>
                </c:pt>
                <c:pt idx="661">
                  <c:v>43994</c:v>
                </c:pt>
                <c:pt idx="662">
                  <c:v>43995</c:v>
                </c:pt>
                <c:pt idx="663">
                  <c:v>43996</c:v>
                </c:pt>
                <c:pt idx="664">
                  <c:v>43997</c:v>
                </c:pt>
                <c:pt idx="665">
                  <c:v>43998</c:v>
                </c:pt>
                <c:pt idx="666">
                  <c:v>44000</c:v>
                </c:pt>
                <c:pt idx="667">
                  <c:v>44001</c:v>
                </c:pt>
                <c:pt idx="668">
                  <c:v>44002</c:v>
                </c:pt>
                <c:pt idx="669">
                  <c:v>44003</c:v>
                </c:pt>
                <c:pt idx="670">
                  <c:v>44004</c:v>
                </c:pt>
                <c:pt idx="671">
                  <c:v>44005</c:v>
                </c:pt>
                <c:pt idx="672">
                  <c:v>44006</c:v>
                </c:pt>
                <c:pt idx="673">
                  <c:v>44009</c:v>
                </c:pt>
                <c:pt idx="674">
                  <c:v>44010</c:v>
                </c:pt>
                <c:pt idx="675">
                  <c:v>44011</c:v>
                </c:pt>
                <c:pt idx="676">
                  <c:v>44014</c:v>
                </c:pt>
                <c:pt idx="677">
                  <c:v>44015</c:v>
                </c:pt>
                <c:pt idx="678">
                  <c:v>44016</c:v>
                </c:pt>
                <c:pt idx="679">
                  <c:v>44017</c:v>
                </c:pt>
                <c:pt idx="680">
                  <c:v>44020</c:v>
                </c:pt>
                <c:pt idx="681">
                  <c:v>44021</c:v>
                </c:pt>
                <c:pt idx="682">
                  <c:v>44023</c:v>
                </c:pt>
                <c:pt idx="683">
                  <c:v>44025</c:v>
                </c:pt>
                <c:pt idx="684">
                  <c:v>44026</c:v>
                </c:pt>
                <c:pt idx="685">
                  <c:v>44027</c:v>
                </c:pt>
                <c:pt idx="686">
                  <c:v>44028</c:v>
                </c:pt>
                <c:pt idx="687">
                  <c:v>44029</c:v>
                </c:pt>
                <c:pt idx="688">
                  <c:v>44030</c:v>
                </c:pt>
                <c:pt idx="689">
                  <c:v>44031</c:v>
                </c:pt>
                <c:pt idx="690">
                  <c:v>44032</c:v>
                </c:pt>
                <c:pt idx="691">
                  <c:v>44033</c:v>
                </c:pt>
                <c:pt idx="692">
                  <c:v>44034</c:v>
                </c:pt>
                <c:pt idx="693">
                  <c:v>44035</c:v>
                </c:pt>
                <c:pt idx="694">
                  <c:v>44036</c:v>
                </c:pt>
                <c:pt idx="695">
                  <c:v>44038</c:v>
                </c:pt>
                <c:pt idx="696">
                  <c:v>44039</c:v>
                </c:pt>
                <c:pt idx="697">
                  <c:v>44041</c:v>
                </c:pt>
                <c:pt idx="698">
                  <c:v>44042</c:v>
                </c:pt>
                <c:pt idx="699">
                  <c:v>44043</c:v>
                </c:pt>
                <c:pt idx="700">
                  <c:v>44044</c:v>
                </c:pt>
                <c:pt idx="701">
                  <c:v>44047</c:v>
                </c:pt>
                <c:pt idx="702">
                  <c:v>44048</c:v>
                </c:pt>
                <c:pt idx="703">
                  <c:v>44050</c:v>
                </c:pt>
                <c:pt idx="704">
                  <c:v>44052</c:v>
                </c:pt>
                <c:pt idx="705">
                  <c:v>44055</c:v>
                </c:pt>
                <c:pt idx="706">
                  <c:v>44056</c:v>
                </c:pt>
                <c:pt idx="707">
                  <c:v>44058</c:v>
                </c:pt>
                <c:pt idx="708">
                  <c:v>44059</c:v>
                </c:pt>
                <c:pt idx="709">
                  <c:v>44060</c:v>
                </c:pt>
                <c:pt idx="710">
                  <c:v>44063</c:v>
                </c:pt>
                <c:pt idx="711">
                  <c:v>44067</c:v>
                </c:pt>
                <c:pt idx="712">
                  <c:v>44068</c:v>
                </c:pt>
                <c:pt idx="713">
                  <c:v>44069</c:v>
                </c:pt>
                <c:pt idx="714">
                  <c:v>44070</c:v>
                </c:pt>
                <c:pt idx="715">
                  <c:v>44071</c:v>
                </c:pt>
                <c:pt idx="716">
                  <c:v>44073</c:v>
                </c:pt>
                <c:pt idx="717">
                  <c:v>44075</c:v>
                </c:pt>
                <c:pt idx="718">
                  <c:v>44078</c:v>
                </c:pt>
                <c:pt idx="719">
                  <c:v>44079</c:v>
                </c:pt>
                <c:pt idx="720">
                  <c:v>44080</c:v>
                </c:pt>
                <c:pt idx="721">
                  <c:v>44081</c:v>
                </c:pt>
                <c:pt idx="722">
                  <c:v>44082</c:v>
                </c:pt>
                <c:pt idx="723">
                  <c:v>44083</c:v>
                </c:pt>
                <c:pt idx="724">
                  <c:v>44084</c:v>
                </c:pt>
                <c:pt idx="725">
                  <c:v>44085</c:v>
                </c:pt>
                <c:pt idx="726">
                  <c:v>44086</c:v>
                </c:pt>
                <c:pt idx="727">
                  <c:v>44087</c:v>
                </c:pt>
                <c:pt idx="728">
                  <c:v>44088</c:v>
                </c:pt>
                <c:pt idx="729">
                  <c:v>44089</c:v>
                </c:pt>
                <c:pt idx="730">
                  <c:v>44090</c:v>
                </c:pt>
                <c:pt idx="731">
                  <c:v>44091</c:v>
                </c:pt>
                <c:pt idx="732">
                  <c:v>44092</c:v>
                </c:pt>
                <c:pt idx="733">
                  <c:v>44093</c:v>
                </c:pt>
                <c:pt idx="734">
                  <c:v>44094</c:v>
                </c:pt>
                <c:pt idx="735">
                  <c:v>44095</c:v>
                </c:pt>
                <c:pt idx="736">
                  <c:v>44096</c:v>
                </c:pt>
                <c:pt idx="737">
                  <c:v>44097</c:v>
                </c:pt>
                <c:pt idx="738">
                  <c:v>44098</c:v>
                </c:pt>
                <c:pt idx="739">
                  <c:v>44099</c:v>
                </c:pt>
                <c:pt idx="740">
                  <c:v>44100</c:v>
                </c:pt>
                <c:pt idx="741">
                  <c:v>44102</c:v>
                </c:pt>
                <c:pt idx="742">
                  <c:v>44104</c:v>
                </c:pt>
                <c:pt idx="743">
                  <c:v>44105</c:v>
                </c:pt>
                <c:pt idx="744">
                  <c:v>44106</c:v>
                </c:pt>
                <c:pt idx="745">
                  <c:v>44107</c:v>
                </c:pt>
                <c:pt idx="746">
                  <c:v>44108</c:v>
                </c:pt>
                <c:pt idx="747">
                  <c:v>44109</c:v>
                </c:pt>
                <c:pt idx="748">
                  <c:v>44110</c:v>
                </c:pt>
                <c:pt idx="749">
                  <c:v>44111</c:v>
                </c:pt>
                <c:pt idx="750">
                  <c:v>44113</c:v>
                </c:pt>
                <c:pt idx="751">
                  <c:v>44114</c:v>
                </c:pt>
                <c:pt idx="752">
                  <c:v>44115</c:v>
                </c:pt>
                <c:pt idx="753">
                  <c:v>44116</c:v>
                </c:pt>
                <c:pt idx="754">
                  <c:v>44117</c:v>
                </c:pt>
                <c:pt idx="755">
                  <c:v>44119</c:v>
                </c:pt>
                <c:pt idx="756">
                  <c:v>44120</c:v>
                </c:pt>
                <c:pt idx="757">
                  <c:v>44122</c:v>
                </c:pt>
                <c:pt idx="758">
                  <c:v>44124</c:v>
                </c:pt>
                <c:pt idx="759">
                  <c:v>44125</c:v>
                </c:pt>
                <c:pt idx="760">
                  <c:v>44126</c:v>
                </c:pt>
                <c:pt idx="761">
                  <c:v>44127</c:v>
                </c:pt>
                <c:pt idx="762">
                  <c:v>44129</c:v>
                </c:pt>
                <c:pt idx="763">
                  <c:v>44130</c:v>
                </c:pt>
                <c:pt idx="764">
                  <c:v>44132</c:v>
                </c:pt>
                <c:pt idx="765">
                  <c:v>44136</c:v>
                </c:pt>
                <c:pt idx="766">
                  <c:v>44137</c:v>
                </c:pt>
                <c:pt idx="767">
                  <c:v>44138</c:v>
                </c:pt>
                <c:pt idx="768">
                  <c:v>44140</c:v>
                </c:pt>
                <c:pt idx="769">
                  <c:v>44141</c:v>
                </c:pt>
                <c:pt idx="770">
                  <c:v>44142</c:v>
                </c:pt>
                <c:pt idx="771">
                  <c:v>44143</c:v>
                </c:pt>
                <c:pt idx="772">
                  <c:v>44144</c:v>
                </c:pt>
                <c:pt idx="773">
                  <c:v>44145</c:v>
                </c:pt>
                <c:pt idx="774">
                  <c:v>44146</c:v>
                </c:pt>
                <c:pt idx="775">
                  <c:v>44149</c:v>
                </c:pt>
                <c:pt idx="776">
                  <c:v>44150</c:v>
                </c:pt>
                <c:pt idx="777">
                  <c:v>44151</c:v>
                </c:pt>
                <c:pt idx="778">
                  <c:v>44152</c:v>
                </c:pt>
                <c:pt idx="779">
                  <c:v>44153</c:v>
                </c:pt>
                <c:pt idx="780">
                  <c:v>44154</c:v>
                </c:pt>
                <c:pt idx="781">
                  <c:v>44155</c:v>
                </c:pt>
                <c:pt idx="782">
                  <c:v>44157</c:v>
                </c:pt>
                <c:pt idx="783">
                  <c:v>44159</c:v>
                </c:pt>
                <c:pt idx="784">
                  <c:v>44160</c:v>
                </c:pt>
                <c:pt idx="785">
                  <c:v>44162</c:v>
                </c:pt>
                <c:pt idx="786">
                  <c:v>44163</c:v>
                </c:pt>
                <c:pt idx="787">
                  <c:v>44165</c:v>
                </c:pt>
                <c:pt idx="788">
                  <c:v>44166</c:v>
                </c:pt>
                <c:pt idx="789">
                  <c:v>44167</c:v>
                </c:pt>
                <c:pt idx="790">
                  <c:v>44168</c:v>
                </c:pt>
                <c:pt idx="791">
                  <c:v>44169</c:v>
                </c:pt>
                <c:pt idx="792">
                  <c:v>44171</c:v>
                </c:pt>
                <c:pt idx="793">
                  <c:v>44173</c:v>
                </c:pt>
                <c:pt idx="794">
                  <c:v>44175</c:v>
                </c:pt>
                <c:pt idx="795">
                  <c:v>44176</c:v>
                </c:pt>
                <c:pt idx="796">
                  <c:v>44180</c:v>
                </c:pt>
                <c:pt idx="797">
                  <c:v>44181</c:v>
                </c:pt>
                <c:pt idx="798">
                  <c:v>44184</c:v>
                </c:pt>
                <c:pt idx="799">
                  <c:v>44185</c:v>
                </c:pt>
                <c:pt idx="800">
                  <c:v>44187</c:v>
                </c:pt>
                <c:pt idx="801">
                  <c:v>44189</c:v>
                </c:pt>
                <c:pt idx="802">
                  <c:v>44190</c:v>
                </c:pt>
                <c:pt idx="803">
                  <c:v>44193</c:v>
                </c:pt>
                <c:pt idx="804">
                  <c:v>44194</c:v>
                </c:pt>
                <c:pt idx="805">
                  <c:v>16-02-2018</c:v>
                </c:pt>
                <c:pt idx="806">
                  <c:v>20-03-2018</c:v>
                </c:pt>
                <c:pt idx="807">
                  <c:v>03-05-2018</c:v>
                </c:pt>
                <c:pt idx="808">
                  <c:v>07-07-2018</c:v>
                </c:pt>
                <c:pt idx="809">
                  <c:v>11-08-2018</c:v>
                </c:pt>
                <c:pt idx="810">
                  <c:v>26-08-2018</c:v>
                </c:pt>
                <c:pt idx="811">
                  <c:v>26-09-2018</c:v>
                </c:pt>
                <c:pt idx="812">
                  <c:v>29-09-2018</c:v>
                </c:pt>
                <c:pt idx="813">
                  <c:v>06-10-2018</c:v>
                </c:pt>
                <c:pt idx="814">
                  <c:v>12-02-2019</c:v>
                </c:pt>
                <c:pt idx="815">
                  <c:v>18-02-2019</c:v>
                </c:pt>
                <c:pt idx="816">
                  <c:v>04-03-2019</c:v>
                </c:pt>
                <c:pt idx="817">
                  <c:v>26-03-2019</c:v>
                </c:pt>
                <c:pt idx="818">
                  <c:v>01-04-2019</c:v>
                </c:pt>
                <c:pt idx="819">
                  <c:v>17-04-2019</c:v>
                </c:pt>
                <c:pt idx="820">
                  <c:v>02-06-2019</c:v>
                </c:pt>
                <c:pt idx="821">
                  <c:v>31-10-2019</c:v>
                </c:pt>
                <c:pt idx="822">
                  <c:v>10-12-2019</c:v>
                </c:pt>
                <c:pt idx="823">
                  <c:v>18-12-2019</c:v>
                </c:pt>
                <c:pt idx="824">
                  <c:v>28-12-2019</c:v>
                </c:pt>
                <c:pt idx="825">
                  <c:v>10-02-2020</c:v>
                </c:pt>
                <c:pt idx="826">
                  <c:v>09-04-2020</c:v>
                </c:pt>
                <c:pt idx="827">
                  <c:v>18-04-2020</c:v>
                </c:pt>
                <c:pt idx="828">
                  <c:v>07-05-2020</c:v>
                </c:pt>
                <c:pt idx="829">
                  <c:v>08-05-2020</c:v>
                </c:pt>
                <c:pt idx="830">
                  <c:v>10-07-2020</c:v>
                </c:pt>
                <c:pt idx="831">
                  <c:v>31-08-2020</c:v>
                </c:pt>
                <c:pt idx="832">
                  <c:v>04-12-2020</c:v>
                </c:pt>
                <c:pt idx="833">
                  <c:v>24-12-2020</c:v>
                </c:pt>
              </c:strCache>
            </c:strRef>
          </c:cat>
          <c:val>
            <c:numRef>
              <c:f>Sheet4!$L$14:$L$848</c:f>
              <c:numCache>
                <c:formatCode>\₹#,##0.00</c:formatCode>
                <c:ptCount val="834"/>
                <c:pt idx="0">
                  <c:v>36099.050000000003</c:v>
                </c:pt>
                <c:pt idx="1">
                  <c:v>115022.70000000001</c:v>
                </c:pt>
                <c:pt idx="2">
                  <c:v>18999.05</c:v>
                </c:pt>
                <c:pt idx="3">
                  <c:v>1830.8</c:v>
                </c:pt>
                <c:pt idx="4">
                  <c:v>107998</c:v>
                </c:pt>
                <c:pt idx="5">
                  <c:v>11699.1</c:v>
                </c:pt>
                <c:pt idx="6">
                  <c:v>41473.299999999996</c:v>
                </c:pt>
                <c:pt idx="7">
                  <c:v>141989.5</c:v>
                </c:pt>
                <c:pt idx="8">
                  <c:v>2641</c:v>
                </c:pt>
                <c:pt idx="9">
                  <c:v>36099.050000000003</c:v>
                </c:pt>
                <c:pt idx="10">
                  <c:v>33439.120000000003</c:v>
                </c:pt>
                <c:pt idx="11">
                  <c:v>58847.15</c:v>
                </c:pt>
                <c:pt idx="12">
                  <c:v>3990</c:v>
                </c:pt>
                <c:pt idx="13">
                  <c:v>23950</c:v>
                </c:pt>
                <c:pt idx="14">
                  <c:v>1830.8</c:v>
                </c:pt>
                <c:pt idx="15">
                  <c:v>98671.75</c:v>
                </c:pt>
                <c:pt idx="16">
                  <c:v>104877.24</c:v>
                </c:pt>
                <c:pt idx="17">
                  <c:v>109247.05</c:v>
                </c:pt>
                <c:pt idx="18">
                  <c:v>48358.18</c:v>
                </c:pt>
                <c:pt idx="19">
                  <c:v>1830.8</c:v>
                </c:pt>
                <c:pt idx="20">
                  <c:v>95304</c:v>
                </c:pt>
                <c:pt idx="21">
                  <c:v>4740.5</c:v>
                </c:pt>
                <c:pt idx="22">
                  <c:v>49499.1</c:v>
                </c:pt>
                <c:pt idx="23">
                  <c:v>102597.3</c:v>
                </c:pt>
                <c:pt idx="24">
                  <c:v>117247.05</c:v>
                </c:pt>
                <c:pt idx="25">
                  <c:v>1161</c:v>
                </c:pt>
                <c:pt idx="26">
                  <c:v>113997</c:v>
                </c:pt>
                <c:pt idx="27">
                  <c:v>1370.8</c:v>
                </c:pt>
                <c:pt idx="28">
                  <c:v>19999</c:v>
                </c:pt>
                <c:pt idx="29">
                  <c:v>22582.3</c:v>
                </c:pt>
                <c:pt idx="30">
                  <c:v>31349.05</c:v>
                </c:pt>
                <c:pt idx="31">
                  <c:v>66405</c:v>
                </c:pt>
                <c:pt idx="32">
                  <c:v>186196.2</c:v>
                </c:pt>
                <c:pt idx="33">
                  <c:v>7809.85</c:v>
                </c:pt>
                <c:pt idx="34">
                  <c:v>50838.080000000002</c:v>
                </c:pt>
                <c:pt idx="35">
                  <c:v>54999</c:v>
                </c:pt>
                <c:pt idx="36">
                  <c:v>153294.20000000001</c:v>
                </c:pt>
                <c:pt idx="37">
                  <c:v>22499.1</c:v>
                </c:pt>
                <c:pt idx="38">
                  <c:v>1311.2</c:v>
                </c:pt>
                <c:pt idx="39">
                  <c:v>256112.40000000002</c:v>
                </c:pt>
                <c:pt idx="40">
                  <c:v>18354</c:v>
                </c:pt>
                <c:pt idx="41">
                  <c:v>49328.9</c:v>
                </c:pt>
                <c:pt idx="42">
                  <c:v>54508.880000000005</c:v>
                </c:pt>
                <c:pt idx="43">
                  <c:v>208967.69999999998</c:v>
                </c:pt>
                <c:pt idx="44">
                  <c:v>1990</c:v>
                </c:pt>
                <c:pt idx="45">
                  <c:v>118289.65000000001</c:v>
                </c:pt>
                <c:pt idx="46">
                  <c:v>43388.2</c:v>
                </c:pt>
                <c:pt idx="47">
                  <c:v>3511.2</c:v>
                </c:pt>
                <c:pt idx="48">
                  <c:v>11959.08</c:v>
                </c:pt>
                <c:pt idx="49">
                  <c:v>89298.05</c:v>
                </c:pt>
                <c:pt idx="50">
                  <c:v>7022.4</c:v>
                </c:pt>
                <c:pt idx="51">
                  <c:v>171675.52000000002</c:v>
                </c:pt>
                <c:pt idx="52">
                  <c:v>32199.08</c:v>
                </c:pt>
                <c:pt idx="53">
                  <c:v>9195.4</c:v>
                </c:pt>
                <c:pt idx="54">
                  <c:v>97690.12</c:v>
                </c:pt>
                <c:pt idx="55">
                  <c:v>71178.100000000006</c:v>
                </c:pt>
                <c:pt idx="56">
                  <c:v>30958.129999999997</c:v>
                </c:pt>
                <c:pt idx="57">
                  <c:v>34999</c:v>
                </c:pt>
                <c:pt idx="58">
                  <c:v>44348.05</c:v>
                </c:pt>
                <c:pt idx="59">
                  <c:v>70184.040000000008</c:v>
                </c:pt>
                <c:pt idx="60">
                  <c:v>11980</c:v>
                </c:pt>
                <c:pt idx="61">
                  <c:v>22999</c:v>
                </c:pt>
                <c:pt idx="62">
                  <c:v>2980</c:v>
                </c:pt>
                <c:pt idx="63">
                  <c:v>118209.29999999999</c:v>
                </c:pt>
                <c:pt idx="64">
                  <c:v>4990</c:v>
                </c:pt>
                <c:pt idx="65">
                  <c:v>99358.16</c:v>
                </c:pt>
                <c:pt idx="66">
                  <c:v>12793.65</c:v>
                </c:pt>
                <c:pt idx="67">
                  <c:v>4816.5</c:v>
                </c:pt>
                <c:pt idx="68">
                  <c:v>139116.78999999998</c:v>
                </c:pt>
                <c:pt idx="69">
                  <c:v>253990.6</c:v>
                </c:pt>
                <c:pt idx="70">
                  <c:v>35998.199999999997</c:v>
                </c:pt>
                <c:pt idx="71">
                  <c:v>79098.100000000006</c:v>
                </c:pt>
                <c:pt idx="72">
                  <c:v>54999</c:v>
                </c:pt>
                <c:pt idx="73">
                  <c:v>103548.1</c:v>
                </c:pt>
                <c:pt idx="74">
                  <c:v>42318.16</c:v>
                </c:pt>
                <c:pt idx="75">
                  <c:v>85529.58</c:v>
                </c:pt>
                <c:pt idx="76">
                  <c:v>4590.8</c:v>
                </c:pt>
                <c:pt idx="77">
                  <c:v>79798.100000000006</c:v>
                </c:pt>
                <c:pt idx="78">
                  <c:v>103157.71</c:v>
                </c:pt>
                <c:pt idx="79">
                  <c:v>61638.16</c:v>
                </c:pt>
                <c:pt idx="80">
                  <c:v>21999.119999999999</c:v>
                </c:pt>
                <c:pt idx="81">
                  <c:v>177555.40000000002</c:v>
                </c:pt>
                <c:pt idx="82">
                  <c:v>39899.050000000003</c:v>
                </c:pt>
                <c:pt idx="83">
                  <c:v>93098.1</c:v>
                </c:pt>
                <c:pt idx="84">
                  <c:v>69900</c:v>
                </c:pt>
                <c:pt idx="85">
                  <c:v>5797.1</c:v>
                </c:pt>
                <c:pt idx="86">
                  <c:v>14221.5</c:v>
                </c:pt>
                <c:pt idx="87">
                  <c:v>248395.4</c:v>
                </c:pt>
                <c:pt idx="88">
                  <c:v>1161</c:v>
                </c:pt>
                <c:pt idx="89">
                  <c:v>120958.45</c:v>
                </c:pt>
                <c:pt idx="90">
                  <c:v>63098.149999999994</c:v>
                </c:pt>
                <c:pt idx="91">
                  <c:v>91749.05</c:v>
                </c:pt>
                <c:pt idx="92">
                  <c:v>163225.82</c:v>
                </c:pt>
                <c:pt idx="93">
                  <c:v>30359.08</c:v>
                </c:pt>
                <c:pt idx="94">
                  <c:v>3638.18</c:v>
                </c:pt>
                <c:pt idx="95">
                  <c:v>114597.1</c:v>
                </c:pt>
                <c:pt idx="96">
                  <c:v>11699.1</c:v>
                </c:pt>
                <c:pt idx="97">
                  <c:v>38639.08</c:v>
                </c:pt>
                <c:pt idx="98">
                  <c:v>7596.2</c:v>
                </c:pt>
                <c:pt idx="99">
                  <c:v>12349.05</c:v>
                </c:pt>
                <c:pt idx="100">
                  <c:v>5990</c:v>
                </c:pt>
                <c:pt idx="101">
                  <c:v>5697.15</c:v>
                </c:pt>
                <c:pt idx="102">
                  <c:v>20889.55</c:v>
                </c:pt>
                <c:pt idx="103">
                  <c:v>20699.099999999999</c:v>
                </c:pt>
                <c:pt idx="104">
                  <c:v>36099.050000000003</c:v>
                </c:pt>
                <c:pt idx="105">
                  <c:v>31301.55</c:v>
                </c:pt>
                <c:pt idx="106">
                  <c:v>119242.25</c:v>
                </c:pt>
                <c:pt idx="107">
                  <c:v>78916.600000000006</c:v>
                </c:pt>
                <c:pt idx="108">
                  <c:v>5391</c:v>
                </c:pt>
                <c:pt idx="109">
                  <c:v>5671.5</c:v>
                </c:pt>
                <c:pt idx="110">
                  <c:v>44798.170000000006</c:v>
                </c:pt>
                <c:pt idx="111">
                  <c:v>59998.119999999995</c:v>
                </c:pt>
                <c:pt idx="112">
                  <c:v>59508.100000000006</c:v>
                </c:pt>
                <c:pt idx="113">
                  <c:v>99339</c:v>
                </c:pt>
                <c:pt idx="114">
                  <c:v>15579</c:v>
                </c:pt>
                <c:pt idx="115">
                  <c:v>161495.75</c:v>
                </c:pt>
                <c:pt idx="116">
                  <c:v>32979.08</c:v>
                </c:pt>
                <c:pt idx="117">
                  <c:v>71488.100000000006</c:v>
                </c:pt>
                <c:pt idx="118">
                  <c:v>75434.66</c:v>
                </c:pt>
                <c:pt idx="119">
                  <c:v>133577.4</c:v>
                </c:pt>
                <c:pt idx="120">
                  <c:v>44099.1</c:v>
                </c:pt>
                <c:pt idx="121">
                  <c:v>85407.760000000009</c:v>
                </c:pt>
                <c:pt idx="122">
                  <c:v>266894.34999999998</c:v>
                </c:pt>
                <c:pt idx="123">
                  <c:v>212794.40000000002</c:v>
                </c:pt>
                <c:pt idx="124">
                  <c:v>61755.05</c:v>
                </c:pt>
                <c:pt idx="125">
                  <c:v>57425.65</c:v>
                </c:pt>
                <c:pt idx="126">
                  <c:v>52797.36</c:v>
                </c:pt>
                <c:pt idx="127">
                  <c:v>37999</c:v>
                </c:pt>
                <c:pt idx="128">
                  <c:v>91957.260000000009</c:v>
                </c:pt>
                <c:pt idx="129">
                  <c:v>15113.4</c:v>
                </c:pt>
                <c:pt idx="130">
                  <c:v>140844.44999999998</c:v>
                </c:pt>
                <c:pt idx="131">
                  <c:v>18399.080000000002</c:v>
                </c:pt>
                <c:pt idx="132">
                  <c:v>24698.1</c:v>
                </c:pt>
                <c:pt idx="133">
                  <c:v>12999</c:v>
                </c:pt>
                <c:pt idx="134">
                  <c:v>43680.1</c:v>
                </c:pt>
                <c:pt idx="135">
                  <c:v>45897.3</c:v>
                </c:pt>
                <c:pt idx="136">
                  <c:v>2831</c:v>
                </c:pt>
                <c:pt idx="137">
                  <c:v>139836.32</c:v>
                </c:pt>
                <c:pt idx="138">
                  <c:v>4540.8</c:v>
                </c:pt>
                <c:pt idx="139">
                  <c:v>101198.16</c:v>
                </c:pt>
                <c:pt idx="140">
                  <c:v>24300.05</c:v>
                </c:pt>
                <c:pt idx="141">
                  <c:v>36959.120000000003</c:v>
                </c:pt>
                <c:pt idx="142">
                  <c:v>66405</c:v>
                </c:pt>
                <c:pt idx="143">
                  <c:v>76357.08</c:v>
                </c:pt>
                <c:pt idx="144">
                  <c:v>22999.08</c:v>
                </c:pt>
                <c:pt idx="145">
                  <c:v>1799.1</c:v>
                </c:pt>
                <c:pt idx="146">
                  <c:v>97177.1</c:v>
                </c:pt>
                <c:pt idx="147">
                  <c:v>49569.950000000004</c:v>
                </c:pt>
                <c:pt idx="148">
                  <c:v>6590</c:v>
                </c:pt>
                <c:pt idx="149">
                  <c:v>240745.15</c:v>
                </c:pt>
                <c:pt idx="150">
                  <c:v>30359.08</c:v>
                </c:pt>
                <c:pt idx="151">
                  <c:v>78379.3</c:v>
                </c:pt>
                <c:pt idx="152">
                  <c:v>151594.4</c:v>
                </c:pt>
                <c:pt idx="153">
                  <c:v>3980</c:v>
                </c:pt>
                <c:pt idx="154">
                  <c:v>67368.180000000008</c:v>
                </c:pt>
                <c:pt idx="155">
                  <c:v>2849.05</c:v>
                </c:pt>
                <c:pt idx="156">
                  <c:v>112236.32</c:v>
                </c:pt>
                <c:pt idx="157">
                  <c:v>178377.20999999996</c:v>
                </c:pt>
                <c:pt idx="158">
                  <c:v>11996</c:v>
                </c:pt>
                <c:pt idx="159">
                  <c:v>4726.2</c:v>
                </c:pt>
                <c:pt idx="160">
                  <c:v>11021.6</c:v>
                </c:pt>
                <c:pt idx="161">
                  <c:v>1341</c:v>
                </c:pt>
                <c:pt idx="162">
                  <c:v>3670.8</c:v>
                </c:pt>
                <c:pt idx="163">
                  <c:v>129897.25</c:v>
                </c:pt>
                <c:pt idx="164">
                  <c:v>40704.6</c:v>
                </c:pt>
                <c:pt idx="165">
                  <c:v>25164.55</c:v>
                </c:pt>
                <c:pt idx="166">
                  <c:v>15614.55</c:v>
                </c:pt>
                <c:pt idx="167">
                  <c:v>4990</c:v>
                </c:pt>
                <c:pt idx="168">
                  <c:v>10381.200000000001</c:v>
                </c:pt>
                <c:pt idx="169">
                  <c:v>3661.6</c:v>
                </c:pt>
                <c:pt idx="170">
                  <c:v>73589</c:v>
                </c:pt>
                <c:pt idx="171">
                  <c:v>164995</c:v>
                </c:pt>
                <c:pt idx="172">
                  <c:v>125363.46</c:v>
                </c:pt>
                <c:pt idx="173">
                  <c:v>202344.3</c:v>
                </c:pt>
                <c:pt idx="174">
                  <c:v>218634.25</c:v>
                </c:pt>
                <c:pt idx="175">
                  <c:v>53999</c:v>
                </c:pt>
                <c:pt idx="176">
                  <c:v>225894</c:v>
                </c:pt>
                <c:pt idx="177">
                  <c:v>33439.120000000003</c:v>
                </c:pt>
                <c:pt idx="178">
                  <c:v>23749.05</c:v>
                </c:pt>
                <c:pt idx="179">
                  <c:v>1830.8</c:v>
                </c:pt>
                <c:pt idx="180">
                  <c:v>3678.16</c:v>
                </c:pt>
                <c:pt idx="181">
                  <c:v>8982</c:v>
                </c:pt>
                <c:pt idx="182">
                  <c:v>3790.5</c:v>
                </c:pt>
                <c:pt idx="183">
                  <c:v>1990</c:v>
                </c:pt>
                <c:pt idx="184">
                  <c:v>50598.2</c:v>
                </c:pt>
                <c:pt idx="185">
                  <c:v>54999</c:v>
                </c:pt>
                <c:pt idx="186">
                  <c:v>1791</c:v>
                </c:pt>
                <c:pt idx="187">
                  <c:v>36099.050000000003</c:v>
                </c:pt>
                <c:pt idx="188">
                  <c:v>30359.08</c:v>
                </c:pt>
                <c:pt idx="189">
                  <c:v>37999</c:v>
                </c:pt>
                <c:pt idx="190">
                  <c:v>250804.3</c:v>
                </c:pt>
                <c:pt idx="191">
                  <c:v>65998</c:v>
                </c:pt>
                <c:pt idx="192">
                  <c:v>72391</c:v>
                </c:pt>
                <c:pt idx="193">
                  <c:v>6705</c:v>
                </c:pt>
                <c:pt idx="194">
                  <c:v>147517.5</c:v>
                </c:pt>
                <c:pt idx="195">
                  <c:v>110877.15</c:v>
                </c:pt>
                <c:pt idx="196">
                  <c:v>51299.05</c:v>
                </c:pt>
                <c:pt idx="197">
                  <c:v>66405</c:v>
                </c:pt>
                <c:pt idx="198">
                  <c:v>151795.4</c:v>
                </c:pt>
                <c:pt idx="199">
                  <c:v>41999</c:v>
                </c:pt>
                <c:pt idx="200">
                  <c:v>66405</c:v>
                </c:pt>
                <c:pt idx="201">
                  <c:v>54999</c:v>
                </c:pt>
                <c:pt idx="202">
                  <c:v>101647.25</c:v>
                </c:pt>
                <c:pt idx="203">
                  <c:v>110576.34</c:v>
                </c:pt>
                <c:pt idx="204">
                  <c:v>66405</c:v>
                </c:pt>
                <c:pt idx="205">
                  <c:v>4740.5</c:v>
                </c:pt>
                <c:pt idx="206">
                  <c:v>28040.080000000002</c:v>
                </c:pt>
                <c:pt idx="207">
                  <c:v>34199.1</c:v>
                </c:pt>
                <c:pt idx="208">
                  <c:v>46111.4</c:v>
                </c:pt>
                <c:pt idx="209">
                  <c:v>23398.2</c:v>
                </c:pt>
                <c:pt idx="210">
                  <c:v>1759.12</c:v>
                </c:pt>
                <c:pt idx="211">
                  <c:v>77223.5</c:v>
                </c:pt>
                <c:pt idx="212">
                  <c:v>119034.66</c:v>
                </c:pt>
                <c:pt idx="213">
                  <c:v>62252.1</c:v>
                </c:pt>
                <c:pt idx="214">
                  <c:v>160470.74</c:v>
                </c:pt>
                <c:pt idx="215">
                  <c:v>2759.08</c:v>
                </c:pt>
                <c:pt idx="216">
                  <c:v>77957.08</c:v>
                </c:pt>
                <c:pt idx="217">
                  <c:v>71868.05</c:v>
                </c:pt>
                <c:pt idx="218">
                  <c:v>1490</c:v>
                </c:pt>
                <c:pt idx="219">
                  <c:v>5690.5</c:v>
                </c:pt>
                <c:pt idx="220">
                  <c:v>85897.05</c:v>
                </c:pt>
                <c:pt idx="221">
                  <c:v>133095.04999999999</c:v>
                </c:pt>
                <c:pt idx="222">
                  <c:v>29749.15</c:v>
                </c:pt>
                <c:pt idx="223">
                  <c:v>68398.2</c:v>
                </c:pt>
                <c:pt idx="224">
                  <c:v>126416.26000000001</c:v>
                </c:pt>
                <c:pt idx="225">
                  <c:v>3591</c:v>
                </c:pt>
                <c:pt idx="226">
                  <c:v>3598.2</c:v>
                </c:pt>
                <c:pt idx="227">
                  <c:v>56523.73</c:v>
                </c:pt>
                <c:pt idx="228">
                  <c:v>108998</c:v>
                </c:pt>
                <c:pt idx="229">
                  <c:v>41314.550000000003</c:v>
                </c:pt>
                <c:pt idx="230">
                  <c:v>149668.6</c:v>
                </c:pt>
                <c:pt idx="231">
                  <c:v>34959.08</c:v>
                </c:pt>
                <c:pt idx="232">
                  <c:v>5990</c:v>
                </c:pt>
                <c:pt idx="233">
                  <c:v>11959.08</c:v>
                </c:pt>
                <c:pt idx="234">
                  <c:v>51669.08</c:v>
                </c:pt>
                <c:pt idx="235">
                  <c:v>65748.05</c:v>
                </c:pt>
                <c:pt idx="236">
                  <c:v>121597.15000000001</c:v>
                </c:pt>
                <c:pt idx="237">
                  <c:v>219176.12</c:v>
                </c:pt>
                <c:pt idx="238">
                  <c:v>21849.05</c:v>
                </c:pt>
                <c:pt idx="239">
                  <c:v>98246.35</c:v>
                </c:pt>
                <c:pt idx="240">
                  <c:v>36099.050000000003</c:v>
                </c:pt>
                <c:pt idx="241">
                  <c:v>69238.600000000006</c:v>
                </c:pt>
                <c:pt idx="242">
                  <c:v>286892.5</c:v>
                </c:pt>
                <c:pt idx="243">
                  <c:v>34959.08</c:v>
                </c:pt>
                <c:pt idx="244">
                  <c:v>4590.8</c:v>
                </c:pt>
                <c:pt idx="245">
                  <c:v>242995.5</c:v>
                </c:pt>
                <c:pt idx="246">
                  <c:v>4740.5</c:v>
                </c:pt>
                <c:pt idx="247">
                  <c:v>148497.29999999999</c:v>
                </c:pt>
                <c:pt idx="248">
                  <c:v>119520.24</c:v>
                </c:pt>
                <c:pt idx="249">
                  <c:v>46549.05</c:v>
                </c:pt>
                <c:pt idx="250">
                  <c:v>31349.05</c:v>
                </c:pt>
                <c:pt idx="251">
                  <c:v>72458.13</c:v>
                </c:pt>
                <c:pt idx="252">
                  <c:v>31349.05</c:v>
                </c:pt>
                <c:pt idx="253">
                  <c:v>8547.15</c:v>
                </c:pt>
                <c:pt idx="254">
                  <c:v>3483</c:v>
                </c:pt>
                <c:pt idx="255">
                  <c:v>7581</c:v>
                </c:pt>
                <c:pt idx="256">
                  <c:v>3990</c:v>
                </c:pt>
                <c:pt idx="257">
                  <c:v>4740.5</c:v>
                </c:pt>
                <c:pt idx="258">
                  <c:v>53090.05</c:v>
                </c:pt>
                <c:pt idx="259">
                  <c:v>2999</c:v>
                </c:pt>
                <c:pt idx="260">
                  <c:v>58945.38</c:v>
                </c:pt>
                <c:pt idx="261">
                  <c:v>141050.29999999999</c:v>
                </c:pt>
                <c:pt idx="262">
                  <c:v>1890.5</c:v>
                </c:pt>
                <c:pt idx="263">
                  <c:v>2849.05</c:v>
                </c:pt>
                <c:pt idx="264">
                  <c:v>45560.08</c:v>
                </c:pt>
                <c:pt idx="265">
                  <c:v>21849.05</c:v>
                </c:pt>
                <c:pt idx="266">
                  <c:v>41658.170000000006</c:v>
                </c:pt>
                <c:pt idx="267">
                  <c:v>25090.05</c:v>
                </c:pt>
                <c:pt idx="268">
                  <c:v>11959.08</c:v>
                </c:pt>
                <c:pt idx="269">
                  <c:v>132810</c:v>
                </c:pt>
                <c:pt idx="270">
                  <c:v>37411.599999999999</c:v>
                </c:pt>
                <c:pt idx="271">
                  <c:v>1415.5</c:v>
                </c:pt>
                <c:pt idx="272">
                  <c:v>2639.12</c:v>
                </c:pt>
                <c:pt idx="273">
                  <c:v>37999</c:v>
                </c:pt>
                <c:pt idx="274">
                  <c:v>130797.23</c:v>
                </c:pt>
                <c:pt idx="275">
                  <c:v>43698.1</c:v>
                </c:pt>
                <c:pt idx="276">
                  <c:v>2999</c:v>
                </c:pt>
                <c:pt idx="277">
                  <c:v>193799</c:v>
                </c:pt>
                <c:pt idx="278">
                  <c:v>222995</c:v>
                </c:pt>
                <c:pt idx="279">
                  <c:v>11959.08</c:v>
                </c:pt>
                <c:pt idx="280">
                  <c:v>29749.15</c:v>
                </c:pt>
                <c:pt idx="281">
                  <c:v>37514.550000000003</c:v>
                </c:pt>
                <c:pt idx="282">
                  <c:v>76198.100000000006</c:v>
                </c:pt>
                <c:pt idx="283">
                  <c:v>51299.05</c:v>
                </c:pt>
                <c:pt idx="284">
                  <c:v>98997</c:v>
                </c:pt>
                <c:pt idx="285">
                  <c:v>133659.68</c:v>
                </c:pt>
                <c:pt idx="286">
                  <c:v>61739.55</c:v>
                </c:pt>
                <c:pt idx="287">
                  <c:v>54999</c:v>
                </c:pt>
                <c:pt idx="288">
                  <c:v>218071.58</c:v>
                </c:pt>
                <c:pt idx="289">
                  <c:v>93377.18</c:v>
                </c:pt>
                <c:pt idx="290">
                  <c:v>97198.2</c:v>
                </c:pt>
                <c:pt idx="291">
                  <c:v>57847.130000000005</c:v>
                </c:pt>
                <c:pt idx="292">
                  <c:v>165116.41</c:v>
                </c:pt>
                <c:pt idx="293">
                  <c:v>5797.1</c:v>
                </c:pt>
                <c:pt idx="294">
                  <c:v>54999</c:v>
                </c:pt>
                <c:pt idx="295">
                  <c:v>37999</c:v>
                </c:pt>
                <c:pt idx="296">
                  <c:v>188915.16</c:v>
                </c:pt>
                <c:pt idx="297">
                  <c:v>50599.08</c:v>
                </c:pt>
                <c:pt idx="298">
                  <c:v>103968.1</c:v>
                </c:pt>
                <c:pt idx="299">
                  <c:v>16720.5</c:v>
                </c:pt>
                <c:pt idx="300">
                  <c:v>39899.050000000003</c:v>
                </c:pt>
                <c:pt idx="301">
                  <c:v>11959.08</c:v>
                </c:pt>
                <c:pt idx="302">
                  <c:v>72198.100000000006</c:v>
                </c:pt>
                <c:pt idx="303">
                  <c:v>79798.100000000006</c:v>
                </c:pt>
                <c:pt idx="304">
                  <c:v>3790.5</c:v>
                </c:pt>
                <c:pt idx="305">
                  <c:v>41398.199999999997</c:v>
                </c:pt>
                <c:pt idx="306">
                  <c:v>4740.5</c:v>
                </c:pt>
                <c:pt idx="307">
                  <c:v>268395.12</c:v>
                </c:pt>
                <c:pt idx="308">
                  <c:v>74098.100000000006</c:v>
                </c:pt>
                <c:pt idx="309">
                  <c:v>36099.050000000003</c:v>
                </c:pt>
                <c:pt idx="310">
                  <c:v>74789.149999999994</c:v>
                </c:pt>
                <c:pt idx="311">
                  <c:v>5690.5</c:v>
                </c:pt>
                <c:pt idx="312">
                  <c:v>68698.05</c:v>
                </c:pt>
                <c:pt idx="313">
                  <c:v>87610.53</c:v>
                </c:pt>
                <c:pt idx="314">
                  <c:v>69916.2</c:v>
                </c:pt>
                <c:pt idx="315">
                  <c:v>1135.2</c:v>
                </c:pt>
                <c:pt idx="316">
                  <c:v>11710.88</c:v>
                </c:pt>
                <c:pt idx="317">
                  <c:v>198246.05</c:v>
                </c:pt>
                <c:pt idx="318">
                  <c:v>2831</c:v>
                </c:pt>
                <c:pt idx="319">
                  <c:v>69664.7</c:v>
                </c:pt>
                <c:pt idx="320">
                  <c:v>47215.1</c:v>
                </c:pt>
                <c:pt idx="321">
                  <c:v>48999</c:v>
                </c:pt>
                <c:pt idx="322">
                  <c:v>69147.16</c:v>
                </c:pt>
                <c:pt idx="323">
                  <c:v>46079.05</c:v>
                </c:pt>
                <c:pt idx="324">
                  <c:v>34959.08</c:v>
                </c:pt>
                <c:pt idx="325">
                  <c:v>48999</c:v>
                </c:pt>
                <c:pt idx="326">
                  <c:v>42561.15</c:v>
                </c:pt>
                <c:pt idx="327">
                  <c:v>115934.16</c:v>
                </c:pt>
                <c:pt idx="328">
                  <c:v>36732.1</c:v>
                </c:pt>
                <c:pt idx="329">
                  <c:v>60718.16</c:v>
                </c:pt>
                <c:pt idx="330">
                  <c:v>1890.5</c:v>
                </c:pt>
                <c:pt idx="331">
                  <c:v>176695.1</c:v>
                </c:pt>
                <c:pt idx="332">
                  <c:v>1225.5</c:v>
                </c:pt>
                <c:pt idx="333">
                  <c:v>64308</c:v>
                </c:pt>
                <c:pt idx="334">
                  <c:v>180343.55</c:v>
                </c:pt>
                <c:pt idx="335">
                  <c:v>136824.47</c:v>
                </c:pt>
                <c:pt idx="336">
                  <c:v>3661.6</c:v>
                </c:pt>
                <c:pt idx="337">
                  <c:v>30359.08</c:v>
                </c:pt>
                <c:pt idx="338">
                  <c:v>23264.55</c:v>
                </c:pt>
                <c:pt idx="339">
                  <c:v>74858.13</c:v>
                </c:pt>
                <c:pt idx="340">
                  <c:v>29525.7</c:v>
                </c:pt>
                <c:pt idx="341">
                  <c:v>72798.100000000006</c:v>
                </c:pt>
                <c:pt idx="342">
                  <c:v>2849.05</c:v>
                </c:pt>
                <c:pt idx="343">
                  <c:v>71248.05</c:v>
                </c:pt>
                <c:pt idx="344">
                  <c:v>44099.1</c:v>
                </c:pt>
                <c:pt idx="345">
                  <c:v>159677.08000000002</c:v>
                </c:pt>
                <c:pt idx="346">
                  <c:v>35348.050000000003</c:v>
                </c:pt>
                <c:pt idx="347">
                  <c:v>120777</c:v>
                </c:pt>
                <c:pt idx="348">
                  <c:v>22499.1</c:v>
                </c:pt>
                <c:pt idx="349">
                  <c:v>16139.55</c:v>
                </c:pt>
                <c:pt idx="350">
                  <c:v>103635.35</c:v>
                </c:pt>
                <c:pt idx="351">
                  <c:v>194793.5</c:v>
                </c:pt>
                <c:pt idx="352">
                  <c:v>18999.05</c:v>
                </c:pt>
                <c:pt idx="353">
                  <c:v>113397.3</c:v>
                </c:pt>
                <c:pt idx="354">
                  <c:v>72076.5</c:v>
                </c:pt>
                <c:pt idx="355">
                  <c:v>89651</c:v>
                </c:pt>
                <c:pt idx="356">
                  <c:v>9181.6</c:v>
                </c:pt>
                <c:pt idx="357">
                  <c:v>99768.170000000013</c:v>
                </c:pt>
                <c:pt idx="358">
                  <c:v>191893.7</c:v>
                </c:pt>
                <c:pt idx="359">
                  <c:v>142736.04999999999</c:v>
                </c:pt>
                <c:pt idx="360">
                  <c:v>3980</c:v>
                </c:pt>
                <c:pt idx="361">
                  <c:v>345861.79</c:v>
                </c:pt>
                <c:pt idx="362">
                  <c:v>13069.9</c:v>
                </c:pt>
                <c:pt idx="363">
                  <c:v>172546.15</c:v>
                </c:pt>
                <c:pt idx="364">
                  <c:v>12745.75</c:v>
                </c:pt>
                <c:pt idx="365">
                  <c:v>10542.4</c:v>
                </c:pt>
                <c:pt idx="366">
                  <c:v>36099.050000000003</c:v>
                </c:pt>
                <c:pt idx="367">
                  <c:v>52249.05</c:v>
                </c:pt>
                <c:pt idx="368">
                  <c:v>10773</c:v>
                </c:pt>
                <c:pt idx="369">
                  <c:v>45998.16</c:v>
                </c:pt>
                <c:pt idx="370">
                  <c:v>41999</c:v>
                </c:pt>
                <c:pt idx="371">
                  <c:v>3670.8</c:v>
                </c:pt>
                <c:pt idx="372">
                  <c:v>152975.28000000003</c:v>
                </c:pt>
                <c:pt idx="373">
                  <c:v>44030.080000000002</c:v>
                </c:pt>
                <c:pt idx="374">
                  <c:v>15550.08</c:v>
                </c:pt>
                <c:pt idx="375">
                  <c:v>42789.1</c:v>
                </c:pt>
                <c:pt idx="376">
                  <c:v>31349.05</c:v>
                </c:pt>
                <c:pt idx="377">
                  <c:v>217966.06</c:v>
                </c:pt>
                <c:pt idx="378">
                  <c:v>180089.2</c:v>
                </c:pt>
                <c:pt idx="379">
                  <c:v>51620.55</c:v>
                </c:pt>
                <c:pt idx="380">
                  <c:v>34689.1</c:v>
                </c:pt>
                <c:pt idx="381">
                  <c:v>10852.8</c:v>
                </c:pt>
                <c:pt idx="382">
                  <c:v>39998</c:v>
                </c:pt>
                <c:pt idx="383">
                  <c:v>222369.6</c:v>
                </c:pt>
                <c:pt idx="384">
                  <c:v>44099.1</c:v>
                </c:pt>
                <c:pt idx="385">
                  <c:v>1415.5</c:v>
                </c:pt>
                <c:pt idx="386">
                  <c:v>39899.050000000003</c:v>
                </c:pt>
                <c:pt idx="387">
                  <c:v>133756.48000000001</c:v>
                </c:pt>
                <c:pt idx="388">
                  <c:v>63347.199999999997</c:v>
                </c:pt>
                <c:pt idx="389">
                  <c:v>33249.050000000003</c:v>
                </c:pt>
                <c:pt idx="390">
                  <c:v>69918.16</c:v>
                </c:pt>
                <c:pt idx="391">
                  <c:v>39790</c:v>
                </c:pt>
                <c:pt idx="392">
                  <c:v>22043.200000000001</c:v>
                </c:pt>
                <c:pt idx="393">
                  <c:v>1890.5</c:v>
                </c:pt>
                <c:pt idx="394">
                  <c:v>210474.58000000002</c:v>
                </c:pt>
                <c:pt idx="395">
                  <c:v>28568.1</c:v>
                </c:pt>
                <c:pt idx="396">
                  <c:v>2999</c:v>
                </c:pt>
                <c:pt idx="397">
                  <c:v>9950</c:v>
                </c:pt>
                <c:pt idx="398">
                  <c:v>23749.05</c:v>
                </c:pt>
                <c:pt idx="399">
                  <c:v>1830.8</c:v>
                </c:pt>
                <c:pt idx="400">
                  <c:v>51299.05</c:v>
                </c:pt>
                <c:pt idx="401">
                  <c:v>36959.120000000003</c:v>
                </c:pt>
                <c:pt idx="402">
                  <c:v>22499.1</c:v>
                </c:pt>
                <c:pt idx="403">
                  <c:v>79798.100000000006</c:v>
                </c:pt>
                <c:pt idx="404">
                  <c:v>4590.8</c:v>
                </c:pt>
                <c:pt idx="405">
                  <c:v>84996.2</c:v>
                </c:pt>
                <c:pt idx="406">
                  <c:v>76298.05</c:v>
                </c:pt>
                <c:pt idx="407">
                  <c:v>69129.149999999994</c:v>
                </c:pt>
                <c:pt idx="408">
                  <c:v>81213.600000000006</c:v>
                </c:pt>
                <c:pt idx="409">
                  <c:v>104498.1</c:v>
                </c:pt>
                <c:pt idx="410">
                  <c:v>58680.17</c:v>
                </c:pt>
                <c:pt idx="411">
                  <c:v>14245.25</c:v>
                </c:pt>
                <c:pt idx="412">
                  <c:v>11439.12</c:v>
                </c:pt>
                <c:pt idx="413">
                  <c:v>149037.24</c:v>
                </c:pt>
                <c:pt idx="414">
                  <c:v>195695.25</c:v>
                </c:pt>
                <c:pt idx="415">
                  <c:v>1225.5</c:v>
                </c:pt>
                <c:pt idx="416">
                  <c:v>99747.15</c:v>
                </c:pt>
                <c:pt idx="417">
                  <c:v>5819.08</c:v>
                </c:pt>
                <c:pt idx="418">
                  <c:v>22878.240000000002</c:v>
                </c:pt>
                <c:pt idx="419">
                  <c:v>87996</c:v>
                </c:pt>
                <c:pt idx="420">
                  <c:v>36959.120000000003</c:v>
                </c:pt>
                <c:pt idx="421">
                  <c:v>113237.22</c:v>
                </c:pt>
                <c:pt idx="422">
                  <c:v>17137.22</c:v>
                </c:pt>
                <c:pt idx="423">
                  <c:v>88447.18</c:v>
                </c:pt>
                <c:pt idx="424">
                  <c:v>23390.1</c:v>
                </c:pt>
                <c:pt idx="425">
                  <c:v>57548.15</c:v>
                </c:pt>
                <c:pt idx="426">
                  <c:v>3980</c:v>
                </c:pt>
                <c:pt idx="427">
                  <c:v>40259.15</c:v>
                </c:pt>
                <c:pt idx="428">
                  <c:v>62558.16</c:v>
                </c:pt>
                <c:pt idx="429">
                  <c:v>1839.08</c:v>
                </c:pt>
                <c:pt idx="430">
                  <c:v>9352.1</c:v>
                </c:pt>
                <c:pt idx="431">
                  <c:v>173194.2</c:v>
                </c:pt>
                <c:pt idx="432">
                  <c:v>35669.1</c:v>
                </c:pt>
                <c:pt idx="433">
                  <c:v>11959.08</c:v>
                </c:pt>
                <c:pt idx="434">
                  <c:v>206195.4</c:v>
                </c:pt>
                <c:pt idx="435">
                  <c:v>20699.099999999999</c:v>
                </c:pt>
                <c:pt idx="436">
                  <c:v>48448.100000000006</c:v>
                </c:pt>
                <c:pt idx="437">
                  <c:v>330765.84999999998</c:v>
                </c:pt>
                <c:pt idx="438">
                  <c:v>68398.2</c:v>
                </c:pt>
                <c:pt idx="439">
                  <c:v>49949</c:v>
                </c:pt>
                <c:pt idx="440">
                  <c:v>1290</c:v>
                </c:pt>
                <c:pt idx="441">
                  <c:v>167115.46</c:v>
                </c:pt>
                <c:pt idx="442">
                  <c:v>68997.240000000005</c:v>
                </c:pt>
                <c:pt idx="443">
                  <c:v>134601</c:v>
                </c:pt>
                <c:pt idx="444">
                  <c:v>1161</c:v>
                </c:pt>
                <c:pt idx="445">
                  <c:v>105137.18000000001</c:v>
                </c:pt>
                <c:pt idx="446">
                  <c:v>49499.1</c:v>
                </c:pt>
                <c:pt idx="447">
                  <c:v>69998</c:v>
                </c:pt>
                <c:pt idx="448">
                  <c:v>49998</c:v>
                </c:pt>
                <c:pt idx="449">
                  <c:v>171345.05</c:v>
                </c:pt>
                <c:pt idx="450">
                  <c:v>54669.08</c:v>
                </c:pt>
                <c:pt idx="451">
                  <c:v>80279.8</c:v>
                </c:pt>
                <c:pt idx="452">
                  <c:v>51299.05</c:v>
                </c:pt>
                <c:pt idx="453">
                  <c:v>29039.119999999999</c:v>
                </c:pt>
                <c:pt idx="454">
                  <c:v>74838.149999999994</c:v>
                </c:pt>
                <c:pt idx="455">
                  <c:v>81859.08</c:v>
                </c:pt>
                <c:pt idx="456">
                  <c:v>49499.1</c:v>
                </c:pt>
                <c:pt idx="457">
                  <c:v>38470.28</c:v>
                </c:pt>
                <c:pt idx="458">
                  <c:v>53289.599999999999</c:v>
                </c:pt>
                <c:pt idx="459">
                  <c:v>9666.5</c:v>
                </c:pt>
                <c:pt idx="460">
                  <c:v>35998.199999999997</c:v>
                </c:pt>
                <c:pt idx="461">
                  <c:v>16999.150000000001</c:v>
                </c:pt>
                <c:pt idx="462">
                  <c:v>2602.3000000000002</c:v>
                </c:pt>
                <c:pt idx="463">
                  <c:v>11959.08</c:v>
                </c:pt>
                <c:pt idx="464">
                  <c:v>208996.2</c:v>
                </c:pt>
                <c:pt idx="465">
                  <c:v>32999</c:v>
                </c:pt>
                <c:pt idx="466">
                  <c:v>8547.15</c:v>
                </c:pt>
                <c:pt idx="467">
                  <c:v>51299.05</c:v>
                </c:pt>
                <c:pt idx="468">
                  <c:v>53490</c:v>
                </c:pt>
                <c:pt idx="469">
                  <c:v>53958.130000000005</c:v>
                </c:pt>
                <c:pt idx="470">
                  <c:v>79784.75</c:v>
                </c:pt>
                <c:pt idx="471">
                  <c:v>11189.66</c:v>
                </c:pt>
                <c:pt idx="472">
                  <c:v>51299.05</c:v>
                </c:pt>
                <c:pt idx="473">
                  <c:v>119696.20000000001</c:v>
                </c:pt>
                <c:pt idx="474">
                  <c:v>88299.760000000009</c:v>
                </c:pt>
                <c:pt idx="475">
                  <c:v>110456.34</c:v>
                </c:pt>
                <c:pt idx="476">
                  <c:v>3661.6</c:v>
                </c:pt>
                <c:pt idx="477">
                  <c:v>1990</c:v>
                </c:pt>
                <c:pt idx="478">
                  <c:v>58444.6</c:v>
                </c:pt>
                <c:pt idx="479">
                  <c:v>90158.16</c:v>
                </c:pt>
                <c:pt idx="480">
                  <c:v>43119.12</c:v>
                </c:pt>
                <c:pt idx="481">
                  <c:v>59997</c:v>
                </c:pt>
                <c:pt idx="482">
                  <c:v>25714</c:v>
                </c:pt>
                <c:pt idx="483">
                  <c:v>45957.18</c:v>
                </c:pt>
                <c:pt idx="484">
                  <c:v>42246.05</c:v>
                </c:pt>
                <c:pt idx="485">
                  <c:v>32110.280000000002</c:v>
                </c:pt>
                <c:pt idx="486">
                  <c:v>53999</c:v>
                </c:pt>
                <c:pt idx="487">
                  <c:v>36099.050000000003</c:v>
                </c:pt>
                <c:pt idx="488">
                  <c:v>52249.05</c:v>
                </c:pt>
                <c:pt idx="489">
                  <c:v>139800</c:v>
                </c:pt>
                <c:pt idx="490">
                  <c:v>203495.1</c:v>
                </c:pt>
                <c:pt idx="491">
                  <c:v>71488.100000000006</c:v>
                </c:pt>
                <c:pt idx="492">
                  <c:v>31499.1</c:v>
                </c:pt>
                <c:pt idx="493">
                  <c:v>34959.08</c:v>
                </c:pt>
                <c:pt idx="494">
                  <c:v>22499.1</c:v>
                </c:pt>
                <c:pt idx="495">
                  <c:v>139646.19999999998</c:v>
                </c:pt>
                <c:pt idx="496">
                  <c:v>234375.81</c:v>
                </c:pt>
                <c:pt idx="497">
                  <c:v>7660.5</c:v>
                </c:pt>
                <c:pt idx="498">
                  <c:v>66498.100000000006</c:v>
                </c:pt>
                <c:pt idx="499">
                  <c:v>29039.119999999999</c:v>
                </c:pt>
                <c:pt idx="500">
                  <c:v>45998.16</c:v>
                </c:pt>
                <c:pt idx="501">
                  <c:v>221486</c:v>
                </c:pt>
                <c:pt idx="502">
                  <c:v>46749.15</c:v>
                </c:pt>
                <c:pt idx="503">
                  <c:v>104087.21</c:v>
                </c:pt>
                <c:pt idx="504">
                  <c:v>5789.5</c:v>
                </c:pt>
                <c:pt idx="505">
                  <c:v>112087.65000000001</c:v>
                </c:pt>
                <c:pt idx="506">
                  <c:v>2999</c:v>
                </c:pt>
                <c:pt idx="507">
                  <c:v>4740.5</c:v>
                </c:pt>
                <c:pt idx="508">
                  <c:v>287226.38</c:v>
                </c:pt>
                <c:pt idx="509">
                  <c:v>87420.700000000012</c:v>
                </c:pt>
                <c:pt idx="510">
                  <c:v>66405</c:v>
                </c:pt>
                <c:pt idx="511">
                  <c:v>38497.199999999997</c:v>
                </c:pt>
                <c:pt idx="512">
                  <c:v>3790.5</c:v>
                </c:pt>
                <c:pt idx="513">
                  <c:v>202396.32</c:v>
                </c:pt>
                <c:pt idx="514">
                  <c:v>185559.5</c:v>
                </c:pt>
                <c:pt idx="515">
                  <c:v>100151.08</c:v>
                </c:pt>
                <c:pt idx="516">
                  <c:v>21849.05</c:v>
                </c:pt>
                <c:pt idx="517">
                  <c:v>91296.290000000008</c:v>
                </c:pt>
                <c:pt idx="518">
                  <c:v>66405</c:v>
                </c:pt>
                <c:pt idx="519">
                  <c:v>161991</c:v>
                </c:pt>
                <c:pt idx="520">
                  <c:v>5391</c:v>
                </c:pt>
                <c:pt idx="521">
                  <c:v>132810</c:v>
                </c:pt>
                <c:pt idx="522">
                  <c:v>181093.46</c:v>
                </c:pt>
                <c:pt idx="523">
                  <c:v>1341</c:v>
                </c:pt>
                <c:pt idx="524">
                  <c:v>24592.799999999999</c:v>
                </c:pt>
                <c:pt idx="525">
                  <c:v>1415.5</c:v>
                </c:pt>
                <c:pt idx="526">
                  <c:v>149793.75</c:v>
                </c:pt>
                <c:pt idx="527">
                  <c:v>157482.23999999999</c:v>
                </c:pt>
                <c:pt idx="528">
                  <c:v>247622.14999999997</c:v>
                </c:pt>
                <c:pt idx="529">
                  <c:v>12999</c:v>
                </c:pt>
                <c:pt idx="530">
                  <c:v>128497.18000000001</c:v>
                </c:pt>
                <c:pt idx="531">
                  <c:v>40478.239999999998</c:v>
                </c:pt>
                <c:pt idx="532">
                  <c:v>114878.31</c:v>
                </c:pt>
                <c:pt idx="533">
                  <c:v>70081.5</c:v>
                </c:pt>
                <c:pt idx="534">
                  <c:v>1311.2</c:v>
                </c:pt>
                <c:pt idx="535">
                  <c:v>286012</c:v>
                </c:pt>
                <c:pt idx="536">
                  <c:v>75998</c:v>
                </c:pt>
                <c:pt idx="537">
                  <c:v>281363.49</c:v>
                </c:pt>
                <c:pt idx="538">
                  <c:v>32199.08</c:v>
                </c:pt>
                <c:pt idx="539">
                  <c:v>92157.16</c:v>
                </c:pt>
                <c:pt idx="540">
                  <c:v>21999.119999999999</c:v>
                </c:pt>
                <c:pt idx="541">
                  <c:v>23619.72</c:v>
                </c:pt>
                <c:pt idx="542">
                  <c:v>54999</c:v>
                </c:pt>
                <c:pt idx="543">
                  <c:v>3737.5</c:v>
                </c:pt>
                <c:pt idx="544">
                  <c:v>3661.6</c:v>
                </c:pt>
                <c:pt idx="545">
                  <c:v>38639.08</c:v>
                </c:pt>
                <c:pt idx="546">
                  <c:v>114197.1</c:v>
                </c:pt>
                <c:pt idx="547">
                  <c:v>1415.5</c:v>
                </c:pt>
                <c:pt idx="548">
                  <c:v>11251.8</c:v>
                </c:pt>
                <c:pt idx="549">
                  <c:v>157156.16</c:v>
                </c:pt>
                <c:pt idx="550">
                  <c:v>183994.4</c:v>
                </c:pt>
                <c:pt idx="551">
                  <c:v>1161</c:v>
                </c:pt>
                <c:pt idx="552">
                  <c:v>79177.33</c:v>
                </c:pt>
                <c:pt idx="553">
                  <c:v>5671.5</c:v>
                </c:pt>
                <c:pt idx="554">
                  <c:v>115136.32000000001</c:v>
                </c:pt>
                <c:pt idx="555">
                  <c:v>1890.5</c:v>
                </c:pt>
                <c:pt idx="556">
                  <c:v>204207.08999999997</c:v>
                </c:pt>
                <c:pt idx="557">
                  <c:v>189072</c:v>
                </c:pt>
                <c:pt idx="558">
                  <c:v>71128.95</c:v>
                </c:pt>
                <c:pt idx="559">
                  <c:v>19999</c:v>
                </c:pt>
                <c:pt idx="560">
                  <c:v>12349.05</c:v>
                </c:pt>
                <c:pt idx="561">
                  <c:v>69900</c:v>
                </c:pt>
                <c:pt idx="562">
                  <c:v>80179.58</c:v>
                </c:pt>
                <c:pt idx="563">
                  <c:v>45079.08</c:v>
                </c:pt>
                <c:pt idx="564">
                  <c:v>7490</c:v>
                </c:pt>
                <c:pt idx="565">
                  <c:v>169524.44</c:v>
                </c:pt>
                <c:pt idx="566">
                  <c:v>11699.1</c:v>
                </c:pt>
                <c:pt idx="567">
                  <c:v>48399.12</c:v>
                </c:pt>
                <c:pt idx="568">
                  <c:v>1186.8</c:v>
                </c:pt>
                <c:pt idx="569">
                  <c:v>3980</c:v>
                </c:pt>
                <c:pt idx="570">
                  <c:v>43414.5</c:v>
                </c:pt>
                <c:pt idx="571">
                  <c:v>140120.18</c:v>
                </c:pt>
                <c:pt idx="572">
                  <c:v>127696.1</c:v>
                </c:pt>
                <c:pt idx="573">
                  <c:v>34959.08</c:v>
                </c:pt>
                <c:pt idx="574">
                  <c:v>148497.29999999999</c:v>
                </c:pt>
                <c:pt idx="575">
                  <c:v>1751.2</c:v>
                </c:pt>
                <c:pt idx="576">
                  <c:v>191896.2</c:v>
                </c:pt>
                <c:pt idx="577">
                  <c:v>21159.08</c:v>
                </c:pt>
                <c:pt idx="578">
                  <c:v>151797.24</c:v>
                </c:pt>
                <c:pt idx="579">
                  <c:v>14104.08</c:v>
                </c:pt>
                <c:pt idx="580">
                  <c:v>5690.5</c:v>
                </c:pt>
                <c:pt idx="581">
                  <c:v>77278.16</c:v>
                </c:pt>
                <c:pt idx="582">
                  <c:v>149037.24</c:v>
                </c:pt>
                <c:pt idx="583">
                  <c:v>136305</c:v>
                </c:pt>
                <c:pt idx="584">
                  <c:v>45899.15</c:v>
                </c:pt>
                <c:pt idx="585">
                  <c:v>1490</c:v>
                </c:pt>
                <c:pt idx="586">
                  <c:v>75259.05</c:v>
                </c:pt>
                <c:pt idx="587">
                  <c:v>1999</c:v>
                </c:pt>
                <c:pt idx="588">
                  <c:v>5990</c:v>
                </c:pt>
                <c:pt idx="589">
                  <c:v>94748.96</c:v>
                </c:pt>
                <c:pt idx="590">
                  <c:v>2999</c:v>
                </c:pt>
                <c:pt idx="591">
                  <c:v>14970</c:v>
                </c:pt>
                <c:pt idx="592">
                  <c:v>60313.600000000006</c:v>
                </c:pt>
                <c:pt idx="593">
                  <c:v>4590.8</c:v>
                </c:pt>
                <c:pt idx="594">
                  <c:v>107457.66</c:v>
                </c:pt>
                <c:pt idx="595">
                  <c:v>4224.5</c:v>
                </c:pt>
                <c:pt idx="596">
                  <c:v>146997</c:v>
                </c:pt>
                <c:pt idx="597">
                  <c:v>70075.8</c:v>
                </c:pt>
                <c:pt idx="598">
                  <c:v>11970</c:v>
                </c:pt>
                <c:pt idx="599">
                  <c:v>69918.16</c:v>
                </c:pt>
                <c:pt idx="600">
                  <c:v>235229.7</c:v>
                </c:pt>
                <c:pt idx="601">
                  <c:v>5271.2</c:v>
                </c:pt>
                <c:pt idx="602">
                  <c:v>4740.5</c:v>
                </c:pt>
                <c:pt idx="603">
                  <c:v>11381</c:v>
                </c:pt>
                <c:pt idx="604">
                  <c:v>57080.1</c:v>
                </c:pt>
                <c:pt idx="605">
                  <c:v>79798.100000000006</c:v>
                </c:pt>
                <c:pt idx="606">
                  <c:v>402870.78</c:v>
                </c:pt>
                <c:pt idx="607">
                  <c:v>95038.24</c:v>
                </c:pt>
                <c:pt idx="608">
                  <c:v>1341</c:v>
                </c:pt>
                <c:pt idx="609">
                  <c:v>57911.05</c:v>
                </c:pt>
                <c:pt idx="610">
                  <c:v>94915.62</c:v>
                </c:pt>
                <c:pt idx="611">
                  <c:v>41989</c:v>
                </c:pt>
                <c:pt idx="612">
                  <c:v>2451</c:v>
                </c:pt>
                <c:pt idx="613">
                  <c:v>75998.100000000006</c:v>
                </c:pt>
                <c:pt idx="614">
                  <c:v>1096.5</c:v>
                </c:pt>
                <c:pt idx="615">
                  <c:v>1799.1</c:v>
                </c:pt>
                <c:pt idx="616">
                  <c:v>132292.5</c:v>
                </c:pt>
                <c:pt idx="617">
                  <c:v>105578.1</c:v>
                </c:pt>
                <c:pt idx="618">
                  <c:v>31499.1</c:v>
                </c:pt>
                <c:pt idx="619">
                  <c:v>5879.05</c:v>
                </c:pt>
                <c:pt idx="620">
                  <c:v>186196.2</c:v>
                </c:pt>
                <c:pt idx="621">
                  <c:v>12349.05</c:v>
                </c:pt>
                <c:pt idx="622">
                  <c:v>68398.2</c:v>
                </c:pt>
                <c:pt idx="623">
                  <c:v>208094.42</c:v>
                </c:pt>
                <c:pt idx="624">
                  <c:v>5299.2</c:v>
                </c:pt>
                <c:pt idx="625">
                  <c:v>56586.1</c:v>
                </c:pt>
                <c:pt idx="626">
                  <c:v>3863.6</c:v>
                </c:pt>
                <c:pt idx="627">
                  <c:v>1490</c:v>
                </c:pt>
                <c:pt idx="628">
                  <c:v>133908</c:v>
                </c:pt>
                <c:pt idx="629">
                  <c:v>31398.080000000002</c:v>
                </c:pt>
                <c:pt idx="630">
                  <c:v>66405</c:v>
                </c:pt>
                <c:pt idx="631">
                  <c:v>46749.15</c:v>
                </c:pt>
                <c:pt idx="632">
                  <c:v>5998</c:v>
                </c:pt>
                <c:pt idx="633">
                  <c:v>76958.080000000002</c:v>
                </c:pt>
                <c:pt idx="634">
                  <c:v>2373.6</c:v>
                </c:pt>
                <c:pt idx="635">
                  <c:v>5931.8</c:v>
                </c:pt>
                <c:pt idx="636">
                  <c:v>35898.25</c:v>
                </c:pt>
                <c:pt idx="637">
                  <c:v>69900</c:v>
                </c:pt>
                <c:pt idx="638">
                  <c:v>123245.05</c:v>
                </c:pt>
                <c:pt idx="639">
                  <c:v>54961.08</c:v>
                </c:pt>
                <c:pt idx="640">
                  <c:v>8483</c:v>
                </c:pt>
                <c:pt idx="641">
                  <c:v>33249.050000000003</c:v>
                </c:pt>
                <c:pt idx="642">
                  <c:v>15172.32</c:v>
                </c:pt>
                <c:pt idx="643">
                  <c:v>53835.899999999994</c:v>
                </c:pt>
                <c:pt idx="644">
                  <c:v>53664.55</c:v>
                </c:pt>
                <c:pt idx="645">
                  <c:v>66278.55</c:v>
                </c:pt>
                <c:pt idx="646">
                  <c:v>130966.90000000001</c:v>
                </c:pt>
                <c:pt idx="647">
                  <c:v>9081.7999999999993</c:v>
                </c:pt>
                <c:pt idx="648">
                  <c:v>95197.180000000008</c:v>
                </c:pt>
                <c:pt idx="649">
                  <c:v>4386</c:v>
                </c:pt>
                <c:pt idx="650">
                  <c:v>14970</c:v>
                </c:pt>
                <c:pt idx="651">
                  <c:v>68469.58</c:v>
                </c:pt>
                <c:pt idx="652">
                  <c:v>186966.02999999997</c:v>
                </c:pt>
                <c:pt idx="653">
                  <c:v>22954</c:v>
                </c:pt>
                <c:pt idx="654">
                  <c:v>3582</c:v>
                </c:pt>
                <c:pt idx="655">
                  <c:v>37799.1</c:v>
                </c:pt>
                <c:pt idx="656">
                  <c:v>64308</c:v>
                </c:pt>
                <c:pt idx="657">
                  <c:v>98079.3</c:v>
                </c:pt>
                <c:pt idx="658">
                  <c:v>104997</c:v>
                </c:pt>
                <c:pt idx="659">
                  <c:v>4590.8</c:v>
                </c:pt>
                <c:pt idx="660">
                  <c:v>13616.32</c:v>
                </c:pt>
                <c:pt idx="661">
                  <c:v>64352</c:v>
                </c:pt>
                <c:pt idx="662">
                  <c:v>117197.2</c:v>
                </c:pt>
                <c:pt idx="663">
                  <c:v>84077.4</c:v>
                </c:pt>
                <c:pt idx="664">
                  <c:v>33249.050000000003</c:v>
                </c:pt>
                <c:pt idx="665">
                  <c:v>137042.01</c:v>
                </c:pt>
                <c:pt idx="666">
                  <c:v>11977</c:v>
                </c:pt>
                <c:pt idx="667">
                  <c:v>1225.5</c:v>
                </c:pt>
                <c:pt idx="668">
                  <c:v>66277</c:v>
                </c:pt>
                <c:pt idx="669">
                  <c:v>79198.2</c:v>
                </c:pt>
                <c:pt idx="670">
                  <c:v>75996.2</c:v>
                </c:pt>
                <c:pt idx="671">
                  <c:v>3998</c:v>
                </c:pt>
                <c:pt idx="672">
                  <c:v>3391.5</c:v>
                </c:pt>
                <c:pt idx="673">
                  <c:v>56398.080000000002</c:v>
                </c:pt>
                <c:pt idx="674">
                  <c:v>2759.08</c:v>
                </c:pt>
                <c:pt idx="675">
                  <c:v>13537.1</c:v>
                </c:pt>
                <c:pt idx="676">
                  <c:v>132996.20000000001</c:v>
                </c:pt>
                <c:pt idx="677">
                  <c:v>65149.1</c:v>
                </c:pt>
                <c:pt idx="678">
                  <c:v>2699.1</c:v>
                </c:pt>
                <c:pt idx="679">
                  <c:v>34859.35</c:v>
                </c:pt>
                <c:pt idx="680">
                  <c:v>143786.38</c:v>
                </c:pt>
                <c:pt idx="681">
                  <c:v>94996.2</c:v>
                </c:pt>
                <c:pt idx="682">
                  <c:v>3670.8</c:v>
                </c:pt>
                <c:pt idx="683">
                  <c:v>303331.20999999996</c:v>
                </c:pt>
                <c:pt idx="684">
                  <c:v>21849.05</c:v>
                </c:pt>
                <c:pt idx="685">
                  <c:v>51058.18</c:v>
                </c:pt>
                <c:pt idx="686">
                  <c:v>205753.08</c:v>
                </c:pt>
                <c:pt idx="687">
                  <c:v>37799.1</c:v>
                </c:pt>
                <c:pt idx="688">
                  <c:v>280094.25</c:v>
                </c:pt>
                <c:pt idx="689">
                  <c:v>12058.24</c:v>
                </c:pt>
                <c:pt idx="690">
                  <c:v>2759.08</c:v>
                </c:pt>
                <c:pt idx="691">
                  <c:v>6422</c:v>
                </c:pt>
                <c:pt idx="692">
                  <c:v>73667.210000000006</c:v>
                </c:pt>
                <c:pt idx="693">
                  <c:v>110857.05</c:v>
                </c:pt>
                <c:pt idx="694">
                  <c:v>98507.1</c:v>
                </c:pt>
                <c:pt idx="695">
                  <c:v>117795.1</c:v>
                </c:pt>
                <c:pt idx="696">
                  <c:v>183075.40000000002</c:v>
                </c:pt>
                <c:pt idx="697">
                  <c:v>68398.2</c:v>
                </c:pt>
                <c:pt idx="698">
                  <c:v>63948.15</c:v>
                </c:pt>
                <c:pt idx="699">
                  <c:v>45781</c:v>
                </c:pt>
                <c:pt idx="700">
                  <c:v>159047.32</c:v>
                </c:pt>
                <c:pt idx="701">
                  <c:v>34959.08</c:v>
                </c:pt>
                <c:pt idx="702">
                  <c:v>7779</c:v>
                </c:pt>
                <c:pt idx="703">
                  <c:v>85498.1</c:v>
                </c:pt>
                <c:pt idx="704">
                  <c:v>181077.59999999998</c:v>
                </c:pt>
                <c:pt idx="705">
                  <c:v>12349.05</c:v>
                </c:pt>
                <c:pt idx="706">
                  <c:v>211416.32000000001</c:v>
                </c:pt>
                <c:pt idx="707">
                  <c:v>50248.200000000004</c:v>
                </c:pt>
                <c:pt idx="708">
                  <c:v>1490</c:v>
                </c:pt>
                <c:pt idx="709">
                  <c:v>34959.08</c:v>
                </c:pt>
                <c:pt idx="710">
                  <c:v>56997.15</c:v>
                </c:pt>
                <c:pt idx="711">
                  <c:v>31499.1</c:v>
                </c:pt>
                <c:pt idx="712">
                  <c:v>66099</c:v>
                </c:pt>
                <c:pt idx="713">
                  <c:v>199237.80000000002</c:v>
                </c:pt>
                <c:pt idx="714">
                  <c:v>41318.130000000005</c:v>
                </c:pt>
                <c:pt idx="715">
                  <c:v>52249.05</c:v>
                </c:pt>
                <c:pt idx="716">
                  <c:v>1290</c:v>
                </c:pt>
                <c:pt idx="717">
                  <c:v>52660.6</c:v>
                </c:pt>
                <c:pt idx="718">
                  <c:v>99747.15</c:v>
                </c:pt>
                <c:pt idx="719">
                  <c:v>54397.120000000003</c:v>
                </c:pt>
                <c:pt idx="720">
                  <c:v>60346.350000000006</c:v>
                </c:pt>
                <c:pt idx="721">
                  <c:v>59398.2</c:v>
                </c:pt>
                <c:pt idx="722">
                  <c:v>23366.6</c:v>
                </c:pt>
                <c:pt idx="723">
                  <c:v>42898.05</c:v>
                </c:pt>
                <c:pt idx="724">
                  <c:v>123197.28</c:v>
                </c:pt>
                <c:pt idx="725">
                  <c:v>65826.149999999994</c:v>
                </c:pt>
                <c:pt idx="726">
                  <c:v>48999</c:v>
                </c:pt>
                <c:pt idx="727">
                  <c:v>24999</c:v>
                </c:pt>
                <c:pt idx="728">
                  <c:v>35042.199999999997</c:v>
                </c:pt>
                <c:pt idx="729">
                  <c:v>49871.450000000004</c:v>
                </c:pt>
                <c:pt idx="730">
                  <c:v>2849.05</c:v>
                </c:pt>
                <c:pt idx="731">
                  <c:v>8982</c:v>
                </c:pt>
                <c:pt idx="732">
                  <c:v>66900</c:v>
                </c:pt>
                <c:pt idx="733">
                  <c:v>143032.31</c:v>
                </c:pt>
                <c:pt idx="734">
                  <c:v>1370.8</c:v>
                </c:pt>
                <c:pt idx="735">
                  <c:v>96747.1</c:v>
                </c:pt>
                <c:pt idx="736">
                  <c:v>10542.4</c:v>
                </c:pt>
                <c:pt idx="737">
                  <c:v>2322</c:v>
                </c:pt>
                <c:pt idx="738">
                  <c:v>3990</c:v>
                </c:pt>
                <c:pt idx="739">
                  <c:v>31529.899999999998</c:v>
                </c:pt>
                <c:pt idx="740">
                  <c:v>139996</c:v>
                </c:pt>
                <c:pt idx="741">
                  <c:v>2759.08</c:v>
                </c:pt>
                <c:pt idx="742">
                  <c:v>1799.1</c:v>
                </c:pt>
                <c:pt idx="743">
                  <c:v>4790</c:v>
                </c:pt>
                <c:pt idx="744">
                  <c:v>90158.16</c:v>
                </c:pt>
                <c:pt idx="745">
                  <c:v>104498.1</c:v>
                </c:pt>
                <c:pt idx="746">
                  <c:v>121956.33</c:v>
                </c:pt>
                <c:pt idx="747">
                  <c:v>51299.05</c:v>
                </c:pt>
                <c:pt idx="748">
                  <c:v>9810.7999999999993</c:v>
                </c:pt>
                <c:pt idx="749">
                  <c:v>227068.3</c:v>
                </c:pt>
                <c:pt idx="750">
                  <c:v>46546.15</c:v>
                </c:pt>
                <c:pt idx="751">
                  <c:v>75998</c:v>
                </c:pt>
                <c:pt idx="752">
                  <c:v>69918.16</c:v>
                </c:pt>
                <c:pt idx="753">
                  <c:v>49369.599999999999</c:v>
                </c:pt>
                <c:pt idx="754">
                  <c:v>22499.1</c:v>
                </c:pt>
                <c:pt idx="755">
                  <c:v>40957.08</c:v>
                </c:pt>
                <c:pt idx="756">
                  <c:v>31349.05</c:v>
                </c:pt>
                <c:pt idx="757">
                  <c:v>8547.15</c:v>
                </c:pt>
                <c:pt idx="758">
                  <c:v>3380.5</c:v>
                </c:pt>
                <c:pt idx="759">
                  <c:v>172036.36</c:v>
                </c:pt>
                <c:pt idx="760">
                  <c:v>79471</c:v>
                </c:pt>
                <c:pt idx="761">
                  <c:v>24300.3</c:v>
                </c:pt>
                <c:pt idx="762">
                  <c:v>3790.5</c:v>
                </c:pt>
                <c:pt idx="763">
                  <c:v>43539.65</c:v>
                </c:pt>
                <c:pt idx="764">
                  <c:v>339391.56000000006</c:v>
                </c:pt>
                <c:pt idx="765">
                  <c:v>37999</c:v>
                </c:pt>
                <c:pt idx="766">
                  <c:v>46633.850000000006</c:v>
                </c:pt>
                <c:pt idx="767">
                  <c:v>11959.08</c:v>
                </c:pt>
                <c:pt idx="768">
                  <c:v>2549.15</c:v>
                </c:pt>
                <c:pt idx="769">
                  <c:v>40998.17</c:v>
                </c:pt>
                <c:pt idx="770">
                  <c:v>107998</c:v>
                </c:pt>
                <c:pt idx="771">
                  <c:v>95996.160000000003</c:v>
                </c:pt>
                <c:pt idx="772">
                  <c:v>91077.08</c:v>
                </c:pt>
                <c:pt idx="773">
                  <c:v>21159.08</c:v>
                </c:pt>
                <c:pt idx="774">
                  <c:v>7789.1</c:v>
                </c:pt>
                <c:pt idx="775">
                  <c:v>41649.15</c:v>
                </c:pt>
                <c:pt idx="776">
                  <c:v>39647.210000000006</c:v>
                </c:pt>
                <c:pt idx="777">
                  <c:v>39899.050000000003</c:v>
                </c:pt>
                <c:pt idx="778">
                  <c:v>61488.740000000005</c:v>
                </c:pt>
                <c:pt idx="779">
                  <c:v>79798.100000000006</c:v>
                </c:pt>
                <c:pt idx="780">
                  <c:v>71298.13</c:v>
                </c:pt>
                <c:pt idx="781">
                  <c:v>93770.1</c:v>
                </c:pt>
                <c:pt idx="782">
                  <c:v>79798.100000000006</c:v>
                </c:pt>
                <c:pt idx="783">
                  <c:v>63987</c:v>
                </c:pt>
                <c:pt idx="784">
                  <c:v>5575.55</c:v>
                </c:pt>
                <c:pt idx="785">
                  <c:v>91317.16</c:v>
                </c:pt>
                <c:pt idx="786">
                  <c:v>137835.45000000001</c:v>
                </c:pt>
                <c:pt idx="787">
                  <c:v>37998.1</c:v>
                </c:pt>
                <c:pt idx="788">
                  <c:v>46549.05</c:v>
                </c:pt>
                <c:pt idx="789">
                  <c:v>1290</c:v>
                </c:pt>
                <c:pt idx="790">
                  <c:v>7996</c:v>
                </c:pt>
                <c:pt idx="791">
                  <c:v>64817.26</c:v>
                </c:pt>
                <c:pt idx="792">
                  <c:v>56798.15</c:v>
                </c:pt>
                <c:pt idx="793">
                  <c:v>176909.1</c:v>
                </c:pt>
                <c:pt idx="794">
                  <c:v>49906.1</c:v>
                </c:pt>
                <c:pt idx="795">
                  <c:v>276932.62</c:v>
                </c:pt>
                <c:pt idx="796">
                  <c:v>68398.2</c:v>
                </c:pt>
                <c:pt idx="797">
                  <c:v>20699.099999999999</c:v>
                </c:pt>
                <c:pt idx="798">
                  <c:v>81937.210000000006</c:v>
                </c:pt>
                <c:pt idx="799">
                  <c:v>14221.5</c:v>
                </c:pt>
                <c:pt idx="800">
                  <c:v>21159.08</c:v>
                </c:pt>
                <c:pt idx="801">
                  <c:v>187236.26</c:v>
                </c:pt>
                <c:pt idx="802">
                  <c:v>172605.15</c:v>
                </c:pt>
                <c:pt idx="803">
                  <c:v>48999</c:v>
                </c:pt>
                <c:pt idx="804">
                  <c:v>80666.48000000001</c:v>
                </c:pt>
                <c:pt idx="805">
                  <c:v>2980</c:v>
                </c:pt>
                <c:pt idx="806">
                  <c:v>69900</c:v>
                </c:pt>
                <c:pt idx="807">
                  <c:v>33249.050000000003</c:v>
                </c:pt>
                <c:pt idx="808">
                  <c:v>132810</c:v>
                </c:pt>
                <c:pt idx="809">
                  <c:v>136796.4</c:v>
                </c:pt>
                <c:pt idx="810">
                  <c:v>1990</c:v>
                </c:pt>
                <c:pt idx="811">
                  <c:v>11980</c:v>
                </c:pt>
                <c:pt idx="812">
                  <c:v>1691.5</c:v>
                </c:pt>
                <c:pt idx="813">
                  <c:v>45079.08</c:v>
                </c:pt>
                <c:pt idx="814">
                  <c:v>61512</c:v>
                </c:pt>
                <c:pt idx="815">
                  <c:v>45079.08</c:v>
                </c:pt>
                <c:pt idx="816">
                  <c:v>9980</c:v>
                </c:pt>
                <c:pt idx="817">
                  <c:v>18363.2</c:v>
                </c:pt>
                <c:pt idx="818">
                  <c:v>23749.05</c:v>
                </c:pt>
                <c:pt idx="819">
                  <c:v>36099.050000000003</c:v>
                </c:pt>
                <c:pt idx="820">
                  <c:v>11049.15</c:v>
                </c:pt>
                <c:pt idx="821">
                  <c:v>3670.8</c:v>
                </c:pt>
                <c:pt idx="822">
                  <c:v>37999</c:v>
                </c:pt>
                <c:pt idx="823">
                  <c:v>98998.2</c:v>
                </c:pt>
                <c:pt idx="824">
                  <c:v>2699.1</c:v>
                </c:pt>
                <c:pt idx="825">
                  <c:v>140247.45000000001</c:v>
                </c:pt>
                <c:pt idx="826">
                  <c:v>74997</c:v>
                </c:pt>
                <c:pt idx="827">
                  <c:v>52249.05</c:v>
                </c:pt>
                <c:pt idx="828">
                  <c:v>118796.4</c:v>
                </c:pt>
                <c:pt idx="829">
                  <c:v>53999</c:v>
                </c:pt>
                <c:pt idx="830">
                  <c:v>2849.05</c:v>
                </c:pt>
                <c:pt idx="831">
                  <c:v>172476.48</c:v>
                </c:pt>
                <c:pt idx="832">
                  <c:v>31349.05</c:v>
                </c:pt>
                <c:pt idx="833">
                  <c:v>4491</c:v>
                </c:pt>
              </c:numCache>
            </c:numRef>
          </c:val>
          <c:extLst>
            <c:ext xmlns:c16="http://schemas.microsoft.com/office/drawing/2014/chart" uri="{C3380CC4-5D6E-409C-BE32-E72D297353CC}">
              <c16:uniqueId val="{00000000-6E40-4E88-9AE2-92DC5E4A9E2E}"/>
            </c:ext>
          </c:extLst>
        </c:ser>
        <c:dLbls>
          <c:showLegendKey val="0"/>
          <c:showVal val="0"/>
          <c:showCatName val="0"/>
          <c:showSerName val="0"/>
          <c:showPercent val="0"/>
          <c:showBubbleSize val="0"/>
        </c:dLbls>
        <c:axId val="364754640"/>
        <c:axId val="134867872"/>
        <c:axId val="341354400"/>
      </c:area3DChart>
      <c:catAx>
        <c:axId val="36475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7872"/>
        <c:crosses val="autoZero"/>
        <c:auto val="1"/>
        <c:lblAlgn val="ctr"/>
        <c:lblOffset val="100"/>
        <c:noMultiLvlLbl val="0"/>
      </c:catAx>
      <c:valAx>
        <c:axId val="13486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54640"/>
        <c:crosses val="autoZero"/>
        <c:crossBetween val="midCat"/>
      </c:valAx>
      <c:serAx>
        <c:axId val="34135440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7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https://www.oneplus.com/global/press/press-release/oneplus-launches-new-flagship-series-oneplus-13-and-oneplus-13r" TargetMode="External"/><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hyperlink" Target="https://gizchina.it/2026/07/oneplus-addio-europa-usa-tutti-i-dettagli-ufficiale/" TargetMode="External"/><Relationship Id="rId5" Type="http://schemas.openxmlformats.org/officeDocument/2006/relationships/chart" Target="../charts/chart7.xml"/><Relationship Id="rId10" Type="http://schemas.openxmlformats.org/officeDocument/2006/relationships/image" Target="../media/image3.jpg"/><Relationship Id="rId4" Type="http://schemas.openxmlformats.org/officeDocument/2006/relationships/chart" Target="../charts/chart6.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215900</xdr:colOff>
      <xdr:row>2</xdr:row>
      <xdr:rowOff>130175</xdr:rowOff>
    </xdr:from>
    <xdr:to>
      <xdr:col>13</xdr:col>
      <xdr:colOff>520700</xdr:colOff>
      <xdr:row>17</xdr:row>
      <xdr:rowOff>111125</xdr:rowOff>
    </xdr:to>
    <xdr:graphicFrame macro="">
      <xdr:nvGraphicFramePr>
        <xdr:cNvPr id="2" name="Chart 1">
          <a:extLst>
            <a:ext uri="{FF2B5EF4-FFF2-40B4-BE49-F238E27FC236}">
              <a16:creationId xmlns:a16="http://schemas.microsoft.com/office/drawing/2014/main" id="{A219B55B-5A90-16E1-32D4-22E8F30DD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10</xdr:row>
      <xdr:rowOff>3175</xdr:rowOff>
    </xdr:from>
    <xdr:to>
      <xdr:col>5</xdr:col>
      <xdr:colOff>482600</xdr:colOff>
      <xdr:row>24</xdr:row>
      <xdr:rowOff>168275</xdr:rowOff>
    </xdr:to>
    <xdr:graphicFrame macro="">
      <xdr:nvGraphicFramePr>
        <xdr:cNvPr id="3" name="Chart 2">
          <a:extLst>
            <a:ext uri="{FF2B5EF4-FFF2-40B4-BE49-F238E27FC236}">
              <a16:creationId xmlns:a16="http://schemas.microsoft.com/office/drawing/2014/main" id="{33D4A67C-F2B1-8D32-9892-08029CA79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596822</xdr:colOff>
      <xdr:row>10</xdr:row>
      <xdr:rowOff>35259</xdr:rowOff>
    </xdr:from>
    <xdr:to>
      <xdr:col>4</xdr:col>
      <xdr:colOff>198911</xdr:colOff>
      <xdr:row>19</xdr:row>
      <xdr:rowOff>128100</xdr:rowOff>
    </xdr:to>
    <xdr:sp macro="" textlink="">
      <xdr:nvSpPr>
        <xdr:cNvPr id="3" name="TextBox 2">
          <a:extLst>
            <a:ext uri="{FF2B5EF4-FFF2-40B4-BE49-F238E27FC236}">
              <a16:creationId xmlns:a16="http://schemas.microsoft.com/office/drawing/2014/main" id="{12A8CE49-1CD6-C85A-0183-A587BCC353D5}"/>
            </a:ext>
          </a:extLst>
        </xdr:cNvPr>
        <xdr:cNvSpPr txBox="1"/>
      </xdr:nvSpPr>
      <xdr:spPr>
        <a:xfrm>
          <a:off x="596822" y="1807352"/>
          <a:ext cx="2023949" cy="1687725"/>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cap="none" spc="0">
            <a:ln w="22225">
              <a:solidFill>
                <a:schemeClr val="accent2"/>
              </a:solidFill>
              <a:prstDash val="solid"/>
            </a:ln>
            <a:solidFill>
              <a:schemeClr val="accent2">
                <a:lumMod val="40000"/>
                <a:lumOff val="60000"/>
              </a:schemeClr>
            </a:solidFill>
            <a:effectLst/>
          </a:endParaRPr>
        </a:p>
        <a:p>
          <a:pPr algn="ctr"/>
          <a:endParaRPr lang="en-IN" sz="1100" b="1" cap="none" spc="0">
            <a:ln w="22225">
              <a:solidFill>
                <a:schemeClr val="accent2"/>
              </a:solidFill>
              <a:prstDash val="solid"/>
            </a:ln>
            <a:solidFill>
              <a:schemeClr val="accent2">
                <a:lumMod val="40000"/>
                <a:lumOff val="60000"/>
              </a:schemeClr>
            </a:solidFill>
            <a:effectLst/>
          </a:endParaRPr>
        </a:p>
        <a:p>
          <a:pPr algn="ctr"/>
          <a:r>
            <a:rPr lang="en-IN" sz="2400" b="1" cap="none" spc="0">
              <a:ln w="22225">
                <a:solidFill>
                  <a:schemeClr val="accent2"/>
                </a:solidFill>
                <a:prstDash val="solid"/>
              </a:ln>
              <a:solidFill>
                <a:schemeClr val="accent2">
                  <a:lumMod val="40000"/>
                  <a:lumOff val="60000"/>
                </a:schemeClr>
              </a:solidFill>
              <a:effectLst/>
            </a:rPr>
            <a:t>Net</a:t>
          </a:r>
          <a:r>
            <a:rPr lang="en-IN" sz="2400" b="1" cap="none" spc="0" baseline="0">
              <a:ln w="22225">
                <a:solidFill>
                  <a:schemeClr val="accent2"/>
                </a:solidFill>
                <a:prstDash val="solid"/>
              </a:ln>
              <a:solidFill>
                <a:schemeClr val="accent2">
                  <a:lumMod val="40000"/>
                  <a:lumOff val="60000"/>
                </a:schemeClr>
              </a:solidFill>
              <a:effectLst/>
            </a:rPr>
            <a:t> Revenue</a:t>
          </a:r>
        </a:p>
        <a:p>
          <a:pPr algn="ctr"/>
          <a:r>
            <a:rPr lang="en-IN" sz="24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₹5,11,47,304.66</a:t>
          </a:r>
          <a:r>
            <a:rPr lang="en-IN" sz="24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5</xdr:col>
      <xdr:colOff>286516</xdr:colOff>
      <xdr:row>10</xdr:row>
      <xdr:rowOff>79006</xdr:rowOff>
    </xdr:from>
    <xdr:to>
      <xdr:col>9</xdr:col>
      <xdr:colOff>210317</xdr:colOff>
      <xdr:row>19</xdr:row>
      <xdr:rowOff>158835</xdr:rowOff>
    </xdr:to>
    <xdr:sp macro="" textlink="">
      <xdr:nvSpPr>
        <xdr:cNvPr id="4" name="TextBox 3">
          <a:extLst>
            <a:ext uri="{FF2B5EF4-FFF2-40B4-BE49-F238E27FC236}">
              <a16:creationId xmlns:a16="http://schemas.microsoft.com/office/drawing/2014/main" id="{21F47B6A-2096-64FB-543E-6EAA6AFDAE5C}"/>
            </a:ext>
          </a:extLst>
        </xdr:cNvPr>
        <xdr:cNvSpPr txBox="1"/>
      </xdr:nvSpPr>
      <xdr:spPr>
        <a:xfrm>
          <a:off x="3313842" y="1851099"/>
          <a:ext cx="2345661" cy="1674713"/>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0" i="0" u="none" strike="noStrike">
            <a:solidFill>
              <a:schemeClr val="dk1"/>
            </a:solidFill>
            <a:effectLst/>
            <a:latin typeface="+mn-lt"/>
            <a:ea typeface="+mn-ea"/>
            <a:cs typeface="+mn-cs"/>
          </a:endParaRPr>
        </a:p>
        <a:p>
          <a:pPr algn="ctr"/>
          <a:endParaRPr lang="en-IN" sz="1100" b="0" i="0" u="none" strike="noStrike">
            <a:solidFill>
              <a:schemeClr val="dk1"/>
            </a:solidFill>
            <a:effectLst/>
            <a:latin typeface="+mn-lt"/>
            <a:ea typeface="+mn-ea"/>
            <a:cs typeface="+mn-cs"/>
          </a:endParaRPr>
        </a:p>
        <a:p>
          <a:pPr algn="ctr"/>
          <a:r>
            <a:rPr lang="en-IN" sz="2800" b="1" cap="none" spc="0">
              <a:ln w="22225">
                <a:solidFill>
                  <a:schemeClr val="accent2"/>
                </a:solidFill>
                <a:prstDash val="solid"/>
              </a:ln>
              <a:solidFill>
                <a:schemeClr val="accent2">
                  <a:lumMod val="40000"/>
                  <a:lumOff val="60000"/>
                </a:schemeClr>
              </a:solidFill>
              <a:effectLst/>
            </a:rPr>
            <a:t>Quantity</a:t>
          </a:r>
          <a:r>
            <a:rPr lang="en-IN" sz="2800" b="1" cap="none" spc="0" baseline="0">
              <a:ln w="22225">
                <a:solidFill>
                  <a:schemeClr val="accent2"/>
                </a:solidFill>
                <a:prstDash val="solid"/>
              </a:ln>
              <a:solidFill>
                <a:schemeClr val="accent2">
                  <a:lumMod val="40000"/>
                  <a:lumOff val="60000"/>
                </a:schemeClr>
              </a:solidFill>
              <a:effectLst/>
            </a:rPr>
            <a:t> Sold</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2,435</a:t>
          </a:r>
          <a:r>
            <a:rPr lang="en-IN" sz="2800" b="1" cap="none" spc="0">
              <a:ln w="22225">
                <a:solidFill>
                  <a:schemeClr val="accent2"/>
                </a:solidFill>
                <a:prstDash val="solid"/>
              </a:ln>
              <a:solidFill>
                <a:schemeClr val="accent2">
                  <a:lumMod val="40000"/>
                  <a:lumOff val="60000"/>
                </a:schemeClr>
              </a:solidFill>
              <a:effectLst/>
            </a:rPr>
            <a:t> </a:t>
          </a:r>
        </a:p>
        <a:p>
          <a:endParaRPr lang="en-IN" sz="1100">
            <a:effectLst/>
          </a:endParaRPr>
        </a:p>
        <a:p>
          <a:endParaRPr lang="en-IN" sz="1100"/>
        </a:p>
      </xdr:txBody>
    </xdr:sp>
    <xdr:clientData/>
  </xdr:twoCellAnchor>
  <xdr:twoCellAnchor>
    <xdr:from>
      <xdr:col>11</xdr:col>
      <xdr:colOff>279507</xdr:colOff>
      <xdr:row>10</xdr:row>
      <xdr:rowOff>94793</xdr:rowOff>
    </xdr:from>
    <xdr:to>
      <xdr:col>15</xdr:col>
      <xdr:colOff>345197</xdr:colOff>
      <xdr:row>20</xdr:row>
      <xdr:rowOff>17425</xdr:rowOff>
    </xdr:to>
    <xdr:sp macro="" textlink="">
      <xdr:nvSpPr>
        <xdr:cNvPr id="5" name="TextBox 4">
          <a:extLst>
            <a:ext uri="{FF2B5EF4-FFF2-40B4-BE49-F238E27FC236}">
              <a16:creationId xmlns:a16="http://schemas.microsoft.com/office/drawing/2014/main" id="{51A8DFA5-BA74-5A0B-D5CA-6BACEE5AD979}"/>
            </a:ext>
          </a:extLst>
        </xdr:cNvPr>
        <xdr:cNvSpPr txBox="1"/>
      </xdr:nvSpPr>
      <xdr:spPr>
        <a:xfrm>
          <a:off x="6939623" y="1866886"/>
          <a:ext cx="2487551" cy="1694725"/>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22225">
                <a:solidFill>
                  <a:schemeClr val="accent2"/>
                </a:solidFill>
                <a:prstDash val="solid"/>
              </a:ln>
              <a:solidFill>
                <a:schemeClr val="accent2">
                  <a:lumMod val="40000"/>
                  <a:lumOff val="60000"/>
                </a:schemeClr>
              </a:solidFill>
              <a:effectLst/>
            </a:rPr>
            <a:t>Total</a:t>
          </a:r>
          <a:r>
            <a:rPr lang="en-IN" sz="2800" b="1" cap="none" spc="0" baseline="0">
              <a:ln w="22225">
                <a:solidFill>
                  <a:schemeClr val="accent2"/>
                </a:solidFill>
                <a:prstDash val="solid"/>
              </a:ln>
              <a:solidFill>
                <a:schemeClr val="accent2">
                  <a:lumMod val="40000"/>
                  <a:lumOff val="60000"/>
                </a:schemeClr>
              </a:solidFill>
              <a:effectLst/>
            </a:rPr>
            <a:t> Discount</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8965.0%</a:t>
          </a:r>
          <a:r>
            <a:rPr lang="en-IN" sz="28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17</xdr:col>
      <xdr:colOff>530009</xdr:colOff>
      <xdr:row>10</xdr:row>
      <xdr:rowOff>58254</xdr:rowOff>
    </xdr:from>
    <xdr:to>
      <xdr:col>21</xdr:col>
      <xdr:colOff>346063</xdr:colOff>
      <xdr:row>19</xdr:row>
      <xdr:rowOff>125396</xdr:rowOff>
    </xdr:to>
    <xdr:sp macro="" textlink="">
      <xdr:nvSpPr>
        <xdr:cNvPr id="6" name="TextBox 5">
          <a:extLst>
            <a:ext uri="{FF2B5EF4-FFF2-40B4-BE49-F238E27FC236}">
              <a16:creationId xmlns:a16="http://schemas.microsoft.com/office/drawing/2014/main" id="{6DEC06C1-58DB-B211-5C9E-67DB6441375D}"/>
            </a:ext>
          </a:extLst>
        </xdr:cNvPr>
        <xdr:cNvSpPr txBox="1"/>
      </xdr:nvSpPr>
      <xdr:spPr>
        <a:xfrm>
          <a:off x="10822916" y="1830347"/>
          <a:ext cx="2237914" cy="1662026"/>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FF0000"/>
            </a:solidFill>
          </a:endParaRPr>
        </a:p>
        <a:p>
          <a:endParaRPr lang="en-IN" sz="1100"/>
        </a:p>
        <a:p>
          <a:pPr algn="ctr"/>
          <a:r>
            <a:rPr lang="en-IN" sz="2800" b="1" cap="none" spc="0">
              <a:ln w="22225">
                <a:solidFill>
                  <a:schemeClr val="accent2"/>
                </a:solidFill>
                <a:prstDash val="solid"/>
              </a:ln>
              <a:solidFill>
                <a:schemeClr val="accent2">
                  <a:lumMod val="40000"/>
                  <a:lumOff val="60000"/>
                </a:schemeClr>
              </a:solidFill>
              <a:effectLst/>
            </a:rPr>
            <a:t>Total</a:t>
          </a:r>
          <a:r>
            <a:rPr lang="en-IN" sz="2800" b="1" cap="none" spc="0" baseline="0">
              <a:ln w="22225">
                <a:solidFill>
                  <a:schemeClr val="accent2"/>
                </a:solidFill>
                <a:prstDash val="solid"/>
              </a:ln>
              <a:solidFill>
                <a:schemeClr val="accent2">
                  <a:lumMod val="40000"/>
                  <a:lumOff val="60000"/>
                </a:schemeClr>
              </a:solidFill>
              <a:effectLst/>
            </a:rPr>
            <a:t> Profit</a:t>
          </a:r>
        </a:p>
        <a:p>
          <a:pPr algn="ctr"/>
          <a:r>
            <a:rPr lang="en-IN" sz="2800" b="1" i="0" u="none" strike="noStrike" cap="none" spc="0">
              <a:ln w="22225">
                <a:solidFill>
                  <a:schemeClr val="accent2"/>
                </a:solidFill>
                <a:prstDash val="solid"/>
              </a:ln>
              <a:solidFill>
                <a:schemeClr val="accent2">
                  <a:lumMod val="40000"/>
                  <a:lumOff val="60000"/>
                </a:schemeClr>
              </a:solidFill>
              <a:effectLst/>
              <a:latin typeface="+mn-lt"/>
              <a:ea typeface="+mn-ea"/>
              <a:cs typeface="+mn-cs"/>
            </a:rPr>
            <a:t>₹1,09,45,667.29</a:t>
          </a:r>
          <a:r>
            <a:rPr lang="en-IN" sz="2800" b="1" cap="none" spc="0">
              <a:ln w="22225">
                <a:solidFill>
                  <a:schemeClr val="accent2"/>
                </a:solidFill>
                <a:prstDash val="solid"/>
              </a:ln>
              <a:solidFill>
                <a:schemeClr val="accent2">
                  <a:lumMod val="40000"/>
                  <a:lumOff val="60000"/>
                </a:schemeClr>
              </a:solidFill>
              <a:effectLst/>
            </a:rPr>
            <a:t> </a:t>
          </a:r>
          <a:endParaRPr lang="en-IN" sz="2800" b="1" cap="none" spc="0" baseline="0">
            <a:ln w="22225">
              <a:solidFill>
                <a:schemeClr val="accent2"/>
              </a:solidFill>
              <a:prstDash val="solid"/>
            </a:ln>
            <a:solidFill>
              <a:schemeClr val="accent2">
                <a:lumMod val="40000"/>
                <a:lumOff val="60000"/>
              </a:schemeClr>
            </a:solidFill>
            <a:effectLst/>
          </a:endParaRPr>
        </a:p>
        <a:p>
          <a:pPr algn="ctr"/>
          <a:endParaRPr lang="en-IN" sz="2000"/>
        </a:p>
      </xdr:txBody>
    </xdr:sp>
    <xdr:clientData/>
  </xdr:twoCellAnchor>
  <xdr:oneCellAnchor>
    <xdr:from>
      <xdr:col>5</xdr:col>
      <xdr:colOff>499534</xdr:colOff>
      <xdr:row>16</xdr:row>
      <xdr:rowOff>169334</xdr:rowOff>
    </xdr:from>
    <xdr:ext cx="795866" cy="762000"/>
    <xdr:sp macro="" textlink="">
      <xdr:nvSpPr>
        <xdr:cNvPr id="12" name="TextBox 11">
          <a:extLst>
            <a:ext uri="{FF2B5EF4-FFF2-40B4-BE49-F238E27FC236}">
              <a16:creationId xmlns:a16="http://schemas.microsoft.com/office/drawing/2014/main" id="{0F9DDD6D-CEA9-40FA-BF76-BC99900E47BE}"/>
            </a:ext>
          </a:extLst>
        </xdr:cNvPr>
        <xdr:cNvSpPr txBox="1"/>
      </xdr:nvSpPr>
      <xdr:spPr>
        <a:xfrm>
          <a:off x="3547534" y="3894667"/>
          <a:ext cx="795866"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oneCellAnchor>
    <xdr:from>
      <xdr:col>5</xdr:col>
      <xdr:colOff>0</xdr:colOff>
      <xdr:row>30</xdr:row>
      <xdr:rowOff>64024</xdr:rowOff>
    </xdr:from>
    <xdr:ext cx="2540579" cy="233205"/>
    <xdr:sp macro="" textlink="">
      <xdr:nvSpPr>
        <xdr:cNvPr id="17" name="TextBox 16">
          <a:extLst>
            <a:ext uri="{FF2B5EF4-FFF2-40B4-BE49-F238E27FC236}">
              <a16:creationId xmlns:a16="http://schemas.microsoft.com/office/drawing/2014/main" id="{0E6A7BE9-D58A-C1BE-0E2C-FC1CDBF5253B}"/>
            </a:ext>
          </a:extLst>
        </xdr:cNvPr>
        <xdr:cNvSpPr txBox="1"/>
      </xdr:nvSpPr>
      <xdr:spPr>
        <a:xfrm>
          <a:off x="3048000" y="6397091"/>
          <a:ext cx="254057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16</xdr:col>
      <xdr:colOff>53018</xdr:colOff>
      <xdr:row>20</xdr:row>
      <xdr:rowOff>105192</xdr:rowOff>
    </xdr:from>
    <xdr:to>
      <xdr:col>23</xdr:col>
      <xdr:colOff>422982</xdr:colOff>
      <xdr:row>35</xdr:row>
      <xdr:rowOff>93396</xdr:rowOff>
    </xdr:to>
    <xdr:graphicFrame macro="">
      <xdr:nvGraphicFramePr>
        <xdr:cNvPr id="2" name="Chart 1">
          <a:extLst>
            <a:ext uri="{FF2B5EF4-FFF2-40B4-BE49-F238E27FC236}">
              <a16:creationId xmlns:a16="http://schemas.microsoft.com/office/drawing/2014/main" id="{D0DCA7C2-356E-4DB4-89D9-B3E609263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160966</xdr:colOff>
      <xdr:row>3</xdr:row>
      <xdr:rowOff>12447</xdr:rowOff>
    </xdr:from>
    <xdr:to>
      <xdr:col>27</xdr:col>
      <xdr:colOff>494341</xdr:colOff>
      <xdr:row>7</xdr:row>
      <xdr:rowOff>53268</xdr:rowOff>
    </xdr:to>
    <xdr:sp macro="" textlink="">
      <xdr:nvSpPr>
        <xdr:cNvPr id="10" name="TextBox 9">
          <a:extLst>
            <a:ext uri="{FF2B5EF4-FFF2-40B4-BE49-F238E27FC236}">
              <a16:creationId xmlns:a16="http://schemas.microsoft.com/office/drawing/2014/main" id="{220ED38F-F583-D93F-C582-117DD14F6EC4}"/>
            </a:ext>
          </a:extLst>
        </xdr:cNvPr>
        <xdr:cNvSpPr txBox="1"/>
      </xdr:nvSpPr>
      <xdr:spPr>
        <a:xfrm>
          <a:off x="1371896" y="544075"/>
          <a:ext cx="15470003" cy="74965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Stop">
            <a:avLst/>
          </a:prstTxWarp>
        </a:bodyPr>
        <a:lstStyle/>
        <a:p>
          <a:pPr algn="ctr"/>
          <a:r>
            <a:rPr lang="en-IN" sz="36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ONEPLUS</a:t>
          </a:r>
          <a:r>
            <a:rPr lang="en-IN" sz="36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SALES ANALYSIS</a:t>
          </a:r>
          <a:endParaRPr lang="en-IN" sz="36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8</xdr:col>
      <xdr:colOff>514027</xdr:colOff>
      <xdr:row>21</xdr:row>
      <xdr:rowOff>88605</xdr:rowOff>
    </xdr:from>
    <xdr:to>
      <xdr:col>15</xdr:col>
      <xdr:colOff>423562</xdr:colOff>
      <xdr:row>35</xdr:row>
      <xdr:rowOff>78787</xdr:rowOff>
    </xdr:to>
    <xdr:graphicFrame macro="">
      <xdr:nvGraphicFramePr>
        <xdr:cNvPr id="7" name="Chart 6">
          <a:extLst>
            <a:ext uri="{FF2B5EF4-FFF2-40B4-BE49-F238E27FC236}">
              <a16:creationId xmlns:a16="http://schemas.microsoft.com/office/drawing/2014/main" id="{0F2EA2C6-059D-41C2-82D0-268363715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319170</xdr:colOff>
      <xdr:row>11</xdr:row>
      <xdr:rowOff>25947</xdr:rowOff>
    </xdr:from>
    <xdr:to>
      <xdr:col>25</xdr:col>
      <xdr:colOff>310626</xdr:colOff>
      <xdr:row>19</xdr:row>
      <xdr:rowOff>14767</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E2D609D-2564-44BB-B835-6C80C5F2AB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890027" y="2021661"/>
              <a:ext cx="1842028" cy="144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552059</xdr:colOff>
      <xdr:row>21</xdr:row>
      <xdr:rowOff>142618</xdr:rowOff>
    </xdr:from>
    <xdr:to>
      <xdr:col>8</xdr:col>
      <xdr:colOff>268218</xdr:colOff>
      <xdr:row>36</xdr:row>
      <xdr:rowOff>2704</xdr:rowOff>
    </xdr:to>
    <xdr:graphicFrame macro="">
      <xdr:nvGraphicFramePr>
        <xdr:cNvPr id="9" name="Chart 8">
          <a:extLst>
            <a:ext uri="{FF2B5EF4-FFF2-40B4-BE49-F238E27FC236}">
              <a16:creationId xmlns:a16="http://schemas.microsoft.com/office/drawing/2014/main" id="{37C37115-C2B3-4464-9C2F-848A3CF6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556712</xdr:colOff>
      <xdr:row>36</xdr:row>
      <xdr:rowOff>167701</xdr:rowOff>
    </xdr:from>
    <xdr:to>
      <xdr:col>11</xdr:col>
      <xdr:colOff>216795</xdr:colOff>
      <xdr:row>51</xdr:row>
      <xdr:rowOff>17182</xdr:rowOff>
    </xdr:to>
    <xdr:graphicFrame macro="">
      <xdr:nvGraphicFramePr>
        <xdr:cNvPr id="11" name="Chart 10">
          <a:extLst>
            <a:ext uri="{FF2B5EF4-FFF2-40B4-BE49-F238E27FC236}">
              <a16:creationId xmlns:a16="http://schemas.microsoft.com/office/drawing/2014/main" id="{E43D4A1A-C5DA-4AE3-B710-9D08398B0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554270</xdr:colOff>
      <xdr:row>26</xdr:row>
      <xdr:rowOff>51194</xdr:rowOff>
    </xdr:from>
    <xdr:to>
      <xdr:col>29</xdr:col>
      <xdr:colOff>218125</xdr:colOff>
      <xdr:row>33</xdr:row>
      <xdr:rowOff>146394</xdr:rowOff>
    </xdr:to>
    <mc:AlternateContent xmlns:mc="http://schemas.openxmlformats.org/markup-compatibility/2006" xmlns:tsle="http://schemas.microsoft.com/office/drawing/2012/timeslicer">
      <mc:Choice Requires="tsle">
        <xdr:graphicFrame macro="">
          <xdr:nvGraphicFramePr>
            <xdr:cNvPr id="13" name="Delivery_Month_Year 1">
              <a:extLst>
                <a:ext uri="{FF2B5EF4-FFF2-40B4-BE49-F238E27FC236}">
                  <a16:creationId xmlns:a16="http://schemas.microsoft.com/office/drawing/2014/main" id="{56B96571-1125-4BF3-ADB2-26C266B05900}"/>
                </a:ext>
              </a:extLst>
            </xdr:cNvPr>
            <xdr:cNvGraphicFramePr/>
          </xdr:nvGraphicFramePr>
          <xdr:xfrm>
            <a:off x="0" y="0"/>
            <a:ext cx="0" cy="0"/>
          </xdr:xfrm>
          <a:graphic>
            <a:graphicData uri="http://schemas.microsoft.com/office/drawing/2012/timeslicer">
              <tsle:timeslicer name="Delivery_Month_Year 1"/>
            </a:graphicData>
          </a:graphic>
        </xdr:graphicFrame>
      </mc:Choice>
      <mc:Fallback xmlns="">
        <xdr:sp macro="" textlink="">
          <xdr:nvSpPr>
            <xdr:cNvPr id="0" name=""/>
            <xdr:cNvSpPr>
              <a:spLocks noTextEdit="1"/>
            </xdr:cNvSpPr>
          </xdr:nvSpPr>
          <xdr:spPr>
            <a:xfrm>
              <a:off x="14741984" y="4768337"/>
              <a:ext cx="3364998" cy="1365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588433</xdr:colOff>
      <xdr:row>37</xdr:row>
      <xdr:rowOff>44795</xdr:rowOff>
    </xdr:from>
    <xdr:to>
      <xdr:col>19</xdr:col>
      <xdr:colOff>249767</xdr:colOff>
      <xdr:row>51</xdr:row>
      <xdr:rowOff>107704</xdr:rowOff>
    </xdr:to>
    <xdr:graphicFrame macro="">
      <xdr:nvGraphicFramePr>
        <xdr:cNvPr id="14" name="Chart 13">
          <a:extLst>
            <a:ext uri="{FF2B5EF4-FFF2-40B4-BE49-F238E27FC236}">
              <a16:creationId xmlns:a16="http://schemas.microsoft.com/office/drawing/2014/main" id="{D69DEA6F-B8EB-44B5-A638-D7F9EDDDF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599067</xdr:colOff>
      <xdr:row>37</xdr:row>
      <xdr:rowOff>86931</xdr:rowOff>
    </xdr:from>
    <xdr:to>
      <xdr:col>27</xdr:col>
      <xdr:colOff>496150</xdr:colOff>
      <xdr:row>51</xdr:row>
      <xdr:rowOff>159624</xdr:rowOff>
    </xdr:to>
    <xdr:graphicFrame macro="">
      <xdr:nvGraphicFramePr>
        <xdr:cNvPr id="15" name="Chart 14">
          <a:extLst>
            <a:ext uri="{FF2B5EF4-FFF2-40B4-BE49-F238E27FC236}">
              <a16:creationId xmlns:a16="http://schemas.microsoft.com/office/drawing/2014/main" id="{F7FEC7AC-A4EA-4948-948F-B257B55FA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154469</xdr:rowOff>
    </xdr:from>
    <xdr:to>
      <xdr:col>2</xdr:col>
      <xdr:colOff>280582</xdr:colOff>
      <xdr:row>9</xdr:row>
      <xdr:rowOff>37806</xdr:rowOff>
    </xdr:to>
    <xdr:pic>
      <xdr:nvPicPr>
        <xdr:cNvPr id="18" name="Picture 17">
          <a:extLst>
            <a:ext uri="{FF2B5EF4-FFF2-40B4-BE49-F238E27FC236}">
              <a16:creationId xmlns:a16="http://schemas.microsoft.com/office/drawing/2014/main" id="{E058E147-AAEE-06B8-79FA-26A63888D7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0" y="154469"/>
          <a:ext cx="1499782" cy="1597837"/>
        </a:xfrm>
        <a:prstGeom prst="rect">
          <a:avLst/>
        </a:prstGeom>
      </xdr:spPr>
    </xdr:pic>
    <xdr:clientData/>
  </xdr:twoCellAnchor>
  <xdr:twoCellAnchor editAs="oneCell">
    <xdr:from>
      <xdr:col>27</xdr:col>
      <xdr:colOff>324884</xdr:colOff>
      <xdr:row>0</xdr:row>
      <xdr:rowOff>162442</xdr:rowOff>
    </xdr:from>
    <xdr:to>
      <xdr:col>30</xdr:col>
      <xdr:colOff>1</xdr:colOff>
      <xdr:row>9</xdr:row>
      <xdr:rowOff>59070</xdr:rowOff>
    </xdr:to>
    <xdr:pic>
      <xdr:nvPicPr>
        <xdr:cNvPr id="19" name="Picture 18">
          <a:extLst>
            <a:ext uri="{FF2B5EF4-FFF2-40B4-BE49-F238E27FC236}">
              <a16:creationId xmlns:a16="http://schemas.microsoft.com/office/drawing/2014/main" id="{9567DC97-4F33-4445-A333-6E4D55CBF67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6672442" y="162442"/>
          <a:ext cx="1491512" cy="1491512"/>
        </a:xfrm>
        <a:prstGeom prst="rect">
          <a:avLst/>
        </a:prstGeom>
      </xdr:spPr>
    </xdr:pic>
    <xdr:clientData/>
  </xdr:twoCellAnchor>
  <xdr:twoCellAnchor editAs="oneCell">
    <xdr:from>
      <xdr:col>26</xdr:col>
      <xdr:colOff>0</xdr:colOff>
      <xdr:row>11</xdr:row>
      <xdr:rowOff>0</xdr:rowOff>
    </xdr:from>
    <xdr:to>
      <xdr:col>29</xdr:col>
      <xdr:colOff>12405</xdr:colOff>
      <xdr:row>20</xdr:row>
      <xdr:rowOff>88605</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C1AC6F73-EA2D-4B91-A58F-2AD08117B0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038286" y="1995714"/>
              <a:ext cx="1862976" cy="1721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364670</xdr:colOff>
      <xdr:row>8</xdr:row>
      <xdr:rowOff>127004</xdr:rowOff>
    </xdr:from>
    <xdr:to>
      <xdr:col>36</xdr:col>
      <xdr:colOff>177800</xdr:colOff>
      <xdr:row>53</xdr:row>
      <xdr:rowOff>6</xdr:rowOff>
    </xdr:to>
    <xdr:pic>
      <xdr:nvPicPr>
        <xdr:cNvPr id="27" name="Picture 26">
          <a:extLst>
            <a:ext uri="{FF2B5EF4-FFF2-40B4-BE49-F238E27FC236}">
              <a16:creationId xmlns:a16="http://schemas.microsoft.com/office/drawing/2014/main" id="{A961AAAF-C175-2A07-08F4-DA013220413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rot="5400000">
          <a:off x="15860484" y="3833590"/>
          <a:ext cx="8445502" cy="408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539750</xdr:colOff>
      <xdr:row>19</xdr:row>
      <xdr:rowOff>38100</xdr:rowOff>
    </xdr:from>
    <xdr:to>
      <xdr:col>2</xdr:col>
      <xdr:colOff>89886</xdr:colOff>
      <xdr:row>32</xdr:row>
      <xdr:rowOff>168275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F86A30-E258-B29D-6D83-AD34046363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9750" y="3536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565150</xdr:colOff>
      <xdr:row>19</xdr:row>
      <xdr:rowOff>6350</xdr:rowOff>
    </xdr:from>
    <xdr:to>
      <xdr:col>4</xdr:col>
      <xdr:colOff>521275</xdr:colOff>
      <xdr:row>32</xdr:row>
      <xdr:rowOff>136525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2C7DF56-DFBE-E4D4-5F4E-29763151F7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95550" y="350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88900</xdr:colOff>
      <xdr:row>19</xdr:row>
      <xdr:rowOff>152400</xdr:rowOff>
    </xdr:from>
    <xdr:to>
      <xdr:col>6</xdr:col>
      <xdr:colOff>893463</xdr:colOff>
      <xdr:row>33</xdr:row>
      <xdr:rowOff>98425</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FE91CBDE-B11A-1317-38FA-03E0D701906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857750" y="365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862167</xdr:colOff>
      <xdr:row>35</xdr:row>
      <xdr:rowOff>19138</xdr:rowOff>
    </xdr:from>
    <xdr:to>
      <xdr:col>9</xdr:col>
      <xdr:colOff>738745</xdr:colOff>
      <xdr:row>49</xdr:row>
      <xdr:rowOff>132902</xdr:rowOff>
    </xdr:to>
    <xdr:graphicFrame macro="">
      <xdr:nvGraphicFramePr>
        <xdr:cNvPr id="2" name="Chart 1">
          <a:extLst>
            <a:ext uri="{FF2B5EF4-FFF2-40B4-BE49-F238E27FC236}">
              <a16:creationId xmlns:a16="http://schemas.microsoft.com/office/drawing/2014/main" id="{66410B47-B0E1-069F-AB13-948A9D3A0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180125</xdr:rowOff>
    </xdr:from>
    <xdr:to>
      <xdr:col>4</xdr:col>
      <xdr:colOff>672563</xdr:colOff>
      <xdr:row>49</xdr:row>
      <xdr:rowOff>106072</xdr:rowOff>
    </xdr:to>
    <xdr:graphicFrame macro="">
      <xdr:nvGraphicFramePr>
        <xdr:cNvPr id="5" name="Chart 4">
          <a:extLst>
            <a:ext uri="{FF2B5EF4-FFF2-40B4-BE49-F238E27FC236}">
              <a16:creationId xmlns:a16="http://schemas.microsoft.com/office/drawing/2014/main" id="{87290584-39C7-1B90-23C9-82ED196F0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395310</xdr:colOff>
      <xdr:row>26</xdr:row>
      <xdr:rowOff>61772</xdr:rowOff>
    </xdr:from>
    <xdr:to>
      <xdr:col>19</xdr:col>
      <xdr:colOff>765577</xdr:colOff>
      <xdr:row>40</xdr:row>
      <xdr:rowOff>178218</xdr:rowOff>
    </xdr:to>
    <xdr:graphicFrame macro="">
      <xdr:nvGraphicFramePr>
        <xdr:cNvPr id="6" name="Chart 5">
          <a:extLst>
            <a:ext uri="{FF2B5EF4-FFF2-40B4-BE49-F238E27FC236}">
              <a16:creationId xmlns:a16="http://schemas.microsoft.com/office/drawing/2014/main" id="{A054B2F3-7537-0E31-AA19-65C3FDA3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500102</xdr:colOff>
      <xdr:row>32</xdr:row>
      <xdr:rowOff>167195</xdr:rowOff>
    </xdr:from>
    <xdr:to>
      <xdr:col>17</xdr:col>
      <xdr:colOff>553807</xdr:colOff>
      <xdr:row>47</xdr:row>
      <xdr:rowOff>114066</xdr:rowOff>
    </xdr:to>
    <xdr:graphicFrame macro="">
      <xdr:nvGraphicFramePr>
        <xdr:cNvPr id="8" name="Chart 7">
          <a:extLst>
            <a:ext uri="{FF2B5EF4-FFF2-40B4-BE49-F238E27FC236}">
              <a16:creationId xmlns:a16="http://schemas.microsoft.com/office/drawing/2014/main" id="{2A6DF42A-72FF-EF8E-099C-C259E722D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210628</xdr:colOff>
      <xdr:row>24</xdr:row>
      <xdr:rowOff>68412</xdr:rowOff>
    </xdr:from>
    <xdr:to>
      <xdr:col>10</xdr:col>
      <xdr:colOff>561076</xdr:colOff>
      <xdr:row>32</xdr:row>
      <xdr:rowOff>2277</xdr:rowOff>
    </xdr:to>
    <mc:AlternateContent xmlns:mc="http://schemas.openxmlformats.org/markup-compatibility/2006" xmlns:tsle="http://schemas.microsoft.com/office/drawing/2012/timeslicer">
      <mc:Choice Requires="tsle">
        <xdr:graphicFrame macro="">
          <xdr:nvGraphicFramePr>
            <xdr:cNvPr id="9" name="Delivery_Month_Year">
              <a:extLst>
                <a:ext uri="{FF2B5EF4-FFF2-40B4-BE49-F238E27FC236}">
                  <a16:creationId xmlns:a16="http://schemas.microsoft.com/office/drawing/2014/main" id="{57C9611B-A2C8-7A2A-1BB1-973FCE2430C6}"/>
                </a:ext>
              </a:extLst>
            </xdr:cNvPr>
            <xdr:cNvGraphicFramePr/>
          </xdr:nvGraphicFramePr>
          <xdr:xfrm>
            <a:off x="0" y="0"/>
            <a:ext cx="0" cy="0"/>
          </xdr:xfrm>
          <a:graphic>
            <a:graphicData uri="http://schemas.microsoft.com/office/drawing/2012/timeslicer">
              <tsle:timeslicer name="Delivery_Month_Year"/>
            </a:graphicData>
          </a:graphic>
        </xdr:graphicFrame>
      </mc:Choice>
      <mc:Fallback xmlns="">
        <xdr:sp macro="" textlink="">
          <xdr:nvSpPr>
            <xdr:cNvPr id="0" name=""/>
            <xdr:cNvSpPr>
              <a:spLocks noTextEdit="1"/>
            </xdr:cNvSpPr>
          </xdr:nvSpPr>
          <xdr:spPr>
            <a:xfrm>
              <a:off x="7215472" y="4592787"/>
              <a:ext cx="3346854" cy="14419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402828</xdr:colOff>
      <xdr:row>7</xdr:row>
      <xdr:rowOff>181173</xdr:rowOff>
    </xdr:from>
    <xdr:to>
      <xdr:col>11</xdr:col>
      <xdr:colOff>668734</xdr:colOff>
      <xdr:row>22</xdr:row>
      <xdr:rowOff>96638</xdr:rowOff>
    </xdr:to>
    <xdr:graphicFrame macro="">
      <xdr:nvGraphicFramePr>
        <xdr:cNvPr id="12" name="Chart 11">
          <a:extLst>
            <a:ext uri="{FF2B5EF4-FFF2-40B4-BE49-F238E27FC236}">
              <a16:creationId xmlns:a16="http://schemas.microsoft.com/office/drawing/2014/main" id="{9E71EFAC-670A-093E-5A5E-0CFCB6656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221059</xdr:colOff>
      <xdr:row>8</xdr:row>
      <xdr:rowOff>168275</xdr:rowOff>
    </xdr:from>
    <xdr:to>
      <xdr:col>14</xdr:col>
      <xdr:colOff>85328</xdr:colOff>
      <xdr:row>22</xdr:row>
      <xdr:rowOff>53181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3071C85-6E61-BADC-683B-4B796DBF33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53950" y="167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277.635773263886" backgroundQuery="1" createdVersion="8" refreshedVersion="8" minRefreshableVersion="3" recordCount="0" supportSubquery="1" supportAdvancedDrill="1" xr:uid="{C66DE0C0-3037-4199-A864-FC73C422B176}">
  <cacheSource type="external" connectionId="1"/>
  <cacheFields count="2">
    <cacheField name="[Measures].[Sum of sales]" caption="Sum of sales" numFmtId="0" hierarchy="19" level="32767"/>
    <cacheField name="[OnePlusSalesData].[category].[category]" caption="category" numFmtId="0" hierarchy="3" level="1">
      <sharedItems count="5">
        <s v="Accessories &amp; Gear"/>
        <s v="Audio &amp; Wearables"/>
        <s v="Flagship Smartphones"/>
        <s v="Mid-Range Smartphones"/>
        <s v="Smart TV &amp; Display"/>
      </sharedItems>
    </cacheField>
  </cacheFields>
  <cacheHierarchies count="20">
    <cacheHierarchy uniqueName="[OnePlusSalesData].[order_id]" caption="order_id" attribute="1" defaultMemberUniqueName="[OnePlusSalesData].[order_id].[All]" allUniqueName="[OnePlusSalesData].[order_id].[All]" dimensionUniqueName="[OnePlusSalesData]" displayFolder="" count="0" memberValueDatatype="130" unbalanced="0"/>
    <cacheHierarchy uniqueName="[OnePlusSalesData].[region]" caption="region" attribute="1" defaultMemberUniqueName="[OnePlusSalesData].[region].[All]" allUniqueName="[OnePlusSalesData].[region].[All]" dimensionUniqueName="[OnePlusSalesData]" displayFolder="" count="2" memberValueDatatype="130" unbalanced="0"/>
    <cacheHierarchy uniqueName="[OnePlusSalesData].[city]" caption="city" attribute="1" defaultMemberUniqueName="[OnePlusSalesData].[city].[All]" allUniqueName="[OnePlusSalesData].[city].[All]" dimensionUniqueName="[OnePlusSalesData]" displayFolder="" count="0" memberValueDatatype="130" unbalanced="0"/>
    <cacheHierarchy uniqueName="[OnePlusSalesData].[category]" caption="category" attribute="1" defaultMemberUniqueName="[OnePlusSalesData].[category].[All]" allUniqueName="[OnePlusSalesData].[category].[All]" dimensionUniqueName="[OnePlusSalesData]" displayFolder="" count="2" memberValueDatatype="130" unbalanced="0">
      <fieldsUsage count="2">
        <fieldUsage x="-1"/>
        <fieldUsage x="1"/>
      </fieldsUsage>
    </cacheHierarchy>
    <cacheHierarchy uniqueName="[OnePlusSalesData].[product_name]" caption="product_name" attribute="1" defaultMemberUniqueName="[OnePlusSalesData].[product_name].[All]" allUniqueName="[OnePlusSalesData].[product_name].[All]" dimensionUniqueName="[OnePlusSalesData]" displayFolder="" count="0" memberValueDatatype="130" unbalanced="0"/>
    <cacheHierarchy uniqueName="[OnePlusSalesData].[unit_price]" caption="unit_price" attribute="1" defaultMemberUniqueName="[OnePlusSalesData].[unit_price].[All]" allUniqueName="[OnePlusSalesData].[unit_price].[All]" dimensionUniqueName="[OnePlusSalesData]" displayFolder="" count="0" memberValueDatatype="20" unbalanced="0"/>
    <cacheHierarchy uniqueName="[OnePlusSalesData].[quantity]" caption="quantity" attribute="1" defaultMemberUniqueName="[OnePlusSalesData].[quantity].[All]" allUniqueName="[OnePlusSalesData].[quantity].[All]" dimensionUniqueName="[OnePlusSalesData]" displayFolder="" count="0" memberValueDatatype="20" unbalanced="0"/>
    <cacheHierarchy uniqueName="[OnePlusSalesData].[discount]" caption="discount" attribute="1" defaultMemberUniqueName="[OnePlusSalesData].[discount].[All]" allUniqueName="[OnePlusSalesData].[discount].[All]" dimensionUniqueName="[OnePlusSalesData]" displayFolder="" count="0" memberValueDatatype="5" unbalanced="0"/>
    <cacheHierarchy uniqueName="[OnePlusSalesData].[discount_value]" caption="discount_value" attribute="1" defaultMemberUniqueName="[OnePlusSalesData].[discount_value].[All]" allUniqueName="[OnePlusSalesData].[discount_value].[All]" dimensionUniqueName="[OnePlusSalesData]" displayFolder="" count="0" memberValueDatatype="5" unbalanced="0"/>
    <cacheHierarchy uniqueName="[OnePlusSalesData].[sales]" caption="sales" attribute="1" defaultMemberUniqueName="[OnePlusSalesData].[sales].[All]" allUniqueName="[OnePlusSalesData].[sales].[All]" dimensionUniqueName="[OnePlusSalesData]" displayFolder="" count="0" memberValueDatatype="5" unbalanced="0"/>
    <cacheHierarchy uniqueName="[OnePlusSalesData].[profit]" caption="profit" attribute="1" defaultMemberUniqueName="[OnePlusSalesData].[profit].[All]" allUniqueName="[OnePlusSalesData].[profit].[All]" dimensionUniqueName="[OnePlusSalesData]" displayFolder="" count="0" memberValueDatatype="5" unbalanced="0"/>
    <cacheHierarchy uniqueName="[OnePlusSalesData].[order_date]" caption="order_date" attribute="1" defaultMemberUniqueName="[OnePlusSalesData].[order_date].[All]" allUniqueName="[OnePlusSalesData].[order_date].[All]" dimensionUniqueName="[OnePlusSalesData]" displayFolder="" count="0" memberValueDatatype="130" unbalanced="0"/>
    <cacheHierarchy uniqueName="[OnePlusSalesData].[delivery_date]" caption="delivery_date" attribute="1" defaultMemberUniqueName="[OnePlusSalesData].[delivery_date].[All]" allUniqueName="[OnePlusSalesData].[delivery_date].[All]" dimensionUniqueName="[OnePlusSalesData]" displayFolder="" count="0" memberValueDatatype="130" unbalanced="0"/>
    <cacheHierarchy uniqueName="[OnePlusSalesData].[customer_type]" caption="customer_type" attribute="1" defaultMemberUniqueName="[OnePlusSalesData].[customer_type].[All]" allUniqueName="[OnePlusSalesData].[customer_type].[All]" dimensionUniqueName="[OnePlusSalesData]" displayFolder="" count="0" memberValueDatatype="130" unbalanced="0"/>
    <cacheHierarchy uniqueName="[OnePlusSalesData].[payment_mode]" caption="payment_mode" attribute="1" defaultMemberUniqueName="[OnePlusSalesData].[payment_mode].[All]" allUniqueName="[OnePlusSalesData].[payment_mode].[All]" dimensionUniqueName="[OnePlusSalesData]" displayFolder="" count="0" memberValueDatatype="130" unbalanced="0"/>
    <cacheHierarchy uniqueName="[OnePlusSalesData].[Order_Month_Year]" caption="Order_Month_Year" attribute="1" defaultMemberUniqueName="[OnePlusSalesData].[Order_Month_Year].[All]" allUniqueName="[OnePlusSalesData].[Order_Month_Year].[All]" dimensionUniqueName="[OnePlusSalesData]" displayFolder="" count="2" memberValueDatatype="130" unbalanced="0"/>
    <cacheHierarchy uniqueName="[OnePlusSalesData].[Delivery_Month_Year]" caption="Delivery_Month_Year" attribute="1" defaultMemberUniqueName="[OnePlusSalesData].[Delivery_Month_Year].[All]" allUniqueName="[OnePlusSalesData].[Delivery_Month_Year].[All]" dimensionUniqueName="[OnePlusSalesData]" displayFolder="" count="0" memberValueDatatype="130" unbalanced="0"/>
    <cacheHierarchy uniqueName="[Measures].[__XL_Count OnePlusSalesData]" caption="__XL_Count OnePlusSalesData" measure="1" displayFolder="" measureGroup="OnePlusSalesData" count="0" hidden="1"/>
    <cacheHierarchy uniqueName="[Measures].[__No measures defined]" caption="__No measures defined" measure="1" displayFolder="" count="0" hidden="1"/>
    <cacheHierarchy uniqueName="[Measures].[Sum of sales]" caption="Sum of sales" measure="1" displayFolder="" measureGroup="OnePlusSales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OnePlusSalesData" uniqueName="[OnePlusSalesData]" caption="OnePlusSalesData"/>
  </dimensions>
  <measureGroups count="1">
    <measureGroup name="OnePlusSalesData" caption="OnePlus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280.925346064818" createdVersion="8" refreshedVersion="8" minRefreshableVersion="3" recordCount="1500" xr:uid="{EF72D077-981C-4F14-9A92-4C554B30199B}">
  <cacheSource type="worksheet">
    <worksheetSource name="OnePlusSalesData"/>
  </cacheSource>
  <cacheFields count="20">
    <cacheField name="order_id" numFmtId="0">
      <sharedItems/>
    </cacheField>
    <cacheField name="region" numFmtId="0">
      <sharedItems count="4">
        <s v="South"/>
        <s v="North"/>
        <s v="West"/>
        <s v="East"/>
      </sharedItems>
    </cacheField>
    <cacheField name="city" numFmtId="0">
      <sharedItems count="20">
        <s v="Coimbatore"/>
        <s v="Lucknow"/>
        <s v="Bengaluru"/>
        <s v="Hyderabad"/>
        <s v="Pune"/>
        <s v="Ranchi"/>
        <s v="Noida"/>
        <s v="Ahmedabad"/>
        <s v="Guwahati"/>
        <s v="Surat"/>
        <s v="Bhubaneswar"/>
        <s v="Chandigarh"/>
        <s v="Delhi"/>
        <s v="Chennai"/>
        <s v="Kochi"/>
        <s v="Jaipur"/>
        <s v="Mumbai"/>
        <s v="Patna"/>
        <s v="Kolkata"/>
        <s v="Nagpur"/>
      </sharedItems>
    </cacheField>
    <cacheField name="category" numFmtId="0">
      <sharedItems count="5">
        <s v="Accessories &amp; Gear"/>
        <s v="Smart TV &amp; Display"/>
        <s v="Mid-Range Smartphones"/>
        <s v="Flagship Smartphones"/>
        <s v="Audio &amp; Wearables"/>
      </sharedItems>
    </cacheField>
    <cacheField name="product_name" numFmtId="0">
      <sharedItems/>
    </cacheField>
    <cacheField name="unit_price" numFmtId="164">
      <sharedItems containsSemiMixedTypes="0" containsString="0" containsNumber="1" containsInteger="1" minValue="1290" maxValue="69900"/>
    </cacheField>
    <cacheField name="quantity" numFmtId="3">
      <sharedItems containsSemiMixedTypes="0" containsString="0" containsNumber="1" containsInteger="1" minValue="1" maxValue="5"/>
    </cacheField>
    <cacheField name="discount" numFmtId="165">
      <sharedItems containsSemiMixedTypes="0" containsString="0" containsNumber="1" minValue="0" maxValue="0.15"/>
    </cacheField>
    <cacheField name="discount_value" numFmtId="166">
      <sharedItems containsSemiMixedTypes="0" containsString="0" containsNumber="1" minValue="0" maxValue="28499.25"/>
    </cacheField>
    <cacheField name="sales" numFmtId="166">
      <sharedItems containsSemiMixedTypes="0" containsString="0" containsNumber="1" minValue="1096.5" maxValue="248395.4"/>
    </cacheField>
    <cacheField name="profit" numFmtId="166">
      <sharedItems containsSemiMixedTypes="0" containsString="0" containsNumber="1" minValue="166.22" maxValue="57161.26"/>
    </cacheField>
    <cacheField name="order_date" numFmtId="0">
      <sharedItems/>
    </cacheField>
    <cacheField name="delivery_date" numFmtId="167">
      <sharedItems/>
    </cacheField>
    <cacheField name="customer_type" numFmtId="0">
      <sharedItems/>
    </cacheField>
    <cacheField name="payment_mode" numFmtId="0">
      <sharedItems count="6">
        <s v="Credit Card"/>
        <s v="Debit Card"/>
        <s v="Net Banking"/>
        <s v="UPI"/>
        <s v="EMI / Bajaj Finserv"/>
        <s v="Cash on Delivery"/>
      </sharedItems>
    </cacheField>
    <cacheField name="Order_Month_Date" numFmtId="0">
      <sharedItems containsSemiMixedTypes="0" containsDate="1" containsString="0" containsMixedTypes="1" minDate="1899-12-31T14:50:04" maxDate="2020-12-25T00:00:00" count="834">
        <n v="43567"/>
        <n v="43377"/>
        <n v="44058"/>
        <n v="43488"/>
        <n v="43609"/>
        <n v="43502"/>
        <n v="43892"/>
        <n v="43748"/>
        <n v="43301"/>
        <n v="43713"/>
        <n v="43964"/>
        <n v="43678"/>
        <n v="43290"/>
        <n v="43418"/>
        <n v="44052"/>
        <n v="43830"/>
        <n v="43298"/>
        <n v="43503"/>
        <n v="43741"/>
        <n v="43981"/>
        <n v="43504"/>
        <n v="43199"/>
        <n v="43498"/>
        <n v="43570"/>
        <n v="43553"/>
        <n v="43618"/>
        <n v="44028"/>
        <n v="43954"/>
        <n v="43859"/>
        <n v="43612"/>
        <n v="43675"/>
        <n v="44093"/>
        <n v="43756"/>
        <n v="44113"/>
        <n v="43804"/>
        <n v="44171"/>
        <n v="43457"/>
        <n v="43616"/>
        <n v="44167"/>
        <n v="43705"/>
        <n v="43829"/>
        <n v="43196"/>
        <n v="43835"/>
        <n v="43669"/>
        <n v="43851"/>
        <n v="43129"/>
        <n v="44194"/>
        <n v="43753"/>
        <n v="43605"/>
        <n v="43180"/>
        <n v="43798"/>
        <n v="43852"/>
        <n v="43977"/>
        <n v="43895"/>
        <n v="43871"/>
        <n v="43785"/>
        <n v="43953"/>
        <n v="43959"/>
        <n v="43284"/>
        <n v="43211"/>
        <n v="43767"/>
        <n v="43938"/>
        <n v="43147"/>
        <n v="43819"/>
        <n v="44127"/>
        <n v="43814"/>
        <n v="43333"/>
        <n v="43415"/>
        <n v="43450"/>
        <n v="43746"/>
        <n v="43426"/>
        <n v="43239"/>
        <n v="43421"/>
        <n v="43476"/>
        <n v="43825"/>
        <n v="43716"/>
        <n v="43204"/>
        <n v="43578"/>
        <n v="43965"/>
        <n v="43944"/>
        <n v="43972"/>
        <n v="44114"/>
        <n v="44083"/>
        <n v="43217"/>
        <n v="43740"/>
        <n v="43385"/>
        <n v="44187"/>
        <n v="43386"/>
        <n v="44025"/>
        <n v="44132"/>
        <n v="44107"/>
        <n v="43614"/>
        <n v="44034"/>
        <n v="43228"/>
        <n v="43594"/>
        <n v="43141"/>
        <n v="43230"/>
        <n v="43844"/>
        <n v="44039"/>
        <n v="44168"/>
        <n v="43761"/>
        <n v="43788"/>
        <n v="44095"/>
        <n v="44082"/>
        <n v="43477"/>
        <n v="43424"/>
        <n v="43161"/>
        <n v="43985"/>
        <n v="43154"/>
        <n v="43103"/>
        <n v="43735"/>
        <n v="44084"/>
        <n v="44073"/>
        <n v="43316"/>
        <n v="43291"/>
        <n v="43182"/>
        <n v="43966"/>
        <n v="43672"/>
        <n v="43501"/>
        <n v="43863"/>
        <n v="43838"/>
        <n v="44146"/>
        <n v="43670"/>
        <n v="44184"/>
        <n v="43793"/>
        <n v="44056"/>
        <n v="43438"/>
        <n v="43102"/>
        <n v="43243"/>
        <n v="43323"/>
        <n v="44000"/>
        <n v="44009"/>
        <n v="43407"/>
        <n v="43453"/>
        <n v="43252"/>
        <n v="43395"/>
        <n v="43894"/>
        <n v="43481"/>
        <n v="43560"/>
        <n v="43233"/>
        <n v="43256"/>
        <n v="43219"/>
        <n v="43226"/>
        <n v="43408"/>
        <n v="43411"/>
        <n v="43445"/>
        <n v="44110"/>
        <n v="43967"/>
        <n v="43765"/>
        <n v="43464"/>
        <n v="43889"/>
        <n v="43206"/>
        <n v="43259"/>
        <n v="43659"/>
        <n v="43782"/>
        <n v="44088"/>
        <n v="43737"/>
        <n v="44106"/>
        <n v="43827"/>
        <n v="43387"/>
        <n v="43337"/>
        <n v="44078"/>
        <n v="43461"/>
        <n v="43362"/>
        <n v="43234"/>
        <n v="43366"/>
        <n v="43583"/>
        <n v="44136"/>
        <n v="43763"/>
        <n v="43557"/>
        <n v="43885"/>
        <n v="43868"/>
        <n v="43346"/>
        <n v="43610"/>
        <n v="43654"/>
        <n v="43342"/>
        <n v="43508"/>
        <n v="43599"/>
        <n v="43460"/>
        <n v="43992"/>
        <n v="43890"/>
        <n v="43597"/>
        <n v="43303"/>
        <n v="43188"/>
        <n v="43236"/>
        <n v="43573"/>
        <n v="43334"/>
        <n v="44115"/>
        <n v="43922"/>
        <n v="43436"/>
        <n v="43311"/>
        <n v="43283"/>
        <n v="43600"/>
        <n v="43647"/>
        <n v="43738"/>
        <n v="44085"/>
        <n v="43305"/>
        <n v="43265"/>
        <n v="43545"/>
        <n v="43673"/>
        <n v="43942"/>
        <n v="43688"/>
        <n v="43984"/>
        <n v="44150"/>
        <n v="43701"/>
        <n v="43585"/>
        <n v="43948"/>
        <n v="43231"/>
        <n v="44043"/>
        <n v="43389"/>
        <n v="44068"/>
        <n v="43988"/>
        <n v="43956"/>
        <n v="44080"/>
        <n v="44036"/>
        <n v="43322"/>
        <n v="44140"/>
        <n v="43538"/>
        <n v="43279"/>
        <n v="43447"/>
        <n v="43462"/>
        <n v="44098"/>
        <n v="43119"/>
        <n v="43620"/>
        <n v="43739"/>
        <n v="44059"/>
        <n v="43368"/>
        <n v="43295"/>
        <n v="43779"/>
        <n v="44014"/>
        <n v="43933"/>
        <n v="43463"/>
        <n v="44159"/>
        <n v="43168"/>
        <n v="43862"/>
        <n v="43367"/>
        <n v="43658"/>
        <n v="43507"/>
        <n v="43872"/>
        <n v="43543"/>
        <n v="43642"/>
        <n v="43357"/>
        <n v="44010"/>
        <n v="43422"/>
        <n v="44151"/>
        <n v="43826"/>
        <n v="43512"/>
        <n v="43950"/>
        <n v="43394"/>
        <n v="43677"/>
        <n v="43724"/>
        <n v="43275"/>
        <n v="43633"/>
        <n v="43327"/>
        <n v="44152"/>
        <n v="43149"/>
        <n v="43968"/>
        <n v="43840"/>
        <n v="43112"/>
        <n v="44169"/>
        <n v="43591"/>
        <n v="43105"/>
        <n v="44090"/>
        <n v="43372"/>
        <n v="44030"/>
        <n v="43193"/>
        <n v="43818"/>
        <n v="43924"/>
        <n v="43505"/>
        <n v="43715"/>
        <n v="43289"/>
        <n v="43379"/>
        <n v="43312"/>
        <n v="43406"/>
        <n v="43604"/>
        <n v="43621"/>
        <n v="43853"/>
        <n v="43345"/>
        <n v="43759"/>
        <n v="43940"/>
        <n v="43213"/>
        <n v="43218"/>
        <n v="43491"/>
        <n v="43302"/>
        <n v="44119"/>
        <n v="43319"/>
        <n v="43902"/>
        <n v="43358"/>
        <n v="43146"/>
        <n v="43467"/>
        <n v="43139"/>
        <n v="43419"/>
        <n v="43163"/>
        <n v="43923"/>
        <n v="43187"/>
        <n v="43595"/>
        <n v="43306"/>
        <n v="43430"/>
        <n v="43921"/>
        <n v="43125"/>
        <n v="43535"/>
        <n v="43140"/>
        <n v="43661"/>
        <n v="43907"/>
        <n v="43628"/>
        <n v="43899"/>
        <n v="43559"/>
        <n v="44020"/>
        <n v="43439"/>
        <n v="43955"/>
        <n v="43270"/>
        <n v="43293"/>
        <n v="43307"/>
        <n v="43976"/>
        <n v="43731"/>
        <n v="43910"/>
        <n v="43210"/>
        <n v="43266"/>
        <n v="44189"/>
        <n v="44162"/>
        <n v="44079"/>
        <n v="43220"/>
        <n v="43172"/>
        <n v="44038"/>
        <n v="43209"/>
        <n v="43987"/>
        <n v="43706"/>
        <n v="44026"/>
        <n v="43240"/>
        <n v="43593"/>
        <n v="43971"/>
        <n v="43277"/>
        <n v="43352"/>
        <n v="43572"/>
        <n v="43371"/>
        <n v="43975"/>
        <n v="43238"/>
        <n v="43970"/>
        <n v="43817"/>
        <n v="43774"/>
        <n v="43596"/>
        <n v="44116"/>
        <n v="43810"/>
        <n v="43908"/>
        <n v="43271"/>
        <n v="43898"/>
        <n v="44130"/>
        <n v="43554"/>
        <n v="43699"/>
        <n v="43381"/>
        <n v="44003"/>
        <n v="44099"/>
        <n v="43565"/>
        <n v="44070"/>
        <n v="43164"/>
        <n v="44154"/>
        <n v="44111"/>
        <n v="43590"/>
        <n v="43294"/>
        <n v="43631"/>
        <n v="44023"/>
        <n v="43722"/>
        <n v="43580"/>
        <n v="44105"/>
        <n v="43472"/>
        <n v="43900"/>
        <n v="43158"/>
        <n v="43152"/>
        <n v="43237"/>
        <n v="44002"/>
        <n v="43363"/>
        <n v="43820"/>
        <n v="43623"/>
        <n v="44109"/>
        <n v="44155"/>
        <n v="43490"/>
        <n v="43962"/>
        <n v="43272"/>
        <n v="43991"/>
        <n v="43244"/>
        <n v="43297"/>
        <n v="43878"/>
        <n v="43697"/>
        <n v="43326"/>
        <n v="44149"/>
        <n v="44092"/>
        <n v="43529"/>
        <n v="44015"/>
        <n v="44120"/>
        <n v="43413"/>
        <n v="43749"/>
        <n v="43128"/>
        <n v="43253"/>
        <n v="43941"/>
        <n v="43579"/>
        <n v="43347"/>
        <n v="43832"/>
        <n v="43994"/>
        <n v="43273"/>
        <n v="43431"/>
        <n v="43666"/>
        <n v="43808"/>
        <n v="43943"/>
        <n v="43602"/>
        <n v="43440"/>
        <n v="43809"/>
        <n v="43995"/>
        <n v="43328"/>
        <n v="43329"/>
        <n v="43682"/>
        <n v="43791"/>
        <n v="43212"/>
        <n v="43592"/>
        <n v="43635"/>
        <n v="43648"/>
        <n v="43179"/>
        <n v="43156"/>
        <n v="43113"/>
        <n v="43936"/>
        <n v="43686"/>
        <n v="43232"/>
        <n v="43542"/>
        <n v="43638"/>
        <n v="43178"/>
        <n v="44175"/>
        <n v="43734"/>
        <n v="43314"/>
        <n v="43577"/>
        <n v="44142"/>
        <n v="44029"/>
        <n v="43409"/>
        <n v="44166"/>
        <n v="43157"/>
        <n v="44071"/>
        <n v="43755"/>
        <n v="43111"/>
        <n v="44108"/>
        <n v="43718"/>
        <n v="43963"/>
        <n v="43797"/>
        <n v="43854"/>
        <n v="44017"/>
        <n v="43465"/>
        <n v="43331"/>
        <n v="43185"/>
        <n v="44181"/>
        <n v="43473"/>
        <n v="43296"/>
        <n v="43309"/>
        <n v="43493"/>
        <n v="44060"/>
        <n v="43222"/>
        <n v="43414"/>
        <n v="43174"/>
        <n v="43425"/>
        <n v="43410"/>
        <n v="43455"/>
        <n v="43935"/>
        <n v="43516"/>
        <n v="43325"/>
        <n v="43843"/>
        <n v="43571"/>
        <n v="44163"/>
        <n v="43997"/>
        <n v="43877"/>
        <n v="43458"/>
        <n v="43888"/>
        <n v="43986"/>
        <n v="43611"/>
        <n v="43776"/>
        <n v="43167"/>
        <n v="43636"/>
        <n v="43343"/>
        <n v="43497"/>
        <n v="43261"/>
        <n v="44125"/>
        <n v="43719"/>
        <n v="44145"/>
        <n v="43855"/>
        <n v="43606"/>
        <n v="44027"/>
        <n v="44005"/>
        <n v="43909"/>
        <n v="43911"/>
        <n v="43925"/>
        <n v="43126"/>
        <n v="43773"/>
        <n v="43546"/>
        <n v="44044"/>
        <n v="43433"/>
        <n v="43934"/>
        <n v="43958"/>
        <n v="44141"/>
        <n v="43131"/>
        <n v="44041"/>
        <n v="43837"/>
        <n v="43800"/>
        <n v="43901"/>
        <n v="43624"/>
        <n v="43537"/>
        <n v="43184"/>
        <n v="43539"/>
        <n v="43918"/>
        <n v="44100"/>
        <n v="43566"/>
        <n v="43480"/>
        <n v="44165"/>
        <n v="43205"/>
        <n v="43255"/>
        <n v="43215"/>
        <n v="44021"/>
        <n v="43292"/>
        <n v="43563"/>
        <n v="43603"/>
        <n v="43216"/>
        <n v="43856"/>
        <n v="43321"/>
        <n v="44096"/>
        <n v="44089"/>
        <n v="43116"/>
        <n v="43549"/>
        <n v="44032"/>
        <n v="43513"/>
        <n v="43905"/>
        <n v="43353"/>
        <n v="44180"/>
        <n v="43700"/>
        <n v="43124"/>
        <n v="44047"/>
        <n v="43816"/>
        <n v="43770"/>
        <n v="43657"/>
        <n v="43339"/>
        <n v="43865"/>
        <n v="44087"/>
        <n v="44094"/>
        <n v="43417"/>
        <n v="43365"/>
        <n v="43101"/>
        <n v="43729"/>
        <n v="43766"/>
        <n v="43768"/>
        <n v="44050"/>
        <n v="43496"/>
        <n v="43815"/>
        <n v="43926"/>
        <n v="43242"/>
        <n v="43364"/>
        <n v="44055"/>
        <n v="44144"/>
        <n v="43805"/>
        <n v="43831"/>
        <n v="43429"/>
        <n v="44176"/>
        <n v="43728"/>
        <n v="43534"/>
        <n v="43723"/>
        <n v="43881"/>
        <n v="43304"/>
        <n v="43649"/>
        <n v="43547"/>
        <n v="44081"/>
        <n v="43883"/>
        <n v="43960"/>
        <n v="44091"/>
        <n v="43396"/>
        <n v="44137"/>
        <n v="43308"/>
        <n v="44126"/>
        <n v="43533"/>
        <n v="43416"/>
        <n v="44016"/>
        <n v="43483"/>
        <n v="43744"/>
        <n v="43780"/>
        <n v="43437"/>
        <n v="43870"/>
        <n v="43949"/>
        <n v="44035"/>
        <n v="43400"/>
        <n v="43720"/>
        <n v="43613"/>
        <n v="43276"/>
        <n v="43434"/>
        <n v="43897"/>
        <n v="43689"/>
        <n v="43556"/>
        <n v="43998"/>
        <n v="43487"/>
        <n v="43650"/>
        <n v="43653"/>
        <n v="43857"/>
        <n v="43354"/>
        <n v="43869"/>
        <n v="43581"/>
        <n v="43707"/>
        <n v="43576"/>
        <n v="43403"/>
        <n v="43775"/>
        <n v="43402"/>
        <n v="43839"/>
        <n v="43692"/>
        <n v="43726"/>
        <n v="43979"/>
        <n v="43747"/>
        <n v="43456"/>
        <n v="43564"/>
        <n v="43369"/>
        <n v="43582"/>
        <n v="43248"/>
        <n v="43861"/>
        <n v="43186"/>
        <n v="43245"/>
        <n v="43947"/>
        <n v="43197"/>
        <n v="43555"/>
        <n v="43281"/>
        <n v="43382"/>
        <n v="43349"/>
        <n v="43118"/>
        <n v="43646"/>
        <n v="43249"/>
        <n v="43990"/>
        <n v="44153"/>
        <n v="44143"/>
        <n v="43443"/>
        <n v="43674"/>
        <n v="43518"/>
        <n v="43471"/>
        <n v="43708"/>
        <n v="43663"/>
        <n v="43696"/>
        <n v="44042"/>
        <n v="43913"/>
        <n v="43320"/>
        <n v="43517"/>
        <n v="43350"/>
        <n v="43574"/>
        <n v="43208"/>
        <n v="43660"/>
        <n v="43732"/>
        <n v="43685"/>
        <n v="43891"/>
        <n v="43280"/>
        <n v="43474"/>
        <n v="43683"/>
        <n v="43996"/>
        <n v="43886"/>
        <n v="44033"/>
        <n v="43671"/>
        <n v="43846"/>
        <n v="43393"/>
        <n v="43961"/>
        <n v="44031"/>
        <n v="43799"/>
        <n v="43849"/>
        <n v="43764"/>
        <n v="43260"/>
        <n v="43530"/>
        <n v="43317"/>
        <n v="43479"/>
        <n v="44011"/>
        <n v="43584"/>
        <n v="43693"/>
        <n v="43712"/>
        <n v="43864"/>
        <n v="44086"/>
        <n v="43489"/>
        <n v="43916"/>
        <n v="43598"/>
        <n v="43978"/>
        <n v="43510"/>
        <n v="43246"/>
        <n v="43127"/>
        <n v="44185"/>
        <n v="43896"/>
        <n v="43625"/>
        <n v="44075"/>
        <n v="43380"/>
        <n v="43144"/>
        <n v="43495"/>
        <n v="43874"/>
        <n v="43558"/>
        <n v="43427"/>
        <n v="43448"/>
        <n v="43822"/>
        <n v="43449"/>
        <n v="43444"/>
        <n v="43177"/>
        <n v="43930"/>
        <n v="43115"/>
        <n v="43340"/>
        <n v="43794"/>
        <n v="43824"/>
        <n v="44190"/>
        <n v="43486"/>
        <n v="43428"/>
        <n v="43786"/>
        <n v="43568"/>
        <n v="43509"/>
        <n v="43589"/>
        <n v="43790"/>
        <n v="43528"/>
        <n v="43665"/>
        <n v="43540"/>
        <n v="43459"/>
        <n v="43951"/>
        <n v="43932"/>
        <n v="43608"/>
        <n v="43588"/>
        <n v="43106"/>
        <n v="43269"/>
        <n v="43721"/>
        <n v="43541"/>
        <n v="43914"/>
        <n v="43937"/>
        <n v="43442"/>
        <n v="43330"/>
        <n v="43957"/>
        <n v="43412"/>
        <n v="43313"/>
        <n v="43526"/>
        <n v="43159"/>
        <n v="43622"/>
        <n v="43619"/>
        <n v="43630"/>
        <n v="44122"/>
        <n v="43251"/>
        <n v="44160"/>
        <n v="44063"/>
        <n v="43668"/>
        <n v="43110"/>
        <n v="43993"/>
        <n v="43150"/>
        <n v="43691"/>
        <n v="43662"/>
        <n v="43866"/>
        <n v="43469"/>
        <n v="43130"/>
        <n v="43698"/>
        <n v="43523"/>
        <n v="43750"/>
        <n v="43262"/>
        <n v="43858"/>
        <n v="43420"/>
        <n v="43915"/>
        <n v="43939"/>
        <n v="43710"/>
        <n v="43499"/>
        <n v="44069"/>
        <n v="44104"/>
        <n v="44048"/>
        <n v="43727"/>
        <n v="43145"/>
        <n v="43717"/>
        <n v="43643"/>
        <n v="43821"/>
        <n v="43946"/>
        <n v="44129"/>
        <n v="44004"/>
        <n v="43845"/>
        <n v="43802"/>
        <n v="43120"/>
        <n v="43195"/>
        <n v="43634"/>
        <n v="43527"/>
        <n v="43945"/>
        <n v="44124"/>
        <n v="43867"/>
        <n v="43928"/>
        <n v="43121"/>
        <n v="44193"/>
        <n v="43725"/>
        <n v="44102"/>
        <n v="43676"/>
        <n v="43627"/>
        <n v="44067"/>
        <n v="43224"/>
        <n v="43122"/>
        <n v="44173"/>
        <n v="43629"/>
        <n v="43173"/>
        <n v="43550"/>
        <n v="43702"/>
        <n v="44001"/>
        <n v="43848"/>
        <n v="43114"/>
        <n v="43667"/>
        <n v="44157"/>
        <n v="43392"/>
        <n v="43338"/>
        <n v="43207"/>
        <n v="43348"/>
        <n v="43138"/>
        <n v="44006"/>
        <n v="43752"/>
        <n v="44138"/>
        <n v="44117"/>
        <n v="43390"/>
        <n v="43132"/>
        <n v="43524"/>
        <n v="43360"/>
        <n v="43198"/>
        <n v="44097"/>
        <n v="43781"/>
        <d v="2020-12-04T00:00:00"/>
        <d v="2018-05-03T00:00:00"/>
        <d v="2020-02-10T00:00:00"/>
        <d v="2019-10-31T00:00:00"/>
        <d v="2019-04-17T00:00:00"/>
        <d v="2018-10-06T00:00:00"/>
        <d v="2020-07-10T00:00:00"/>
        <d v="2020-05-07T00:00:00"/>
        <d v="2018-09-26T00:00:00"/>
        <d v="2018-08-26T00:00:00"/>
        <d v="2019-12-10T00:00:00"/>
        <d v="2018-09-29T00:00:00"/>
        <d v="2020-05-08T00:00:00"/>
        <d v="2020-08-31T00:00:00"/>
        <d v="2018-02-16T00:00:00"/>
        <d v="2019-03-04T00:00:00"/>
        <d v="2018-07-07T00:00:00"/>
        <d v="2019-06-02T00:00:00"/>
        <d v="2020-12-24T00:00:00"/>
        <d v="2019-02-12T00:00:00"/>
        <d v="2018-08-11T00:00:00"/>
        <d v="2019-03-26T00:00:00"/>
        <d v="2019-04-01T00:00:00"/>
        <d v="2019-02-18T00:00:00"/>
        <d v="2019-12-28T00:00:00"/>
        <d v="2018-03-20T00:00:00"/>
        <d v="2020-04-18T00:00:00"/>
        <d v="2020-04-09T00:00:00"/>
        <d v="2019-12-18T00:00:00"/>
      </sharedItems>
    </cacheField>
    <cacheField name="Delivery_Month_Year" numFmtId="167">
      <sharedItems containsSemiMixedTypes="0" containsNonDate="0" containsDate="1" containsString="0" minDate="2018-01-04T00:00:00" maxDate="2021-01-06T00:00:00" count="801">
        <d v="2019-04-16T00:00:00"/>
        <d v="2018-10-06T00:00:00"/>
        <d v="2020-08-22T00:00:00"/>
        <d v="2019-01-25T00:00:00"/>
        <d v="2019-05-28T00:00:00"/>
        <d v="2019-02-09T00:00:00"/>
        <d v="2020-03-05T00:00:00"/>
        <d v="2019-10-14T00:00:00"/>
        <d v="2018-07-25T00:00:00"/>
        <d v="2019-09-12T00:00:00"/>
        <d v="2020-05-15T00:00:00"/>
        <d v="2019-08-04T00:00:00"/>
        <d v="2018-07-11T00:00:00"/>
        <d v="2018-11-20T00:00:00"/>
        <d v="2020-08-11T00:00:00"/>
        <d v="2020-01-07T00:00:00"/>
        <d v="2018-07-24T00:00:00"/>
        <d v="2019-02-10T00:00:00"/>
        <d v="2019-10-07T00:00:00"/>
        <d v="2020-06-02T00:00:00"/>
        <d v="2019-02-15T00:00:00"/>
        <d v="2018-04-11T00:00:00"/>
        <d v="2019-02-08T00:00:00"/>
        <d v="2019-04-22T00:00:00"/>
        <d v="2019-04-03T00:00:00"/>
        <d v="2019-06-06T00:00:00"/>
        <d v="2020-07-18T00:00:00"/>
        <d v="2020-05-06T00:00:00"/>
        <d v="2020-02-01T00:00:00"/>
        <d v="2019-06-03T00:00:00"/>
        <d v="2019-08-05T00:00:00"/>
        <d v="2020-09-25T00:00:00"/>
        <d v="2019-10-24T00:00:00"/>
        <d v="2020-10-11T00:00:00"/>
        <d v="2019-12-11T00:00:00"/>
        <d v="2020-12-08T00:00:00"/>
        <d v="2018-12-26T00:00:00"/>
        <d v="2020-12-07T00:00:00"/>
        <d v="2019-08-31T00:00:00"/>
        <d v="2020-01-05T00:00:00"/>
        <d v="2018-04-13T00:00:00"/>
        <d v="2020-01-06T00:00:00"/>
        <d v="2020-01-10T00:00:00"/>
        <d v="2019-07-29T00:00:00"/>
        <d v="2020-01-26T00:00:00"/>
        <d v="2018-02-04T00:00:00"/>
        <d v="2021-01-03T00:00:00"/>
        <d v="2019-10-18T00:00:00"/>
        <d v="2019-05-25T00:00:00"/>
        <d v="2018-03-28T00:00:00"/>
        <d v="2019-10-20T00:00:00"/>
        <d v="2019-12-04T00:00:00"/>
        <d v="2020-01-28T00:00:00"/>
        <d v="2020-06-01T00:00:00"/>
        <d v="2020-03-07T00:00:00"/>
        <d v="2020-02-16T00:00:00"/>
        <d v="2019-11-22T00:00:00"/>
        <d v="2020-02-14T00:00:00"/>
        <d v="2020-05-09T00:00:00"/>
        <d v="2020-05-12T00:00:00"/>
        <d v="2018-07-05T00:00:00"/>
        <d v="2018-04-23T00:00:00"/>
        <d v="2019-11-04T00:00:00"/>
        <d v="2020-04-19T00:00:00"/>
        <d v="2018-02-18T00:00:00"/>
        <d v="2019-12-27T00:00:00"/>
        <d v="2020-10-30T00:00:00"/>
        <d v="2019-12-17T00:00:00"/>
        <d v="2018-08-27T00:00:00"/>
        <d v="2018-11-17T00:00:00"/>
        <d v="2018-12-18T00:00:00"/>
        <d v="2019-10-15T00:00:00"/>
        <d v="2018-11-25T00:00:00"/>
        <d v="2018-05-24T00:00:00"/>
        <d v="2018-11-23T00:00:00"/>
        <d v="2019-01-15T00:00:00"/>
        <d v="2020-01-01T00:00:00"/>
        <d v="2019-09-15T00:00:00"/>
        <d v="2018-04-18T00:00:00"/>
        <d v="2019-04-27T00:00:00"/>
        <d v="2020-05-21T00:00:00"/>
        <d v="2020-04-29T00:00:00"/>
        <d v="2020-05-28T00:00:00"/>
        <d v="2020-09-24T00:00:00"/>
        <d v="2020-10-14T00:00:00"/>
        <d v="2020-09-11T00:00:00"/>
        <d v="2018-04-30T00:00:00"/>
        <d v="2019-10-06T00:00:00"/>
        <d v="2018-10-16T00:00:00"/>
        <d v="2020-12-28T00:00:00"/>
        <d v="2018-10-17T00:00:00"/>
        <d v="2020-07-17T00:00:00"/>
        <d v="2020-10-06T00:00:00"/>
        <d v="2020-01-08T00:00:00"/>
        <d v="2019-05-31T00:00:00"/>
        <d v="2020-07-29T00:00:00"/>
        <d v="2018-05-10T00:00:00"/>
        <d v="2019-05-14T00:00:00"/>
        <d v="2018-02-17T00:00:00"/>
        <d v="2019-10-12T00:00:00"/>
        <d v="2018-05-15T00:00:00"/>
        <d v="2020-01-18T00:00:00"/>
        <d v="2020-08-19T00:00:00"/>
        <d v="2020-07-30T00:00:00"/>
        <d v="2019-10-25T00:00:00"/>
        <d v="2018-02-19T00:00:00"/>
        <d v="2020-09-26T00:00:00"/>
        <d v="2020-09-10T00:00:00"/>
        <d v="2020-02-04T00:00:00"/>
        <d v="2018-03-08T00:00:00"/>
        <d v="2020-06-07T00:00:00"/>
        <d v="2018-02-25T00:00:00"/>
        <d v="2018-01-07T00:00:00"/>
        <d v="2019-10-02T00:00:00"/>
        <d v="2020-09-15T00:00:00"/>
        <d v="2020-09-01T00:00:00"/>
        <d v="2018-08-08T00:00:00"/>
        <d v="2018-07-14T00:00:00"/>
        <d v="2020-05-20T00:00:00"/>
        <d v="2019-08-02T00:00:00"/>
        <d v="2020-02-06T00:00:00"/>
        <d v="2020-01-14T00:00:00"/>
        <d v="2020-11-15T00:00:00"/>
        <d v="2020-12-26T00:00:00"/>
        <d v="2019-11-29T00:00:00"/>
        <d v="2020-08-20T00:00:00"/>
        <d v="2018-12-11T00:00:00"/>
        <d v="2018-01-04T00:00:00"/>
        <d v="2018-05-26T00:00:00"/>
        <d v="2018-08-13T00:00:00"/>
        <d v="2020-06-25T00:00:00"/>
        <d v="2020-06-29T00:00:00"/>
        <d v="2018-11-08T00:00:00"/>
        <d v="2018-12-24T00:00:00"/>
        <d v="2018-06-04T00:00:00"/>
        <d v="2018-10-25T00:00:00"/>
        <d v="2020-03-09T00:00:00"/>
        <d v="2019-01-23T00:00:00"/>
        <d v="2019-04-10T00:00:00"/>
        <d v="2018-05-18T00:00:00"/>
        <d v="2018-06-12T00:00:00"/>
        <d v="2018-05-03T00:00:00"/>
        <d v="2018-05-09T00:00:00"/>
        <d v="2018-11-07T00:00:00"/>
        <d v="2018-11-10T00:00:00"/>
        <d v="2020-10-13T00:00:00"/>
        <d v="2019-12-28T00:00:00"/>
        <d v="2020-05-23T00:00:00"/>
        <d v="2019-11-01T00:00:00"/>
        <d v="2019-01-03T00:00:00"/>
        <d v="2018-04-21T00:00:00"/>
        <d v="2018-06-10T00:00:00"/>
        <d v="2019-07-17T00:00:00"/>
        <d v="2019-11-15T00:00:00"/>
        <d v="2020-09-22T00:00:00"/>
        <d v="2020-09-18T00:00:00"/>
        <d v="2019-10-01T00:00:00"/>
        <d v="2020-10-07T00:00:00"/>
        <d v="2020-01-02T00:00:00"/>
        <d v="2018-08-30T00:00:00"/>
        <d v="2020-09-06T00:00:00"/>
        <d v="2019-01-02T00:00:00"/>
        <d v="2018-09-23T00:00:00"/>
        <d v="2018-09-25T00:00:00"/>
        <d v="2019-04-30T00:00:00"/>
        <d v="2020-11-06T00:00:00"/>
        <d v="2019-10-29T00:00:00"/>
        <d v="2019-04-06T00:00:00"/>
        <d v="2020-03-01T00:00:00"/>
        <d v="2020-02-13T00:00:00"/>
        <d v="2018-09-10T00:00:00"/>
        <d v="2018-12-10T00:00:00"/>
        <d v="2019-05-30T00:00:00"/>
        <d v="2019-07-14T00:00:00"/>
        <d v="2018-09-02T00:00:00"/>
        <d v="2019-02-16T00:00:00"/>
        <d v="2019-05-19T00:00:00"/>
        <d v="2018-12-28T00:00:00"/>
        <d v="2018-07-12T00:00:00"/>
        <d v="2020-06-13T00:00:00"/>
        <d v="2019-05-17T00:00:00"/>
        <d v="2018-07-29T00:00:00"/>
        <d v="2018-04-03T00:00:00"/>
        <d v="2018-05-19T00:00:00"/>
        <d v="2019-04-21T00:00:00"/>
        <d v="2018-08-25T00:00:00"/>
        <d v="2020-10-18T00:00:00"/>
        <d v="2020-04-07T00:00:00"/>
        <d v="2018-12-05T00:00:00"/>
        <d v="2018-08-06T00:00:00"/>
        <d v="2018-07-04T00:00:00"/>
        <d v="2019-02-12T00:00:00"/>
        <d v="2019-05-21T00:00:00"/>
        <d v="2019-07-08T00:00:00"/>
        <d v="2019-10-03T00:00:00"/>
        <d v="2020-09-16T00:00:00"/>
        <d v="2018-07-31T00:00:00"/>
        <d v="2021-01-01T00:00:00"/>
        <d v="2018-06-17T00:00:00"/>
        <d v="2019-03-23T00:00:00"/>
        <d v="2019-07-30T00:00:00"/>
        <d v="2020-04-27T00:00:00"/>
        <d v="2019-08-18T00:00:00"/>
        <d v="2020-06-09T00:00:00"/>
        <d v="2020-11-17T00:00:00"/>
        <d v="2019-08-28T00:00:00"/>
        <d v="2019-05-06T00:00:00"/>
        <d v="2020-05-01T00:00:00"/>
        <d v="2019-11-23T00:00:00"/>
        <d v="2018-05-13T00:00:00"/>
        <d v="2019-08-16T00:00:00"/>
        <d v="2020-08-03T00:00:00"/>
        <d v="2018-10-21T00:00:00"/>
        <d v="2020-08-29T00:00:00"/>
        <d v="2019-04-07T00:00:00"/>
        <d v="2020-09-12T00:00:00"/>
        <d v="2020-07-26T00:00:00"/>
        <d v="2018-08-12T00:00:00"/>
        <d v="2020-11-11T00:00:00"/>
        <d v="2020-10-15T00:00:00"/>
        <d v="2019-03-19T00:00:00"/>
        <d v="2018-07-03T00:00:00"/>
        <d v="2018-12-15T00:00:00"/>
        <d v="2018-12-30T00:00:00"/>
        <d v="2018-01-24T00:00:00"/>
        <d v="2020-02-15T00:00:00"/>
        <d v="2018-09-29T00:00:00"/>
        <d v="2018-10-11T00:00:00"/>
        <d v="2018-07-19T00:00:00"/>
        <d v="2019-11-13T00:00:00"/>
        <d v="2020-07-07T00:00:00"/>
        <d v="2020-04-17T00:00:00"/>
        <d v="2020-12-01T00:00:00"/>
        <d v="2018-03-15T00:00:00"/>
        <d v="2020-02-03T00:00:00"/>
        <d v="2019-05-04T00:00:00"/>
        <d v="2020-02-05T00:00:00"/>
        <d v="2018-10-01T00:00:00"/>
        <d v="2019-07-15T00:00:00"/>
        <d v="2020-02-17T00:00:00"/>
        <d v="2019-03-25T00:00:00"/>
        <d v="2018-10-09T00:00:00"/>
        <d v="2019-06-30T00:00:00"/>
        <d v="2018-09-19T00:00:00"/>
        <d v="2020-07-03T00:00:00"/>
        <d v="2018-11-21T00:00:00"/>
        <d v="2020-11-23T00:00:00"/>
        <d v="2019-12-29T00:00:00"/>
        <d v="2019-02-23T00:00:00"/>
        <d v="2020-05-02T00:00:00"/>
        <d v="2018-10-23T00:00:00"/>
        <d v="2019-09-21T00:00:00"/>
        <d v="2018-06-30T00:00:00"/>
        <d v="2019-06-22T00:00:00"/>
        <d v="2018-08-20T00:00:00"/>
        <d v="2020-08-16T00:00:00"/>
        <d v="2020-11-24T00:00:00"/>
        <d v="2020-05-24T00:00:00"/>
        <d v="2020-01-13T00:00:00"/>
        <d v="2018-07-01T00:00:00"/>
        <d v="2018-01-16T00:00:00"/>
        <d v="2020-12-11T00:00:00"/>
        <d v="2019-05-08T00:00:00"/>
        <d v="2018-01-10T00:00:00"/>
        <d v="2020-09-23T00:00:00"/>
        <d v="2018-10-04T00:00:00"/>
        <d v="2018-11-14T00:00:00"/>
        <d v="2020-07-24T00:00:00"/>
        <d v="2018-04-10T00:00:00"/>
        <d v="2019-12-21T00:00:00"/>
        <d v="2018-11-15T00:00:00"/>
        <d v="2019-09-14T00:00:00"/>
        <d v="2018-07-13T00:00:00"/>
        <d v="2018-10-12T00:00:00"/>
        <d v="2018-08-04T00:00:00"/>
        <d v="2018-11-09T00:00:00"/>
        <d v="2019-05-26T00:00:00"/>
        <d v="2019-06-07T00:00:00"/>
        <d v="2020-01-25T00:00:00"/>
        <d v="2018-09-06T00:00:00"/>
        <d v="2020-05-18T00:00:00"/>
        <d v="2019-10-26T00:00:00"/>
        <d v="2020-04-26T00:00:00"/>
        <d v="2018-04-28T00:00:00"/>
        <d v="2018-05-02T00:00:00"/>
        <d v="2019-02-02T00:00:00"/>
        <d v="2018-07-23T00:00:00"/>
        <d v="2020-10-19T00:00:00"/>
        <d v="2020-03-19T00:00:00"/>
        <d v="2018-09-21T00:00:00"/>
        <d v="2019-01-07T00:00:00"/>
        <d v="2018-02-10T00:00:00"/>
        <d v="2018-03-05T00:00:00"/>
        <d v="2019-03-24T00:00:00"/>
        <d v="2018-03-11T00:00:00"/>
        <d v="2020-04-06T00:00:00"/>
        <d v="2018-09-03T00:00:00"/>
        <d v="2018-10-10T00:00:00"/>
        <d v="2018-03-30T00:00:00"/>
        <d v="2019-05-16T00:00:00"/>
        <d v="2019-10-04T00:00:00"/>
        <d v="2018-08-01T00:00:00"/>
        <d v="2018-11-29T00:00:00"/>
        <d v="2018-09-08T00:00:00"/>
        <d v="2020-04-02T00:00:00"/>
        <d v="2018-02-01T00:00:00"/>
        <d v="2019-12-25T00:00:00"/>
        <d v="2019-03-14T00:00:00"/>
        <d v="2019-11-19T00:00:00"/>
        <d v="2018-02-13T00:00:00"/>
        <d v="2020-03-20T00:00:00"/>
        <d v="2019-06-16T00:00:00"/>
        <d v="2019-06-01T00:00:00"/>
        <d v="2018-03-04T00:00:00"/>
        <d v="2019-01-30T00:00:00"/>
        <d v="2019-02-13T00:00:00"/>
        <d v="2018-04-20T00:00:00"/>
        <d v="2020-03-13T00:00:00"/>
        <d v="2019-04-08T00:00:00"/>
        <d v="2020-07-11T00:00:00"/>
        <d v="2018-12-07T00:00:00"/>
        <d v="2020-05-08T00:00:00"/>
        <d v="2018-06-24T00:00:00"/>
        <d v="2018-07-17T00:00:00"/>
        <d v="2020-05-29T00:00:00"/>
        <d v="2019-09-25T00:00:00"/>
        <d v="2020-03-27T00:00:00"/>
        <d v="2020-07-21T00:00:00"/>
        <d v="2018-04-26T00:00:00"/>
        <d v="2018-06-22T00:00:00"/>
        <d v="2020-12-27T00:00:00"/>
        <d v="2018-04-22T00:00:00"/>
        <d v="2018-05-05T00:00:00"/>
        <d v="2018-03-20T00:00:00"/>
        <d v="2018-11-06T00:00:00"/>
        <d v="2020-06-08T00:00:00"/>
        <d v="2019-09-04T00:00:00"/>
        <d v="2020-07-16T00:00:00"/>
        <d v="2018-05-22T00:00:00"/>
        <d v="2018-05-23T00:00:00"/>
        <d v="2019-05-12T00:00:00"/>
        <d v="2020-05-25T00:00:00"/>
        <d v="2018-09-13T00:00:00"/>
        <d v="2019-04-20T00:00:00"/>
        <d v="2020-07-15T00:00:00"/>
        <d v="2018-10-02T00:00:00"/>
        <d v="2018-10-27T00:00:00"/>
        <d v="2018-05-20T00:00:00"/>
        <d v="2019-12-22T00:00:00"/>
        <d v="2019-11-10T00:00:00"/>
        <d v="2019-02-11T00:00:00"/>
        <d v="2019-05-18T00:00:00"/>
        <d v="2020-10-16T00:00:00"/>
        <d v="2019-12-15T00:00:00"/>
        <d v="2019-01-01T00:00:00"/>
        <d v="2020-03-22T00:00:00"/>
        <d v="2020-03-11T00:00:00"/>
        <d v="2019-08-29T00:00:00"/>
        <d v="2018-10-13T00:00:00"/>
        <d v="2020-06-23T00:00:00"/>
        <d v="2020-10-02T00:00:00"/>
        <d v="2019-04-15T00:00:00"/>
        <d v="2020-09-02T00:00:00"/>
        <d v="2020-11-25T00:00:00"/>
        <d v="2018-07-18T00:00:00"/>
        <d v="2019-06-18T00:00:00"/>
        <d v="2019-10-21T00:00:00"/>
        <d v="2018-01-14T00:00:00"/>
        <d v="2020-07-14T00:00:00"/>
        <d v="2020-11-18T00:00:00"/>
        <d v="2019-05-01T00:00:00"/>
        <d v="2020-10-08T00:00:00"/>
        <d v="2019-01-11T00:00:00"/>
        <d v="2020-03-16T00:00:00"/>
        <d v="2019-10-08T00:00:00"/>
        <d v="2018-02-27T00:00:00"/>
        <d v="2020-06-27T00:00:00"/>
        <d v="2018-09-24T00:00:00"/>
        <d v="2019-12-23T00:00:00"/>
        <d v="2019-06-12T00:00:00"/>
        <d v="2020-05-19T00:00:00"/>
        <d v="2019-09-16T00:00:00"/>
        <d v="2020-07-23T00:00:00"/>
        <d v="2020-07-12T00:00:00"/>
        <d v="2019-02-01T00:00:00"/>
        <d v="2018-06-28T00:00:00"/>
        <d v="2020-06-12T00:00:00"/>
        <d v="2018-05-31T00:00:00"/>
        <d v="2020-02-22T00:00:00"/>
        <d v="2019-08-24T00:00:00"/>
        <d v="2018-08-16T00:00:00"/>
        <d v="2019-03-11T00:00:00"/>
        <d v="2019-08-17T00:00:00"/>
        <d v="2018-08-23T00:00:00"/>
        <d v="2020-07-08T00:00:00"/>
        <d v="2020-10-23T00:00:00"/>
        <d v="2020-03-10T00:00:00"/>
        <d v="2018-11-13T00:00:00"/>
        <d v="2019-10-17T00:00:00"/>
        <d v="2018-01-30T00:00:00"/>
        <d v="2018-06-08T00:00:00"/>
        <d v="2020-04-22T00:00:00"/>
        <d v="2020-12-31T00:00:00"/>
        <d v="2019-04-29T00:00:00"/>
        <d v="2020-11-01T00:00:00"/>
        <d v="2019-01-17T00:00:00"/>
        <d v="2020-06-19T00:00:00"/>
        <d v="2018-11-30T00:00:00"/>
        <d v="2019-07-27T00:00:00"/>
        <d v="2019-12-13T00:00:00"/>
        <d v="2020-04-25T00:00:00"/>
        <d v="2019-01-14T00:00:00"/>
        <d v="2019-05-23T00:00:00"/>
        <d v="2018-12-12T00:00:00"/>
        <d v="2019-08-23T00:00:00"/>
        <d v="2020-06-15T00:00:00"/>
        <d v="2018-08-21T00:00:00"/>
        <d v="2019-08-12T00:00:00"/>
        <d v="2018-04-25T00:00:00"/>
        <d v="2019-07-28T00:00:00"/>
        <d v="2019-05-11T00:00:00"/>
        <d v="2019-06-24T00:00:00"/>
        <d v="2018-01-05T00:00:00"/>
        <d v="2018-08-02T00:00:00"/>
        <d v="2018-03-24T00:00:00"/>
        <d v="2019-06-05T00:00:00"/>
        <d v="2018-01-15T00:00:00"/>
        <d v="2018-02-16T00:00:00"/>
        <d v="2019-08-15T00:00:00"/>
        <d v="2020-03-24T00:00:00"/>
        <d v="2018-03-23T00:00:00"/>
        <d v="2020-12-14T00:00:00"/>
        <d v="2019-06-25T00:00:00"/>
        <d v="2019-04-23T00:00:00"/>
        <d v="2019-09-28T00:00:00"/>
        <d v="2020-06-18T00:00:00"/>
        <d v="2019-04-25T00:00:00"/>
        <d v="2020-12-13T00:00:00"/>
        <d v="2020-11-12T00:00:00"/>
        <d v="2018-01-29T00:00:00"/>
        <d v="2020-12-05T00:00:00"/>
        <d v="2020-07-31T00:00:00"/>
        <d v="2020-02-11T00:00:00"/>
        <d v="2019-07-22T00:00:00"/>
        <d v="2018-09-11T00:00:00"/>
        <d v="2020-01-29T00:00:00"/>
        <d v="2019-01-05T00:00:00"/>
        <d v="2018-04-02T00:00:00"/>
        <d v="2020-12-22T00:00:00"/>
        <d v="2018-09-01T00:00:00"/>
        <d v="2018-11-16T00:00:00"/>
        <d v="2018-07-30T00:00:00"/>
        <d v="2019-11-12T00:00:00"/>
        <d v="2018-05-04T00:00:00"/>
        <d v="2018-03-19T00:00:00"/>
        <d v="2018-11-24T00:00:00"/>
        <d v="2018-12-23T00:00:00"/>
        <d v="2020-04-18T00:00:00"/>
        <d v="2019-02-25T00:00:00"/>
        <d v="2021-01-05T00:00:00"/>
        <d v="2018-05-16T00:00:00"/>
        <d v="2020-01-19T00:00:00"/>
        <d v="2020-12-03T00:00:00"/>
        <d v="2020-01-12T00:00:00"/>
        <d v="2020-06-17T00:00:00"/>
        <d v="2020-02-19T00:00:00"/>
        <d v="2018-12-31T00:00:00"/>
        <d v="2020-06-10T00:00:00"/>
        <d v="2019-11-09T00:00:00"/>
        <d v="2020-09-13T00:00:00"/>
        <d v="2018-09-07T00:00:00"/>
        <d v="2019-02-04T00:00:00"/>
        <d v="2018-06-16T00:00:00"/>
        <d v="2020-10-26T00:00:00"/>
        <d v="2019-09-17T00:00:00"/>
        <d v="2020-01-27T00:00:00"/>
        <d v="2019-05-24T00:00:00"/>
        <d v="2020-06-26T00:00:00"/>
        <d v="2020-03-26T00:00:00"/>
        <d v="2019-09-13T00:00:00"/>
        <d v="2019-06-15T00:00:00"/>
        <d v="2019-11-08T00:00:00"/>
        <d v="2020-01-30T00:00:00"/>
        <d v="2019-03-28T00:00:00"/>
        <d v="2020-08-04T00:00:00"/>
        <d v="2019-09-09T00:00:00"/>
        <d v="2018-12-01T00:00:00"/>
        <d v="2020-04-20T00:00:00"/>
        <d v="2020-05-10T00:00:00"/>
        <d v="2020-11-10T00:00:00"/>
        <d v="2019-02-03T00:00:00"/>
        <d v="2020-01-09T00:00:00"/>
        <d v="2019-12-05T00:00:00"/>
        <d v="2019-02-07T00:00:00"/>
        <d v="2020-03-14T00:00:00"/>
        <d v="2020-04-24T00:00:00"/>
        <d v="2020-09-30T00:00:00"/>
        <d v="2019-03-22T00:00:00"/>
        <d v="2020-08-14T00:00:00"/>
        <d v="2020-04-03T00:00:00"/>
        <d v="2019-02-17T00:00:00"/>
        <d v="2020-05-05T00:00:00"/>
        <d v="2020-10-01T00:00:00"/>
        <d v="2018-03-07T00:00:00"/>
        <d v="2020-01-31T00:00:00"/>
        <d v="2019-01-19T00:00:00"/>
        <d v="2020-12-06T00:00:00"/>
        <d v="2018-06-06T00:00:00"/>
        <d v="2018-11-11T00:00:00"/>
        <d v="2018-04-27T00:00:00"/>
        <d v="2020-06-24T00:00:00"/>
        <d v="2018-07-15T00:00:00"/>
        <d v="2019-03-20T00:00:00"/>
        <d v="2020-06-03T00:00:00"/>
        <d v="2019-05-20T00:00:00"/>
        <d v="2020-02-02T00:00:00"/>
        <d v="2018-06-14T00:00:00"/>
        <d v="2020-10-22T00:00:00"/>
        <d v="2018-08-11T00:00:00"/>
        <d v="2020-09-28T00:00:00"/>
        <d v="2018-09-22T00:00:00"/>
        <d v="2018-02-23T00:00:00"/>
        <d v="2018-01-13T00:00:00"/>
        <d v="2018-01-22T00:00:00"/>
        <d v="2018-06-20T00:00:00"/>
        <d v="2019-03-31T00:00:00"/>
        <d v="2019-08-27T00:00:00"/>
        <d v="2019-02-22T00:00:00"/>
        <d v="2020-01-11T00:00:00"/>
        <d v="2018-09-17T00:00:00"/>
        <d v="2018-11-12T00:00:00"/>
        <d v="2020-12-19T00:00:00"/>
        <d v="2019-08-26T00:00:00"/>
        <d v="2020-08-08T00:00:00"/>
        <d v="2019-12-20T00:00:00"/>
        <d v="2019-11-06T00:00:00"/>
        <d v="2019-07-16T00:00:00"/>
        <d v="2019-01-18T00:00:00"/>
        <d v="2020-02-08T00:00:00"/>
        <d v="2019-08-22T00:00:00"/>
        <d v="2019-03-29T00:00:00"/>
        <d v="2019-12-18T00:00:00"/>
        <d v="2019-11-05T00:00:00"/>
        <d v="2020-08-10T00:00:00"/>
        <d v="2019-02-06T00:00:00"/>
        <d v="2020-04-09T00:00:00"/>
        <d v="2018-05-28T00:00:00"/>
        <d v="2018-09-26T00:00:00"/>
        <d v="2020-08-17T00:00:00"/>
        <d v="2019-07-19T00:00:00"/>
        <d v="2020-01-03T00:00:00"/>
        <d v="2018-11-28T00:00:00"/>
        <d v="2019-09-22T00:00:00"/>
        <d v="2019-03-12T00:00:00"/>
        <d v="2019-09-19T00:00:00"/>
        <d v="2020-02-25T00:00:00"/>
        <d v="2020-11-19T00:00:00"/>
        <d v="2019-07-07T00:00:00"/>
        <d v="2020-05-27T00:00:00"/>
        <d v="2019-12-03T00:00:00"/>
        <d v="2020-09-09T00:00:00"/>
        <d v="2020-02-29T00:00:00"/>
        <d v="2020-09-21T00:00:00"/>
        <d v="2018-10-30T00:00:00"/>
        <d v="2020-10-29T00:00:00"/>
        <d v="2020-12-29T00:00:00"/>
        <d v="2018-09-09T00:00:00"/>
        <d v="2018-08-29T00:00:00"/>
        <d v="2019-01-20T00:00:00"/>
        <d v="2019-11-18T00:00:00"/>
        <d v="2020-02-12T00:00:00"/>
        <d v="2019-11-26T00:00:00"/>
        <d v="2020-05-03T00:00:00"/>
        <d v="2018-06-29T00:00:00"/>
        <d v="2018-12-02T00:00:00"/>
        <d v="2018-03-14T00:00:00"/>
        <d v="2020-06-22T00:00:00"/>
        <d v="2019-01-26T00:00:00"/>
        <d v="2019-12-08T00:00:00"/>
        <d v="2020-10-31T00:00:00"/>
        <d v="2019-09-18T00:00:00"/>
        <d v="2019-07-11T00:00:00"/>
        <d v="2018-09-27T00:00:00"/>
        <d v="2020-11-09T00:00:00"/>
        <d v="2019-07-10T00:00:00"/>
        <d v="2019-09-01T00:00:00"/>
        <d v="2018-01-21T00:00:00"/>
        <d v="2019-04-28T00:00:00"/>
        <d v="2018-11-05T00:00:00"/>
        <d v="2018-11-27T00:00:00"/>
        <d v="2018-08-15T00:00:00"/>
        <d v="2020-12-23T00:00:00"/>
        <d v="2019-12-10T00:00:00"/>
        <d v="2019-10-11T00:00:00"/>
        <d v="2019-02-27T00:00:00"/>
        <d v="2019-04-12T00:00:00"/>
        <d v="2019-11-11T00:00:00"/>
        <d v="2018-04-01T00:00:00"/>
        <d v="2018-05-30T00:00:00"/>
        <d v="2018-04-14T00:00:00"/>
        <d v="2018-03-21T00:00:00"/>
        <d v="2019-04-17T00:00:00"/>
        <d v="2019-07-06T00:00:00"/>
        <d v="2020-07-04T00:00:00"/>
        <d v="2020-11-21T00:00:00"/>
        <d v="2018-03-01T00:00:00"/>
        <d v="2018-07-06T00:00:00"/>
        <d v="2019-05-02T00:00:00"/>
        <d v="2019-03-17T00:00:00"/>
        <d v="2019-09-03T00:00:00"/>
        <d v="2018-01-17T00:00:00"/>
        <d v="2018-03-31T00:00:00"/>
        <d v="2019-07-20T00:00:00"/>
        <d v="2018-07-22T00:00:00"/>
        <d v="2020-11-22T00:00:00"/>
        <d v="2018-08-10T00:00:00"/>
        <d v="2019-02-28T00:00:00"/>
        <d v="2018-09-12T00:00:00"/>
        <d v="2019-11-03T00:00:00"/>
        <d v="2020-09-14T00:00:00"/>
        <d v="2019-04-05T00:00:00"/>
        <d v="2018-04-24T00:00:00"/>
        <d v="2020-06-21T00:00:00"/>
        <d v="2020-11-08T00:00:00"/>
        <d v="2019-09-26T00:00:00"/>
        <d v="2019-01-16T00:00:00"/>
        <d v="2019-08-10T00:00:00"/>
        <d v="2019-06-27T00:00:00"/>
        <d v="2018-09-04T00:00:00"/>
        <d v="2020-03-03T00:00:00"/>
        <d v="2020-07-25T00:00:00"/>
        <d v="2018-08-24T00:00:00"/>
        <d v="2019-01-10T00:00:00"/>
        <d v="2020-01-23T00:00:00"/>
        <d v="2018-10-22T00:00:00"/>
        <d v="2019-05-05T00:00:00"/>
        <d v="2020-05-13T00:00:00"/>
        <d v="2020-05-26T00:00:00"/>
        <d v="2018-06-26T00:00:00"/>
        <d v="2019-12-07T00:00:00"/>
        <d v="2020-01-22T00:00:00"/>
        <d v="2018-06-23T00:00:00"/>
        <d v="2019-12-09T00:00:00"/>
        <d v="2020-04-04T00:00:00"/>
        <d v="2018-06-11T00:00:00"/>
        <d v="2020-04-15T00:00:00"/>
        <d v="2018-08-07T00:00:00"/>
        <d v="2019-02-05T00:00:00"/>
        <d v="2019-05-09T00:00:00"/>
        <d v="2018-03-13T00:00:00"/>
        <d v="2018-08-14T00:00:00"/>
        <d v="2019-09-06T00:00:00"/>
        <d v="2020-09-17T00:00:00"/>
        <d v="2019-12-02T00:00:00"/>
        <d v="2020-03-29T00:00:00"/>
        <d v="2019-01-27T00:00:00"/>
        <d v="2018-07-07T00:00:00"/>
        <d v="2018-03-25T00:00:00"/>
        <d v="2019-06-17T00:00:00"/>
        <d v="2018-02-03T00:00:00"/>
        <d v="2020-01-04T00:00:00"/>
        <d v="2020-09-04T00:00:00"/>
        <d v="2020-12-15T00:00:00"/>
        <d v="2019-10-13T00:00:00"/>
        <d v="2020-02-18T00:00:00"/>
        <d v="2018-11-26T00:00:00"/>
        <d v="2018-12-17T00:00:00"/>
        <d v="2018-12-06T00:00:00"/>
        <d v="2019-12-01T00:00:00"/>
        <d v="2018-12-13T00:00:00"/>
        <d v="2020-04-14T00:00:00"/>
        <d v="2018-01-18T00:00:00"/>
        <d v="2020-07-20T00:00:00"/>
        <d v="2019-11-28T00:00:00"/>
        <d v="2020-02-26T00:00:00"/>
        <d v="2019-11-20T00:00:00"/>
        <d v="2018-07-08T00:00:00"/>
        <d v="2019-02-18T00:00:00"/>
        <d v="2020-07-22T00:00:00"/>
        <d v="2019-11-25T00:00:00"/>
        <d v="2020-02-10T00:00:00"/>
        <d v="2019-03-16T00:00:00"/>
        <d v="2019-03-07T00:00:00"/>
        <d v="2019-09-07T00:00:00"/>
        <d v="2020-11-20T00:00:00"/>
        <d v="2019-07-23T00:00:00"/>
        <d v="2018-12-08T00:00:00"/>
        <d v="2020-04-13T00:00:00"/>
        <d v="2018-01-08T00:00:00"/>
        <d v="2019-12-06T00:00:00"/>
        <d v="2020-08-01T00:00:00"/>
        <d v="2019-03-08T00:00:00"/>
        <d v="2020-01-16T00:00:00"/>
        <d v="2018-06-09T00:00:00"/>
        <d v="2018-07-02T00:00:00"/>
        <d v="2020-03-28T00:00:00"/>
        <d v="2020-12-17T00:00:00"/>
        <d v="2019-05-15T00:00:00"/>
        <d v="2018-03-22T00:00:00"/>
        <d v="2019-12-30T00:00:00"/>
        <d v="2020-12-10T00:00:00"/>
        <d v="2018-01-27T00:00:00"/>
        <d v="2020-04-16T00:00:00"/>
        <d v="2019-03-09T00:00:00"/>
        <d v="2018-03-29T00:00:00"/>
        <d v="2018-03-06T00:00:00"/>
        <d v="2018-06-25T00:00:00"/>
        <d v="2020-08-06T00:00:00"/>
        <d v="2019-06-11T00:00:00"/>
        <d v="2018-06-07T00:00:00"/>
        <d v="2019-06-20T00:00:00"/>
        <d v="2020-10-20T00:00:00"/>
        <d v="2020-02-27T00:00:00"/>
        <d v="2018-06-03T00:00:00"/>
        <d v="2020-11-27T00:00:00"/>
        <d v="2020-08-26T00:00:00"/>
        <d v="2019-07-26T00:00:00"/>
        <d v="2019-01-28T00:00:00"/>
        <d v="2019-01-09T00:00:00"/>
        <d v="2018-02-21T00:00:00"/>
        <d v="2019-06-10T00:00:00"/>
        <d v="2018-02-24T00:00:00"/>
        <d v="2020-11-26T00:00:00"/>
        <d v="2019-11-02T00:00:00"/>
        <d v="2019-10-10T00:00:00"/>
        <d v="2019-01-22T00:00:00"/>
        <d v="2018-08-26T00:00:00"/>
        <d v="2019-03-21T00:00:00"/>
        <d v="2019-08-11T00:00:00"/>
        <d v="2019-01-06T00:00:00"/>
        <d v="2018-04-19T00:00:00"/>
        <d v="2018-02-28T00:00:00"/>
        <d v="2019-05-29T00:00:00"/>
        <d v="2018-02-06T00:00:00"/>
        <d v="2019-08-25T00:00:00"/>
        <d v="2019-03-06T00:00:00"/>
        <d v="2020-10-28T00:00:00"/>
        <d v="2020-09-19T00:00:00"/>
        <d v="2020-05-14T00:00:00"/>
        <d v="2018-06-15T00:00:00"/>
        <d v="2019-01-04T00:00:00"/>
        <d v="2019-02-21T00:00:00"/>
        <d v="2019-05-03T00:00:00"/>
        <d v="2019-09-08T00:00:00"/>
        <d v="2018-09-28T00:00:00"/>
        <d v="2019-04-18T00:00:00"/>
        <d v="2020-12-30T00:00:00"/>
        <d v="2020-08-31T00:00:00"/>
        <d v="2020-10-05T00:00:00"/>
        <d v="2020-08-07T00:00:00"/>
        <d v="2019-09-23T00:00:00"/>
        <d v="2020-11-28T00:00:00"/>
        <d v="2020-03-30T00:00:00"/>
        <d v="2020-04-11T00:00:00"/>
        <d v="2019-07-04T00:00:00"/>
        <d v="2019-12-24T00:00:00"/>
        <d v="2020-03-18T00:00:00"/>
        <d v="2020-07-10T00:00:00"/>
        <d v="2018-04-12T00:00:00"/>
        <d v="2020-01-21T00:00:00"/>
        <d v="2020-06-06T00:00:00"/>
        <d v="2018-01-25T00:00:00"/>
        <d v="2018-04-08T00:00:00"/>
        <d v="2019-06-21T00:00:00"/>
        <d v="2020-06-16T00:00:00"/>
        <d v="2020-10-04T00:00:00"/>
        <d v="2018-12-19T00:00:00"/>
        <d v="2020-10-24T00:00:00"/>
        <d v="2018-01-23T00:00:00"/>
        <d v="2019-11-24T00:00:00"/>
        <d v="2019-08-06T00:00:00"/>
        <d v="2019-06-19T00:00:00"/>
        <d v="2018-03-16T00:00:00"/>
        <d v="2019-04-02T00:00:00"/>
        <d v="2020-01-20T00:00:00"/>
        <d v="2020-11-16T00:00:00"/>
        <d v="2019-07-24T00:00:00"/>
        <d v="2019-09-02T00:00:00"/>
        <d v="2018-08-28T00:00:00"/>
        <d v="2018-01-28T00:00:00"/>
        <d v="2020-11-05T00:00:00"/>
        <d v="2019-12-26T00:00:00"/>
        <d v="2018-02-14T00:00:00"/>
        <d v="2019-04-14T00:00:00"/>
        <d v="2020-12-18T00:00:00"/>
        <d v="2020-03-23T00:00:00"/>
        <d v="2019-05-10T00:00:00"/>
        <d v="2018-04-29T00:00:00"/>
        <d v="2020-02-24T00:00:00"/>
        <d v="2018-10-20T00:00:00"/>
        <d v="2020-09-07T00:00:00"/>
        <d v="2019-03-04T00:00:00"/>
        <d v="2018-10-19T00:00:00"/>
        <d v="2019-11-17T00:00:00"/>
        <d v="2018-05-06T00:00:00"/>
        <d v="2018-10-03T00:00:00"/>
        <d v="2020-05-11T00:00:00"/>
        <d v="2019-03-10T00:00:00"/>
        <d v="2018-07-09T00:00:00"/>
        <d v="2019-06-08T00:00:00"/>
        <d v="2019-02-19T00:00:00"/>
      </sharedItems>
      <fieldGroup par="19"/>
    </cacheField>
    <cacheField name="Months (Delivery_Month_Year)" numFmtId="0" databaseField="0">
      <fieldGroup base="16">
        <rangePr groupBy="months" startDate="2018-01-04T00:00:00" endDate="2021-01-06T00:00:00"/>
        <groupItems count="14">
          <s v="&lt;04-01-2018"/>
          <s v="Jan"/>
          <s v="Feb"/>
          <s v="Mar"/>
          <s v="Apr"/>
          <s v="May"/>
          <s v="Jun"/>
          <s v="Jul"/>
          <s v="Aug"/>
          <s v="Sep"/>
          <s v="Oct"/>
          <s v="Nov"/>
          <s v="Dec"/>
          <s v="&gt;06-01-2021"/>
        </groupItems>
      </fieldGroup>
    </cacheField>
    <cacheField name="Quarters (Delivery_Month_Year)" numFmtId="0" databaseField="0">
      <fieldGroup base="16">
        <rangePr groupBy="quarters" startDate="2018-01-04T00:00:00" endDate="2021-01-06T00:00:00"/>
        <groupItems count="6">
          <s v="&lt;04-01-2018"/>
          <s v="Qtr1"/>
          <s v="Qtr2"/>
          <s v="Qtr3"/>
          <s v="Qtr4"/>
          <s v="&gt;06-01-2021"/>
        </groupItems>
      </fieldGroup>
    </cacheField>
    <cacheField name="Years (Delivery_Month_Year)" numFmtId="0" databaseField="0">
      <fieldGroup base="16">
        <rangePr groupBy="years" startDate="2018-01-04T00:00:00" endDate="2021-01-06T00:00:00"/>
        <groupItems count="6">
          <s v="&lt;04-01-2018"/>
          <s v="2018"/>
          <s v="2019"/>
          <s v="2020"/>
          <s v="2021"/>
          <s v="&gt;06-01-2021"/>
        </groupItems>
      </fieldGroup>
    </cacheField>
  </cacheFields>
  <extLst>
    <ext xmlns:x14="http://schemas.microsoft.com/office/spreadsheetml/2009/9/main" uri="{725AE2AE-9491-48be-B2B4-4EB974FC3084}">
      <x14:pivotCacheDefinition pivotCacheId="1938505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P-20180001"/>
    <x v="0"/>
    <x v="0"/>
    <x v="0"/>
    <s v="OnePlus Warp Charge 30 Power Adapter"/>
    <n v="1990"/>
    <n v="2"/>
    <n v="0.08"/>
    <n v="318.39999999999998"/>
    <n v="3661.6"/>
    <n v="581.17999999999995"/>
    <s v="2019-04-12"/>
    <s v="2019-04-16"/>
    <s v="Individual"/>
    <x v="0"/>
    <x v="0"/>
    <x v="0"/>
  </r>
  <r>
    <s v="OP-20180002"/>
    <x v="1"/>
    <x v="1"/>
    <x v="1"/>
    <s v="OnePlus TV 32Y1 HD Ready"/>
    <n v="12999"/>
    <n v="1"/>
    <n v="0"/>
    <n v="0"/>
    <n v="12999"/>
    <n v="2103.4899999999998"/>
    <s v="2018-10-04"/>
    <s v="2018-10-06"/>
    <s v="Individual"/>
    <x v="1"/>
    <x v="1"/>
    <x v="1"/>
  </r>
  <r>
    <s v="OP-20180003"/>
    <x v="0"/>
    <x v="2"/>
    <x v="2"/>
    <s v="OnePlus Nord N10"/>
    <n v="19999"/>
    <n v="1"/>
    <n v="0.15"/>
    <n v="2999.85"/>
    <n v="16999.150000000001"/>
    <n v="2854.71"/>
    <s v="2020-08-15"/>
    <s v="2020-08-22"/>
    <s v="Individual"/>
    <x v="1"/>
    <x v="2"/>
    <x v="2"/>
  </r>
  <r>
    <s v="OP-20180004"/>
    <x v="0"/>
    <x v="3"/>
    <x v="3"/>
    <s v="OnePlus 7T"/>
    <n v="37999"/>
    <n v="2"/>
    <n v="0"/>
    <n v="0"/>
    <n v="75998"/>
    <n v="11232.97"/>
    <s v="2019-01-23"/>
    <s v="2019-01-25"/>
    <s v="Retail Partner"/>
    <x v="2"/>
    <x v="3"/>
    <x v="3"/>
  </r>
  <r>
    <s v="OP-20180005"/>
    <x v="0"/>
    <x v="0"/>
    <x v="3"/>
    <s v="OnePlus 6T"/>
    <n v="37999"/>
    <n v="2"/>
    <n v="0.05"/>
    <n v="3799.9"/>
    <n v="72198.100000000006"/>
    <n v="11165.05"/>
    <s v="2019-05-24"/>
    <s v="2019-05-28"/>
    <s v="Student"/>
    <x v="0"/>
    <x v="4"/>
    <x v="4"/>
  </r>
  <r>
    <s v="OP-20180006"/>
    <x v="2"/>
    <x v="4"/>
    <x v="3"/>
    <s v="OnePlus 7T Pro"/>
    <n v="53999"/>
    <n v="1"/>
    <n v="0.08"/>
    <n v="4319.92"/>
    <n v="49679.08"/>
    <n v="7141.75"/>
    <s v="2019-02-06"/>
    <s v="2019-02-09"/>
    <s v="Individual"/>
    <x v="1"/>
    <x v="5"/>
    <x v="5"/>
  </r>
  <r>
    <s v="OP-20180007"/>
    <x v="3"/>
    <x v="5"/>
    <x v="3"/>
    <s v="OnePlus 8 Pro"/>
    <n v="54999"/>
    <n v="3"/>
    <n v="0.08"/>
    <n v="13199.76"/>
    <n v="151797.24"/>
    <n v="31082.47"/>
    <s v="2020-03-02"/>
    <s v="2020-03-05"/>
    <s v="Retail Partner"/>
    <x v="3"/>
    <x v="6"/>
    <x v="6"/>
  </r>
  <r>
    <s v="OP-20180008"/>
    <x v="1"/>
    <x v="6"/>
    <x v="0"/>
    <s v="OnePlus Warp Charge 30 Power Adapter"/>
    <n v="1990"/>
    <n v="1"/>
    <n v="0"/>
    <n v="0"/>
    <n v="1990"/>
    <n v="379.71"/>
    <s v="2019-10-10"/>
    <s v="2019-10-14"/>
    <s v="Individual"/>
    <x v="3"/>
    <x v="7"/>
    <x v="7"/>
  </r>
  <r>
    <s v="OP-20180009"/>
    <x v="2"/>
    <x v="7"/>
    <x v="3"/>
    <s v="OnePlus 7T"/>
    <n v="37999"/>
    <n v="4"/>
    <n v="0.08"/>
    <n v="12159.68"/>
    <n v="139836.32"/>
    <n v="34930.44"/>
    <s v="2018-07-20"/>
    <s v="2018-07-25"/>
    <s v="Individual"/>
    <x v="0"/>
    <x v="8"/>
    <x v="8"/>
  </r>
  <r>
    <s v="OP-20180010"/>
    <x v="0"/>
    <x v="0"/>
    <x v="3"/>
    <s v="OnePlus 7"/>
    <n v="32999"/>
    <n v="1"/>
    <n v="0.05"/>
    <n v="1649.95"/>
    <n v="31349.05"/>
    <n v="6500.2"/>
    <s v="2019-09-05"/>
    <s v="2019-09-12"/>
    <s v="Student"/>
    <x v="3"/>
    <x v="9"/>
    <x v="9"/>
  </r>
  <r>
    <s v="OP-20180011"/>
    <x v="1"/>
    <x v="1"/>
    <x v="2"/>
    <s v="OnePlus Nord"/>
    <n v="24999"/>
    <n v="2"/>
    <n v="0"/>
    <n v="0"/>
    <n v="49998"/>
    <n v="9635.6299999999992"/>
    <s v="2020-05-13"/>
    <s v="2020-05-15"/>
    <s v="Individual"/>
    <x v="1"/>
    <x v="10"/>
    <x v="10"/>
  </r>
  <r>
    <s v="OP-20180012"/>
    <x v="3"/>
    <x v="8"/>
    <x v="0"/>
    <s v="OnePlus Warp Charge 30 Power Adapter"/>
    <n v="1990"/>
    <n v="2"/>
    <n v="0"/>
    <n v="0"/>
    <n v="3980"/>
    <n v="593.97"/>
    <s v="2019-08-01"/>
    <s v="2019-08-04"/>
    <s v="Student"/>
    <x v="3"/>
    <x v="11"/>
    <x v="11"/>
  </r>
  <r>
    <s v="OP-20180013"/>
    <x v="3"/>
    <x v="5"/>
    <x v="4"/>
    <s v="OnePlus Bullets Wireless Z"/>
    <n v="1999"/>
    <n v="1"/>
    <n v="0.1"/>
    <n v="199.9"/>
    <n v="1799.1"/>
    <n v="368.31"/>
    <s v="2018-07-09"/>
    <s v="2018-07-11"/>
    <s v="Individual"/>
    <x v="3"/>
    <x v="12"/>
    <x v="12"/>
  </r>
  <r>
    <s v="OP-20180014"/>
    <x v="1"/>
    <x v="6"/>
    <x v="2"/>
    <s v="OnePlus Nord"/>
    <n v="24999"/>
    <n v="1"/>
    <n v="0"/>
    <n v="0"/>
    <n v="24999"/>
    <n v="5102.0600000000004"/>
    <s v="2018-11-14"/>
    <s v="2018-11-20"/>
    <s v="Corporate"/>
    <x v="0"/>
    <x v="13"/>
    <x v="13"/>
  </r>
  <r>
    <s v="OP-20180015"/>
    <x v="1"/>
    <x v="1"/>
    <x v="2"/>
    <s v="OnePlus Nord"/>
    <n v="24999"/>
    <n v="1"/>
    <n v="0"/>
    <n v="0"/>
    <n v="24999"/>
    <n v="4261.58"/>
    <s v="2020-08-09"/>
    <s v="2020-08-11"/>
    <s v="Individual"/>
    <x v="4"/>
    <x v="14"/>
    <x v="14"/>
  </r>
  <r>
    <s v="OP-20180016"/>
    <x v="0"/>
    <x v="0"/>
    <x v="3"/>
    <s v="OnePlus 6"/>
    <n v="34999"/>
    <n v="2"/>
    <n v="0.08"/>
    <n v="5599.84"/>
    <n v="64398.16"/>
    <n v="13118.69"/>
    <s v="2019-12-31"/>
    <s v="2020-01-07"/>
    <s v="Individual"/>
    <x v="3"/>
    <x v="15"/>
    <x v="15"/>
  </r>
  <r>
    <s v="OP-20180017"/>
    <x v="2"/>
    <x v="7"/>
    <x v="0"/>
    <s v="OnePlus Type-C Bullets Earphones"/>
    <n v="1490"/>
    <n v="2"/>
    <n v="0.05"/>
    <n v="149"/>
    <n v="2831"/>
    <n v="611.15"/>
    <s v="2018-07-17"/>
    <s v="2018-07-24"/>
    <s v="Individual"/>
    <x v="0"/>
    <x v="16"/>
    <x v="16"/>
  </r>
  <r>
    <s v="OP-20180018"/>
    <x v="2"/>
    <x v="9"/>
    <x v="3"/>
    <s v="OnePlus 7T Pro"/>
    <n v="53999"/>
    <n v="2"/>
    <n v="0.1"/>
    <n v="10799.8"/>
    <n v="97198.2"/>
    <n v="17409.66"/>
    <s v="2019-02-07"/>
    <s v="2019-02-10"/>
    <s v="Individual"/>
    <x v="0"/>
    <x v="17"/>
    <x v="17"/>
  </r>
  <r>
    <s v="OP-20180019"/>
    <x v="2"/>
    <x v="9"/>
    <x v="2"/>
    <s v="OnePlus Nord"/>
    <n v="24999"/>
    <n v="2"/>
    <n v="0.05"/>
    <n v="2499.9"/>
    <n v="47498.1"/>
    <n v="11988.88"/>
    <s v="2019-10-03"/>
    <s v="2019-10-07"/>
    <s v="Individual"/>
    <x v="0"/>
    <x v="18"/>
    <x v="18"/>
  </r>
  <r>
    <s v="OP-20180020"/>
    <x v="3"/>
    <x v="10"/>
    <x v="3"/>
    <s v="OnePlus 7"/>
    <n v="32999"/>
    <n v="1"/>
    <n v="0"/>
    <n v="0"/>
    <n v="32999"/>
    <n v="8509.1299999999992"/>
    <s v="2020-05-30"/>
    <s v="2020-06-02"/>
    <s v="Retail Partner"/>
    <x v="4"/>
    <x v="19"/>
    <x v="19"/>
  </r>
  <r>
    <s v="OP-20180021"/>
    <x v="0"/>
    <x v="3"/>
    <x v="2"/>
    <s v="OnePlus Nord"/>
    <n v="24999"/>
    <n v="1"/>
    <n v="0.08"/>
    <n v="1999.92"/>
    <n v="22999.08"/>
    <n v="5556.56"/>
    <s v="2019-02-08"/>
    <s v="2019-02-15"/>
    <s v="Corporate"/>
    <x v="3"/>
    <x v="20"/>
    <x v="20"/>
  </r>
  <r>
    <s v="OP-20180022"/>
    <x v="1"/>
    <x v="11"/>
    <x v="3"/>
    <s v="OnePlus 7T Pro"/>
    <n v="53999"/>
    <n v="2"/>
    <n v="0.08"/>
    <n v="8639.84"/>
    <n v="99358.16"/>
    <n v="18348.86"/>
    <s v="2018-04-09"/>
    <s v="2018-04-11"/>
    <s v="Individual"/>
    <x v="0"/>
    <x v="21"/>
    <x v="21"/>
  </r>
  <r>
    <s v="OP-20180023"/>
    <x v="0"/>
    <x v="3"/>
    <x v="0"/>
    <s v="OnePlus Warp Charge 30 Wireless Charger"/>
    <n v="3990"/>
    <n v="5"/>
    <n v="0"/>
    <n v="0"/>
    <n v="19950"/>
    <n v="2836.27"/>
    <s v="2019-02-02"/>
    <s v="2019-02-08"/>
    <s v="Individual"/>
    <x v="1"/>
    <x v="22"/>
    <x v="22"/>
  </r>
  <r>
    <s v="OP-20180024"/>
    <x v="2"/>
    <x v="7"/>
    <x v="0"/>
    <s v="OnePlus Type-C Bullets Earphones"/>
    <n v="1490"/>
    <n v="1"/>
    <n v="0.05"/>
    <n v="74.5"/>
    <n v="1415.5"/>
    <n v="284.60000000000002"/>
    <s v="2019-04-15"/>
    <s v="2019-04-22"/>
    <s v="Individual"/>
    <x v="4"/>
    <x v="23"/>
    <x v="23"/>
  </r>
  <r>
    <s v="OP-20180025"/>
    <x v="0"/>
    <x v="3"/>
    <x v="3"/>
    <s v="OnePlus 6T"/>
    <n v="37999"/>
    <n v="1"/>
    <n v="0.08"/>
    <n v="3039.92"/>
    <n v="34959.08"/>
    <n v="7700.47"/>
    <s v="2019-03-29"/>
    <s v="2019-04-03"/>
    <s v="Corporate"/>
    <x v="0"/>
    <x v="24"/>
    <x v="24"/>
  </r>
  <r>
    <s v="OP-20180026"/>
    <x v="1"/>
    <x v="12"/>
    <x v="0"/>
    <s v="OnePlus Type-C Bullets Earphones"/>
    <n v="1490"/>
    <n v="5"/>
    <n v="0.05"/>
    <n v="372.5"/>
    <n v="7077.5"/>
    <n v="1228.28"/>
    <s v="2019-06-02"/>
    <s v="2019-06-06"/>
    <s v="Corporate"/>
    <x v="4"/>
    <x v="25"/>
    <x v="25"/>
  </r>
  <r>
    <s v="OP-20180027"/>
    <x v="0"/>
    <x v="0"/>
    <x v="3"/>
    <s v="OnePlus 7"/>
    <n v="32999"/>
    <n v="5"/>
    <n v="0"/>
    <n v="0"/>
    <n v="164995"/>
    <n v="29151.919999999998"/>
    <s v="2020-07-16"/>
    <s v="2020-07-18"/>
    <s v="Individual"/>
    <x v="0"/>
    <x v="26"/>
    <x v="26"/>
  </r>
  <r>
    <s v="OP-20180028"/>
    <x v="0"/>
    <x v="13"/>
    <x v="3"/>
    <s v="OnePlus 7"/>
    <n v="32999"/>
    <n v="1"/>
    <n v="0"/>
    <n v="0"/>
    <n v="32999"/>
    <n v="7055.21"/>
    <s v="2020-05-03"/>
    <s v="2020-05-06"/>
    <s v="Individual"/>
    <x v="0"/>
    <x v="27"/>
    <x v="27"/>
  </r>
  <r>
    <s v="OP-20180029"/>
    <x v="0"/>
    <x v="2"/>
    <x v="2"/>
    <s v="OnePlus Nord"/>
    <n v="24999"/>
    <n v="2"/>
    <n v="0.05"/>
    <n v="2499.9"/>
    <n v="47498.1"/>
    <n v="8323.14"/>
    <s v="2020-01-29"/>
    <s v="2020-02-01"/>
    <s v="Student"/>
    <x v="5"/>
    <x v="28"/>
    <x v="28"/>
  </r>
  <r>
    <s v="OP-20180030"/>
    <x v="3"/>
    <x v="10"/>
    <x v="3"/>
    <s v="OnePlus 8"/>
    <n v="41999"/>
    <n v="1"/>
    <n v="0.1"/>
    <n v="4199.8999999999996"/>
    <n v="37799.1"/>
    <n v="8240.0400000000009"/>
    <s v="2019-05-27"/>
    <s v="2019-06-03"/>
    <s v="Corporate"/>
    <x v="5"/>
    <x v="29"/>
    <x v="29"/>
  </r>
  <r>
    <s v="OP-20180031"/>
    <x v="0"/>
    <x v="14"/>
    <x v="3"/>
    <s v="OnePlus 6T"/>
    <n v="37999"/>
    <n v="1"/>
    <n v="0.08"/>
    <n v="3039.92"/>
    <n v="34959.08"/>
    <n v="5045.05"/>
    <s v="2019-07-29"/>
    <s v="2019-08-05"/>
    <s v="Individual"/>
    <x v="3"/>
    <x v="30"/>
    <x v="30"/>
  </r>
  <r>
    <s v="OP-20180032"/>
    <x v="1"/>
    <x v="11"/>
    <x v="2"/>
    <s v="OnePlus Nord N10"/>
    <n v="19999"/>
    <n v="3"/>
    <n v="0.05"/>
    <n v="2999.85"/>
    <n v="56997.15"/>
    <n v="8848.65"/>
    <s v="2020-09-19"/>
    <s v="2020-09-25"/>
    <s v="Individual"/>
    <x v="4"/>
    <x v="31"/>
    <x v="31"/>
  </r>
  <r>
    <s v="OP-20180033"/>
    <x v="0"/>
    <x v="0"/>
    <x v="1"/>
    <s v="OnePlus TV 43Y1 Full HD"/>
    <n v="22999"/>
    <n v="1"/>
    <n v="0.08"/>
    <n v="1839.92"/>
    <n v="21159.08"/>
    <n v="3313.56"/>
    <s v="2019-10-18"/>
    <s v="2019-10-24"/>
    <s v="Retail Partner"/>
    <x v="3"/>
    <x v="32"/>
    <x v="32"/>
  </r>
  <r>
    <s v="OP-20180034"/>
    <x v="1"/>
    <x v="1"/>
    <x v="3"/>
    <s v="OnePlus 7T"/>
    <n v="37999"/>
    <n v="1"/>
    <n v="0"/>
    <n v="0"/>
    <n v="37999"/>
    <n v="7272.92"/>
    <s v="2020-10-09"/>
    <s v="2020-10-11"/>
    <s v="Individual"/>
    <x v="0"/>
    <x v="33"/>
    <x v="33"/>
  </r>
  <r>
    <s v="OP-20180035"/>
    <x v="1"/>
    <x v="12"/>
    <x v="3"/>
    <s v="OnePlus 8 Pro"/>
    <n v="54999"/>
    <n v="4"/>
    <n v="0.08"/>
    <n v="17599.68"/>
    <n v="202396.32"/>
    <n v="40884.78"/>
    <s v="2019-12-05"/>
    <s v="2019-12-11"/>
    <s v="Individual"/>
    <x v="1"/>
    <x v="34"/>
    <x v="34"/>
  </r>
  <r>
    <s v="OP-20180036"/>
    <x v="1"/>
    <x v="1"/>
    <x v="3"/>
    <s v="OnePlus 7T"/>
    <n v="37999"/>
    <n v="1"/>
    <n v="0.05"/>
    <n v="1899.95"/>
    <n v="36099.050000000003"/>
    <n v="5451.53"/>
    <s v="2020-12-06"/>
    <s v="2020-12-08"/>
    <s v="Individual"/>
    <x v="4"/>
    <x v="35"/>
    <x v="35"/>
  </r>
  <r>
    <s v="OP-20180037"/>
    <x v="1"/>
    <x v="15"/>
    <x v="0"/>
    <s v="OnePlus Warp Charge 30 Wireless Charger"/>
    <n v="3990"/>
    <n v="2"/>
    <n v="0.05"/>
    <n v="399"/>
    <n v="7581"/>
    <n v="1484.06"/>
    <s v="2018-12-23"/>
    <s v="2018-12-26"/>
    <s v="Individual"/>
    <x v="3"/>
    <x v="36"/>
    <x v="36"/>
  </r>
  <r>
    <s v="OP-20180038"/>
    <x v="1"/>
    <x v="15"/>
    <x v="1"/>
    <s v="OnePlus TV Q1 55-inch"/>
    <n v="69900"/>
    <n v="1"/>
    <n v="0.1"/>
    <n v="6990"/>
    <n v="62910"/>
    <n v="13780.01"/>
    <s v="2019-05-31"/>
    <s v="2019-06-03"/>
    <s v="Individual"/>
    <x v="3"/>
    <x v="37"/>
    <x v="29"/>
  </r>
  <r>
    <s v="OP-20180039"/>
    <x v="3"/>
    <x v="5"/>
    <x v="0"/>
    <s v="OnePlus Protective Case / Bumper"/>
    <n v="1290"/>
    <n v="1"/>
    <n v="0"/>
    <n v="0"/>
    <n v="1290"/>
    <n v="306.17"/>
    <s v="2020-12-02"/>
    <s v="2020-12-07"/>
    <s v="Individual"/>
    <x v="0"/>
    <x v="38"/>
    <x v="37"/>
  </r>
  <r>
    <s v="OP-20180040"/>
    <x v="0"/>
    <x v="0"/>
    <x v="1"/>
    <s v="OnePlus TV Q1 55-inch"/>
    <n v="69900"/>
    <n v="2"/>
    <n v="0.05"/>
    <n v="6990"/>
    <n v="132810"/>
    <n v="29043.78"/>
    <s v="2019-08-28"/>
    <s v="2019-08-31"/>
    <s v="Corporate"/>
    <x v="0"/>
    <x v="39"/>
    <x v="38"/>
  </r>
  <r>
    <s v="OP-20180041"/>
    <x v="1"/>
    <x v="11"/>
    <x v="1"/>
    <s v="OnePlus TV 32Y1 HD Ready"/>
    <n v="12999"/>
    <n v="1"/>
    <n v="0.12"/>
    <n v="1559.88"/>
    <n v="11439.12"/>
    <n v="1655.27"/>
    <s v="2019-12-30"/>
    <s v="2020-01-05"/>
    <s v="Retail Partner"/>
    <x v="1"/>
    <x v="40"/>
    <x v="39"/>
  </r>
  <r>
    <s v="OP-20180042"/>
    <x v="0"/>
    <x v="3"/>
    <x v="0"/>
    <s v="OnePlus Type-C Bullets Earphones"/>
    <n v="1490"/>
    <n v="2"/>
    <n v="0"/>
    <n v="0"/>
    <n v="2980"/>
    <n v="506.61"/>
    <s v="2018-04-06"/>
    <s v="2018-04-13"/>
    <s v="Individual"/>
    <x v="0"/>
    <x v="41"/>
    <x v="40"/>
  </r>
  <r>
    <s v="OP-20180043"/>
    <x v="2"/>
    <x v="16"/>
    <x v="3"/>
    <s v="OnePlus 7"/>
    <n v="32999"/>
    <n v="1"/>
    <n v="0.12"/>
    <n v="3959.88"/>
    <n v="29039.119999999999"/>
    <n v="5826.13"/>
    <s v="2019-12-30"/>
    <s v="2020-01-06"/>
    <s v="Individual"/>
    <x v="0"/>
    <x v="40"/>
    <x v="41"/>
  </r>
  <r>
    <s v="OP-20180044"/>
    <x v="1"/>
    <x v="6"/>
    <x v="2"/>
    <s v="OnePlus Nord"/>
    <n v="24999"/>
    <n v="3"/>
    <n v="0.05"/>
    <n v="3749.85"/>
    <n v="71247.149999999994"/>
    <n v="18154.919999999998"/>
    <s v="2020-01-05"/>
    <s v="2020-01-10"/>
    <s v="Individual"/>
    <x v="3"/>
    <x v="42"/>
    <x v="42"/>
  </r>
  <r>
    <s v="OP-20180045"/>
    <x v="0"/>
    <x v="3"/>
    <x v="4"/>
    <s v="OnePlus Bullets Wireless Z"/>
    <n v="1999"/>
    <n v="1"/>
    <n v="0.08"/>
    <n v="159.91999999999999"/>
    <n v="1839.08"/>
    <n v="423.51"/>
    <s v="2019-07-23"/>
    <s v="2019-07-29"/>
    <s v="Retail Partner"/>
    <x v="4"/>
    <x v="43"/>
    <x v="43"/>
  </r>
  <r>
    <s v="OP-20180046"/>
    <x v="3"/>
    <x v="10"/>
    <x v="3"/>
    <s v="OnePlus 7T"/>
    <n v="37999"/>
    <n v="2"/>
    <n v="0.05"/>
    <n v="3799.9"/>
    <n v="72198.100000000006"/>
    <n v="16222.9"/>
    <s v="2020-01-21"/>
    <s v="2020-01-26"/>
    <s v="Corporate"/>
    <x v="2"/>
    <x v="44"/>
    <x v="44"/>
  </r>
  <r>
    <s v="OP-20180047"/>
    <x v="3"/>
    <x v="8"/>
    <x v="3"/>
    <s v="OnePlus 8 Pro"/>
    <n v="54999"/>
    <n v="1"/>
    <n v="0.1"/>
    <n v="5499.9"/>
    <n v="49499.1"/>
    <n v="11124.88"/>
    <s v="2018-01-29"/>
    <s v="2018-02-04"/>
    <s v="Individual"/>
    <x v="3"/>
    <x v="45"/>
    <x v="45"/>
  </r>
  <r>
    <s v="OP-20180048"/>
    <x v="3"/>
    <x v="5"/>
    <x v="0"/>
    <s v="OnePlus Type-C Bullets Earphones"/>
    <n v="1490"/>
    <n v="4"/>
    <n v="0.15"/>
    <n v="894"/>
    <n v="5066"/>
    <n v="1167.23"/>
    <s v="2020-12-29"/>
    <s v="2021-01-03"/>
    <s v="Individual"/>
    <x v="3"/>
    <x v="46"/>
    <x v="46"/>
  </r>
  <r>
    <s v="OP-20180049"/>
    <x v="0"/>
    <x v="3"/>
    <x v="2"/>
    <s v="OnePlus Nord N10"/>
    <n v="19999"/>
    <n v="3"/>
    <n v="0"/>
    <n v="0"/>
    <n v="59997"/>
    <n v="11946.3"/>
    <s v="2019-10-15"/>
    <s v="2019-10-18"/>
    <s v="Individual"/>
    <x v="0"/>
    <x v="47"/>
    <x v="47"/>
  </r>
  <r>
    <s v="OP-20180050"/>
    <x v="1"/>
    <x v="6"/>
    <x v="2"/>
    <s v="OnePlus Nord"/>
    <n v="24999"/>
    <n v="2"/>
    <n v="0.08"/>
    <n v="3999.84"/>
    <n v="45998.16"/>
    <n v="7750.73"/>
    <s v="2019-05-20"/>
    <s v="2019-05-25"/>
    <s v="Individual"/>
    <x v="5"/>
    <x v="48"/>
    <x v="48"/>
  </r>
  <r>
    <s v="OP-20180051"/>
    <x v="1"/>
    <x v="15"/>
    <x v="4"/>
    <s v="OnePlus Bullets Wireless Z"/>
    <n v="1999"/>
    <n v="5"/>
    <n v="0.08"/>
    <n v="799.6"/>
    <n v="9195.4"/>
    <n v="1643.42"/>
    <s v="2018-03-21"/>
    <s v="2018-03-28"/>
    <s v="Retail Partner"/>
    <x v="4"/>
    <x v="49"/>
    <x v="49"/>
  </r>
  <r>
    <s v="OP-20180052"/>
    <x v="1"/>
    <x v="1"/>
    <x v="1"/>
    <s v="OnePlus TV 43Y1 Full HD"/>
    <n v="22999"/>
    <n v="1"/>
    <n v="0"/>
    <n v="0"/>
    <n v="22999"/>
    <n v="3818.23"/>
    <s v="2019-10-18"/>
    <s v="2019-10-20"/>
    <s v="Student"/>
    <x v="4"/>
    <x v="32"/>
    <x v="50"/>
  </r>
  <r>
    <s v="OP-20180053"/>
    <x v="1"/>
    <x v="11"/>
    <x v="1"/>
    <s v="OnePlus TV 32Y1 HD Ready"/>
    <n v="12999"/>
    <n v="1"/>
    <n v="0"/>
    <n v="0"/>
    <n v="12999"/>
    <n v="2543.17"/>
    <s v="2019-11-29"/>
    <s v="2019-12-04"/>
    <s v="Individual"/>
    <x v="0"/>
    <x v="50"/>
    <x v="51"/>
  </r>
  <r>
    <s v="OP-20180054"/>
    <x v="3"/>
    <x v="17"/>
    <x v="0"/>
    <s v="OnePlus Type-C Bullets Earphones"/>
    <n v="1490"/>
    <n v="1"/>
    <n v="0.05"/>
    <n v="74.5"/>
    <n v="1415.5"/>
    <n v="300.56"/>
    <s v="2020-01-22"/>
    <s v="2020-01-28"/>
    <s v="Individual"/>
    <x v="0"/>
    <x v="51"/>
    <x v="52"/>
  </r>
  <r>
    <s v="OP-20180055"/>
    <x v="3"/>
    <x v="17"/>
    <x v="3"/>
    <s v="OnePlus 7T"/>
    <n v="37999"/>
    <n v="2"/>
    <n v="0.05"/>
    <n v="3799.9"/>
    <n v="72198.100000000006"/>
    <n v="18188.68"/>
    <s v="2020-05-26"/>
    <s v="2020-06-01"/>
    <s v="Individual"/>
    <x v="1"/>
    <x v="52"/>
    <x v="53"/>
  </r>
  <r>
    <s v="OP-20180056"/>
    <x v="2"/>
    <x v="16"/>
    <x v="4"/>
    <s v="OnePlus Bullets Wireless 2"/>
    <n v="5990"/>
    <n v="1"/>
    <n v="0.05"/>
    <n v="299.5"/>
    <n v="5690.5"/>
    <n v="1458.99"/>
    <s v="2020-03-05"/>
    <s v="2020-03-07"/>
    <s v="Student"/>
    <x v="1"/>
    <x v="53"/>
    <x v="54"/>
  </r>
  <r>
    <s v="OP-20180057"/>
    <x v="0"/>
    <x v="2"/>
    <x v="1"/>
    <s v="OnePlus TV 32Y1 HD Ready"/>
    <n v="12999"/>
    <n v="1"/>
    <n v="0.1"/>
    <n v="1299.9000000000001"/>
    <n v="11699.1"/>
    <n v="2779.1"/>
    <s v="2020-02-10"/>
    <s v="2020-02-16"/>
    <s v="Individual"/>
    <x v="3"/>
    <x v="54"/>
    <x v="55"/>
  </r>
  <r>
    <s v="OP-20180058"/>
    <x v="2"/>
    <x v="7"/>
    <x v="0"/>
    <s v="OnePlus Type-C Bullets Earphones"/>
    <n v="1490"/>
    <n v="1"/>
    <n v="0"/>
    <n v="0"/>
    <n v="1490"/>
    <n v="253.56"/>
    <s v="2019-11-16"/>
    <s v="2019-11-22"/>
    <s v="Individual"/>
    <x v="5"/>
    <x v="55"/>
    <x v="56"/>
  </r>
  <r>
    <s v="OP-20180059"/>
    <x v="2"/>
    <x v="4"/>
    <x v="3"/>
    <s v="OnePlus 8 Pro"/>
    <n v="54999"/>
    <n v="1"/>
    <n v="0.05"/>
    <n v="2749.95"/>
    <n v="52249.05"/>
    <n v="10300.65"/>
    <s v="2020-02-10"/>
    <s v="2020-02-14"/>
    <s v="Individual"/>
    <x v="2"/>
    <x v="54"/>
    <x v="57"/>
  </r>
  <r>
    <s v="OP-20180060"/>
    <x v="3"/>
    <x v="17"/>
    <x v="0"/>
    <s v="OnePlus Type-C Bullets Earphones"/>
    <n v="1490"/>
    <n v="1"/>
    <n v="0"/>
    <n v="0"/>
    <n v="1490"/>
    <n v="343.62"/>
    <s v="2020-05-02"/>
    <s v="2020-05-09"/>
    <s v="Corporate"/>
    <x v="0"/>
    <x v="56"/>
    <x v="58"/>
  </r>
  <r>
    <s v="OP-20180061"/>
    <x v="1"/>
    <x v="11"/>
    <x v="3"/>
    <s v="OnePlus 6T"/>
    <n v="37999"/>
    <n v="1"/>
    <n v="0.08"/>
    <n v="3039.92"/>
    <n v="34959.08"/>
    <n v="6539.77"/>
    <s v="2020-05-08"/>
    <s v="2020-05-12"/>
    <s v="Student"/>
    <x v="0"/>
    <x v="57"/>
    <x v="59"/>
  </r>
  <r>
    <s v="OP-20180062"/>
    <x v="0"/>
    <x v="14"/>
    <x v="2"/>
    <s v="OnePlus Nord N10"/>
    <n v="19999"/>
    <n v="3"/>
    <n v="0.12"/>
    <n v="7199.64"/>
    <n v="52797.36"/>
    <n v="8323.44"/>
    <s v="2018-07-03"/>
    <s v="2018-07-05"/>
    <s v="Individual"/>
    <x v="0"/>
    <x v="58"/>
    <x v="60"/>
  </r>
  <r>
    <s v="OP-20180063"/>
    <x v="0"/>
    <x v="13"/>
    <x v="3"/>
    <s v="OnePlus 7T Pro"/>
    <n v="53999"/>
    <n v="1"/>
    <n v="0.05"/>
    <n v="2699.95"/>
    <n v="51299.05"/>
    <n v="11081.01"/>
    <s v="2018-04-21"/>
    <s v="2018-04-23"/>
    <s v="Individual"/>
    <x v="3"/>
    <x v="59"/>
    <x v="61"/>
  </r>
  <r>
    <s v="OP-20180064"/>
    <x v="0"/>
    <x v="14"/>
    <x v="3"/>
    <s v="OnePlus 8 Pro"/>
    <n v="54999"/>
    <n v="2"/>
    <n v="0.05"/>
    <n v="5499.9"/>
    <n v="104498.1"/>
    <n v="25593.48"/>
    <s v="2019-10-29"/>
    <s v="2019-11-04"/>
    <s v="Retail Partner"/>
    <x v="3"/>
    <x v="60"/>
    <x v="62"/>
  </r>
  <r>
    <s v="OP-20180065"/>
    <x v="1"/>
    <x v="6"/>
    <x v="3"/>
    <s v="OnePlus 7T"/>
    <n v="37999"/>
    <n v="1"/>
    <n v="0.05"/>
    <n v="1899.95"/>
    <n v="36099.050000000003"/>
    <n v="5191.6400000000003"/>
    <s v="2020-04-17"/>
    <s v="2020-04-19"/>
    <s v="Individual"/>
    <x v="1"/>
    <x v="61"/>
    <x v="63"/>
  </r>
  <r>
    <s v="OP-20180066"/>
    <x v="3"/>
    <x v="18"/>
    <x v="4"/>
    <s v="OnePlus Buds Z"/>
    <n v="2999"/>
    <n v="1"/>
    <n v="0.05"/>
    <n v="149.94999999999999"/>
    <n v="2849.05"/>
    <n v="430.42"/>
    <s v="2018-02-16"/>
    <s v="2018-02-18"/>
    <s v="Corporate"/>
    <x v="1"/>
    <x v="62"/>
    <x v="64"/>
  </r>
  <r>
    <s v="OP-20180067"/>
    <x v="1"/>
    <x v="6"/>
    <x v="0"/>
    <s v="OnePlus Type-C Bullets Earphones"/>
    <n v="1490"/>
    <n v="1"/>
    <n v="0.1"/>
    <n v="149"/>
    <n v="1341"/>
    <n v="308.14999999999998"/>
    <s v="2019-12-20"/>
    <s v="2019-12-27"/>
    <s v="Individual"/>
    <x v="3"/>
    <x v="63"/>
    <x v="65"/>
  </r>
  <r>
    <s v="OP-20180068"/>
    <x v="0"/>
    <x v="13"/>
    <x v="4"/>
    <s v="OnePlus Buds"/>
    <n v="4990"/>
    <n v="1"/>
    <n v="0"/>
    <n v="0"/>
    <n v="4990"/>
    <n v="778.31"/>
    <s v="2020-10-23"/>
    <s v="2020-10-30"/>
    <s v="Corporate"/>
    <x v="0"/>
    <x v="64"/>
    <x v="66"/>
  </r>
  <r>
    <s v="OP-20180069"/>
    <x v="3"/>
    <x v="17"/>
    <x v="1"/>
    <s v="OnePlus TV Q1 55-inch"/>
    <n v="69900"/>
    <n v="1"/>
    <n v="0.05"/>
    <n v="3495"/>
    <n v="66405"/>
    <n v="12303.13"/>
    <s v="2019-12-15"/>
    <s v="2019-12-17"/>
    <s v="Student"/>
    <x v="0"/>
    <x v="65"/>
    <x v="67"/>
  </r>
  <r>
    <s v="OP-20180070"/>
    <x v="0"/>
    <x v="2"/>
    <x v="0"/>
    <s v="OnePlus Type-C Bullets Earphones"/>
    <n v="1490"/>
    <n v="1"/>
    <n v="0.05"/>
    <n v="74.5"/>
    <n v="1415.5"/>
    <n v="258.49"/>
    <s v="2018-08-21"/>
    <s v="2018-08-27"/>
    <s v="Individual"/>
    <x v="3"/>
    <x v="66"/>
    <x v="68"/>
  </r>
  <r>
    <s v="OP-20180071"/>
    <x v="2"/>
    <x v="16"/>
    <x v="4"/>
    <s v="OnePlus Bullets Wireless Z"/>
    <n v="1999"/>
    <n v="1"/>
    <n v="0.05"/>
    <n v="99.95"/>
    <n v="1899.05"/>
    <n v="348.61"/>
    <s v="2018-11-11"/>
    <s v="2018-11-17"/>
    <s v="Individual"/>
    <x v="4"/>
    <x v="67"/>
    <x v="69"/>
  </r>
  <r>
    <s v="OP-20180072"/>
    <x v="1"/>
    <x v="6"/>
    <x v="3"/>
    <s v="OnePlus 7T Pro"/>
    <n v="53999"/>
    <n v="1"/>
    <n v="0.05"/>
    <n v="2699.95"/>
    <n v="51299.05"/>
    <n v="12419.4"/>
    <s v="2018-12-16"/>
    <s v="2018-12-18"/>
    <s v="Individual"/>
    <x v="1"/>
    <x v="68"/>
    <x v="70"/>
  </r>
  <r>
    <s v="OP-20180073"/>
    <x v="0"/>
    <x v="14"/>
    <x v="3"/>
    <s v="OnePlus 7T Pro"/>
    <n v="53999"/>
    <n v="1"/>
    <n v="0.12"/>
    <n v="6479.88"/>
    <n v="47519.12"/>
    <n v="11588.05"/>
    <s v="2019-10-08"/>
    <s v="2019-10-15"/>
    <s v="Individual"/>
    <x v="0"/>
    <x v="69"/>
    <x v="71"/>
  </r>
  <r>
    <s v="OP-20180074"/>
    <x v="2"/>
    <x v="16"/>
    <x v="3"/>
    <s v="OnePlus 6T"/>
    <n v="37999"/>
    <n v="1"/>
    <n v="0.08"/>
    <n v="3039.92"/>
    <n v="34959.08"/>
    <n v="6068.81"/>
    <s v="2018-11-22"/>
    <s v="2018-11-25"/>
    <s v="Individual"/>
    <x v="1"/>
    <x v="70"/>
    <x v="72"/>
  </r>
  <r>
    <s v="OP-20180075"/>
    <x v="0"/>
    <x v="2"/>
    <x v="4"/>
    <s v="OnePlus Bullets Wireless Z"/>
    <n v="1999"/>
    <n v="1"/>
    <n v="0.08"/>
    <n v="159.91999999999999"/>
    <n v="1839.08"/>
    <n v="321.17"/>
    <s v="2018-05-19"/>
    <s v="2018-05-24"/>
    <s v="Individual"/>
    <x v="3"/>
    <x v="71"/>
    <x v="73"/>
  </r>
  <r>
    <s v="OP-20180076"/>
    <x v="0"/>
    <x v="13"/>
    <x v="3"/>
    <s v="OnePlus 7T"/>
    <n v="37999"/>
    <n v="1"/>
    <n v="0.15"/>
    <n v="5699.85"/>
    <n v="32299.15"/>
    <n v="5771.29"/>
    <s v="2018-11-17"/>
    <s v="2018-11-23"/>
    <s v="Individual"/>
    <x v="0"/>
    <x v="72"/>
    <x v="74"/>
  </r>
  <r>
    <s v="OP-20180077"/>
    <x v="0"/>
    <x v="3"/>
    <x v="0"/>
    <s v="OnePlus Type-C Bullets Earphones"/>
    <n v="1490"/>
    <n v="3"/>
    <n v="0.08"/>
    <n v="357.6"/>
    <n v="4112.3999999999996"/>
    <n v="777.33"/>
    <s v="2019-01-11"/>
    <s v="2019-01-15"/>
    <s v="Retail Partner"/>
    <x v="0"/>
    <x v="73"/>
    <x v="75"/>
  </r>
  <r>
    <s v="OP-20180078"/>
    <x v="1"/>
    <x v="11"/>
    <x v="3"/>
    <s v="OnePlus 8 Pro"/>
    <n v="54999"/>
    <n v="3"/>
    <n v="0.1"/>
    <n v="16499.7"/>
    <n v="148497.29999999999"/>
    <n v="35037.11"/>
    <s v="2019-12-26"/>
    <s v="2020-01-01"/>
    <s v="Student"/>
    <x v="3"/>
    <x v="74"/>
    <x v="76"/>
  </r>
  <r>
    <s v="OP-20180079"/>
    <x v="0"/>
    <x v="14"/>
    <x v="4"/>
    <s v="OnePlus Buds"/>
    <n v="4990"/>
    <n v="1"/>
    <n v="0.08"/>
    <n v="399.2"/>
    <n v="4590.8"/>
    <n v="891.69"/>
    <s v="2019-09-08"/>
    <s v="2019-09-15"/>
    <s v="Student"/>
    <x v="3"/>
    <x v="75"/>
    <x v="77"/>
  </r>
  <r>
    <s v="OP-20180080"/>
    <x v="0"/>
    <x v="2"/>
    <x v="0"/>
    <s v="OnePlus Type-C Bullets Earphones"/>
    <n v="1490"/>
    <n v="3"/>
    <n v="0.05"/>
    <n v="223.5"/>
    <n v="4246.5"/>
    <n v="871.49"/>
    <s v="2018-04-14"/>
    <s v="2018-04-18"/>
    <s v="Individual"/>
    <x v="1"/>
    <x v="76"/>
    <x v="78"/>
  </r>
  <r>
    <s v="OP-20180081"/>
    <x v="0"/>
    <x v="3"/>
    <x v="3"/>
    <s v="OnePlus 8 Pro"/>
    <n v="54999"/>
    <n v="2"/>
    <n v="0"/>
    <n v="0"/>
    <n v="109998"/>
    <n v="26997.41"/>
    <s v="2019-04-23"/>
    <s v="2019-04-27"/>
    <s v="Corporate"/>
    <x v="0"/>
    <x v="77"/>
    <x v="79"/>
  </r>
  <r>
    <s v="OP-20180082"/>
    <x v="0"/>
    <x v="0"/>
    <x v="3"/>
    <s v="OnePlus 6"/>
    <n v="34999"/>
    <n v="1"/>
    <n v="0.08"/>
    <n v="2799.92"/>
    <n v="32199.08"/>
    <n v="7453.93"/>
    <s v="2020-05-14"/>
    <s v="2020-05-21"/>
    <s v="Student"/>
    <x v="0"/>
    <x v="78"/>
    <x v="80"/>
  </r>
  <r>
    <s v="OP-20180083"/>
    <x v="2"/>
    <x v="9"/>
    <x v="0"/>
    <s v="OnePlus Warp Charge 30 Power Adapter"/>
    <n v="1990"/>
    <n v="2"/>
    <n v="0"/>
    <n v="0"/>
    <n v="3980"/>
    <n v="666.69"/>
    <s v="2020-04-23"/>
    <s v="2020-04-29"/>
    <s v="Corporate"/>
    <x v="3"/>
    <x v="79"/>
    <x v="81"/>
  </r>
  <r>
    <s v="OP-20180084"/>
    <x v="2"/>
    <x v="9"/>
    <x v="4"/>
    <s v="OnePlus Bullets Wireless 2"/>
    <n v="5990"/>
    <n v="1"/>
    <n v="0.1"/>
    <n v="599"/>
    <n v="5391"/>
    <n v="1375.18"/>
    <s v="2020-05-21"/>
    <s v="2020-05-28"/>
    <s v="Individual"/>
    <x v="1"/>
    <x v="80"/>
    <x v="82"/>
  </r>
  <r>
    <s v="OP-20180085"/>
    <x v="0"/>
    <x v="3"/>
    <x v="4"/>
    <s v="OnePlus Bullets Wireless Z"/>
    <n v="1999"/>
    <n v="3"/>
    <n v="0"/>
    <n v="0"/>
    <n v="5997"/>
    <n v="912.12"/>
    <s v="2020-09-19"/>
    <s v="2020-09-24"/>
    <s v="Individual"/>
    <x v="0"/>
    <x v="31"/>
    <x v="83"/>
  </r>
  <r>
    <s v="OP-20180086"/>
    <x v="3"/>
    <x v="8"/>
    <x v="3"/>
    <s v="OnePlus 7T"/>
    <n v="37999"/>
    <n v="2"/>
    <n v="0"/>
    <n v="0"/>
    <n v="75998"/>
    <n v="15895.33"/>
    <s v="2020-10-10"/>
    <s v="2020-10-14"/>
    <s v="Corporate"/>
    <x v="4"/>
    <x v="81"/>
    <x v="84"/>
  </r>
  <r>
    <s v="OP-20180087"/>
    <x v="3"/>
    <x v="18"/>
    <x v="4"/>
    <s v="OnePlus Buds Z"/>
    <n v="2999"/>
    <n v="1"/>
    <n v="0"/>
    <n v="0"/>
    <n v="2999"/>
    <n v="486.91"/>
    <s v="2020-09-09"/>
    <s v="2020-09-11"/>
    <s v="Individual"/>
    <x v="0"/>
    <x v="82"/>
    <x v="85"/>
  </r>
  <r>
    <s v="OP-20180088"/>
    <x v="1"/>
    <x v="6"/>
    <x v="0"/>
    <s v="OnePlus Warp Charge 30 Power Adapter"/>
    <n v="1990"/>
    <n v="1"/>
    <n v="0.05"/>
    <n v="99.5"/>
    <n v="1890.5"/>
    <n v="446.81"/>
    <s v="2018-04-27"/>
    <s v="2018-04-30"/>
    <s v="Individual"/>
    <x v="1"/>
    <x v="83"/>
    <x v="86"/>
  </r>
  <r>
    <s v="OP-20180089"/>
    <x v="0"/>
    <x v="3"/>
    <x v="3"/>
    <s v="OnePlus 7T Pro"/>
    <n v="53999"/>
    <n v="1"/>
    <n v="0.05"/>
    <n v="2699.95"/>
    <n v="51299.05"/>
    <n v="11721.84"/>
    <s v="2019-10-02"/>
    <s v="2019-10-06"/>
    <s v="Individual"/>
    <x v="4"/>
    <x v="84"/>
    <x v="87"/>
  </r>
  <r>
    <s v="OP-20180090"/>
    <x v="1"/>
    <x v="12"/>
    <x v="3"/>
    <s v="OnePlus 8"/>
    <n v="41999"/>
    <n v="1"/>
    <n v="0"/>
    <n v="0"/>
    <n v="41999"/>
    <n v="7449.65"/>
    <s v="2018-10-12"/>
    <s v="2018-10-16"/>
    <s v="Individual"/>
    <x v="0"/>
    <x v="85"/>
    <x v="88"/>
  </r>
  <r>
    <s v="OP-20180091"/>
    <x v="2"/>
    <x v="16"/>
    <x v="1"/>
    <s v="OnePlus TV 43Y1 Full HD"/>
    <n v="22999"/>
    <n v="1"/>
    <n v="0.08"/>
    <n v="1839.92"/>
    <n v="21159.08"/>
    <n v="5147.49"/>
    <s v="2020-12-22"/>
    <s v="2020-12-28"/>
    <s v="Individual"/>
    <x v="0"/>
    <x v="86"/>
    <x v="89"/>
  </r>
  <r>
    <s v="OP-20180092"/>
    <x v="0"/>
    <x v="3"/>
    <x v="1"/>
    <s v="OnePlus TV Q1 55-inch"/>
    <n v="69900"/>
    <n v="1"/>
    <n v="0.05"/>
    <n v="3495"/>
    <n v="66405"/>
    <n v="14276.88"/>
    <s v="2018-10-13"/>
    <s v="2018-10-17"/>
    <s v="Individual"/>
    <x v="3"/>
    <x v="87"/>
    <x v="90"/>
  </r>
  <r>
    <s v="OP-20180093"/>
    <x v="0"/>
    <x v="13"/>
    <x v="0"/>
    <s v="OnePlus Type-C Bullets Earphones"/>
    <n v="1490"/>
    <n v="1"/>
    <n v="0.08"/>
    <n v="119.2"/>
    <n v="1370.8"/>
    <n v="217.45"/>
    <s v="2020-07-13"/>
    <s v="2020-07-17"/>
    <s v="Individual"/>
    <x v="0"/>
    <x v="88"/>
    <x v="91"/>
  </r>
  <r>
    <s v="OP-20180094"/>
    <x v="2"/>
    <x v="9"/>
    <x v="3"/>
    <s v="OnePlus 6"/>
    <n v="34999"/>
    <n v="1"/>
    <n v="0"/>
    <n v="0"/>
    <n v="34999"/>
    <n v="7906.86"/>
    <s v="2020-10-28"/>
    <s v="2020-10-30"/>
    <s v="Individual"/>
    <x v="0"/>
    <x v="89"/>
    <x v="66"/>
  </r>
  <r>
    <s v="OP-20180095"/>
    <x v="1"/>
    <x v="6"/>
    <x v="3"/>
    <s v="OnePlus 8 Pro"/>
    <n v="54999"/>
    <n v="1"/>
    <n v="0.1"/>
    <n v="5499.9"/>
    <n v="49499.1"/>
    <n v="7990.41"/>
    <s v="2020-10-03"/>
    <s v="2020-10-06"/>
    <s v="Student"/>
    <x v="4"/>
    <x v="90"/>
    <x v="92"/>
  </r>
  <r>
    <s v="OP-20180096"/>
    <x v="2"/>
    <x v="7"/>
    <x v="0"/>
    <s v="OnePlus Warp Charge 30 Wireless Charger"/>
    <n v="3990"/>
    <n v="1"/>
    <n v="0.08"/>
    <n v="319.2"/>
    <n v="3670.8"/>
    <n v="604.21"/>
    <s v="2020-01-05"/>
    <s v="2020-01-08"/>
    <s v="Individual"/>
    <x v="0"/>
    <x v="42"/>
    <x v="93"/>
  </r>
  <r>
    <s v="OP-20180097"/>
    <x v="1"/>
    <x v="1"/>
    <x v="0"/>
    <s v="OnePlus Warp Charge 30 Wireless Charger"/>
    <n v="3990"/>
    <n v="1"/>
    <n v="0.08"/>
    <n v="319.2"/>
    <n v="3670.8"/>
    <n v="699.55"/>
    <s v="2019-05-29"/>
    <s v="2019-05-31"/>
    <s v="Student"/>
    <x v="0"/>
    <x v="91"/>
    <x v="94"/>
  </r>
  <r>
    <s v="OP-20180098"/>
    <x v="1"/>
    <x v="15"/>
    <x v="3"/>
    <s v="OnePlus 7"/>
    <n v="32999"/>
    <n v="1"/>
    <n v="0.05"/>
    <n v="1649.95"/>
    <n v="31349.05"/>
    <n v="6736.84"/>
    <s v="2020-07-22"/>
    <s v="2020-07-29"/>
    <s v="Individual"/>
    <x v="5"/>
    <x v="92"/>
    <x v="95"/>
  </r>
  <r>
    <s v="OP-20180099"/>
    <x v="1"/>
    <x v="15"/>
    <x v="4"/>
    <s v="OnePlus Bullets Wireless Z"/>
    <n v="1999"/>
    <n v="1"/>
    <n v="0.1"/>
    <n v="199.9"/>
    <n v="1799.1"/>
    <n v="357.11"/>
    <s v="2018-05-08"/>
    <s v="2018-05-10"/>
    <s v="Individual"/>
    <x v="1"/>
    <x v="93"/>
    <x v="96"/>
  </r>
  <r>
    <s v="OP-20180100"/>
    <x v="2"/>
    <x v="4"/>
    <x v="4"/>
    <s v="OnePlus Buds"/>
    <n v="4990"/>
    <n v="1"/>
    <n v="0"/>
    <n v="0"/>
    <n v="4990"/>
    <n v="1084.8599999999999"/>
    <s v="2019-05-09"/>
    <s v="2019-05-14"/>
    <s v="Individual"/>
    <x v="4"/>
    <x v="94"/>
    <x v="97"/>
  </r>
  <r>
    <s v="OP-20180101"/>
    <x v="2"/>
    <x v="19"/>
    <x v="4"/>
    <s v="OnePlus Bullets Wireless 2"/>
    <n v="5990"/>
    <n v="3"/>
    <n v="0.05"/>
    <n v="898.5"/>
    <n v="17071.5"/>
    <n v="4059.71"/>
    <s v="2018-02-10"/>
    <s v="2018-02-17"/>
    <s v="Individual"/>
    <x v="1"/>
    <x v="95"/>
    <x v="98"/>
  </r>
  <r>
    <s v="OP-20180102"/>
    <x v="0"/>
    <x v="14"/>
    <x v="1"/>
    <s v="OnePlus TV 32Y1 HD Ready"/>
    <n v="12999"/>
    <n v="1"/>
    <n v="0"/>
    <n v="0"/>
    <n v="12999"/>
    <n v="3223.78"/>
    <s v="2019-10-08"/>
    <s v="2019-10-12"/>
    <s v="Individual"/>
    <x v="3"/>
    <x v="69"/>
    <x v="99"/>
  </r>
  <r>
    <s v="OP-20180103"/>
    <x v="2"/>
    <x v="4"/>
    <x v="4"/>
    <s v="OnePlus Buds"/>
    <n v="4990"/>
    <n v="3"/>
    <n v="0.05"/>
    <n v="748.5"/>
    <n v="14221.5"/>
    <n v="3306.63"/>
    <s v="2018-05-10"/>
    <s v="2018-05-15"/>
    <s v="Retail Partner"/>
    <x v="0"/>
    <x v="96"/>
    <x v="100"/>
  </r>
  <r>
    <s v="OP-20180104"/>
    <x v="1"/>
    <x v="1"/>
    <x v="1"/>
    <s v="OnePlus TV 32Y1 HD Ready"/>
    <n v="12999"/>
    <n v="1"/>
    <n v="0.12"/>
    <n v="1559.88"/>
    <n v="11439.12"/>
    <n v="2591.92"/>
    <s v="2020-01-14"/>
    <s v="2020-01-18"/>
    <s v="Retail Partner"/>
    <x v="1"/>
    <x v="97"/>
    <x v="101"/>
  </r>
  <r>
    <s v="OP-20180105"/>
    <x v="3"/>
    <x v="8"/>
    <x v="3"/>
    <s v="OnePlus 6"/>
    <n v="34999"/>
    <n v="1"/>
    <n v="0.05"/>
    <n v="1749.95"/>
    <n v="33249.050000000003"/>
    <n v="5301.28"/>
    <s v="2020-08-15"/>
    <s v="2020-08-19"/>
    <s v="Individual"/>
    <x v="0"/>
    <x v="2"/>
    <x v="102"/>
  </r>
  <r>
    <s v="OP-20180106"/>
    <x v="2"/>
    <x v="19"/>
    <x v="2"/>
    <s v="OnePlus Nord"/>
    <n v="24999"/>
    <n v="1"/>
    <n v="0.08"/>
    <n v="1999.92"/>
    <n v="22999.08"/>
    <n v="4587.37"/>
    <s v="2020-07-27"/>
    <s v="2020-07-30"/>
    <s v="Individual"/>
    <x v="0"/>
    <x v="98"/>
    <x v="103"/>
  </r>
  <r>
    <s v="OP-20180107"/>
    <x v="1"/>
    <x v="11"/>
    <x v="4"/>
    <s v="OnePlus Bullets Wireless Z"/>
    <n v="1999"/>
    <n v="4"/>
    <n v="0"/>
    <n v="0"/>
    <n v="7996"/>
    <n v="1218.3599999999999"/>
    <s v="2020-12-03"/>
    <s v="2020-12-07"/>
    <s v="Student"/>
    <x v="0"/>
    <x v="99"/>
    <x v="37"/>
  </r>
  <r>
    <s v="OP-20180108"/>
    <x v="3"/>
    <x v="18"/>
    <x v="0"/>
    <s v="OnePlus Warp Charge 30 Power Adapter"/>
    <n v="1990"/>
    <n v="1"/>
    <n v="0.12"/>
    <n v="238.8"/>
    <n v="1751.2"/>
    <n v="404.54"/>
    <s v="2019-10-23"/>
    <s v="2019-10-25"/>
    <s v="Corporate"/>
    <x v="3"/>
    <x v="100"/>
    <x v="104"/>
  </r>
  <r>
    <s v="OP-20180109"/>
    <x v="2"/>
    <x v="16"/>
    <x v="0"/>
    <s v="OnePlus Protective Case / Bumper"/>
    <n v="1290"/>
    <n v="1"/>
    <n v="0"/>
    <n v="0"/>
    <n v="1290"/>
    <n v="333.49"/>
    <s v="2018-02-16"/>
    <s v="2018-02-19"/>
    <s v="Individual"/>
    <x v="4"/>
    <x v="62"/>
    <x v="105"/>
  </r>
  <r>
    <s v="OP-20180110"/>
    <x v="0"/>
    <x v="13"/>
    <x v="3"/>
    <s v="OnePlus 8"/>
    <n v="41999"/>
    <n v="1"/>
    <n v="0.08"/>
    <n v="3359.92"/>
    <n v="38639.08"/>
    <n v="6788.19"/>
    <s v="2019-11-19"/>
    <s v="2019-11-22"/>
    <s v="Individual"/>
    <x v="3"/>
    <x v="101"/>
    <x v="56"/>
  </r>
  <r>
    <s v="OP-20180111"/>
    <x v="2"/>
    <x v="9"/>
    <x v="3"/>
    <s v="OnePlus 8"/>
    <n v="41999"/>
    <n v="1"/>
    <n v="0.05"/>
    <n v="2099.9499999999998"/>
    <n v="39899.050000000003"/>
    <n v="8671.8799999999992"/>
    <s v="2020-09-21"/>
    <s v="2020-09-26"/>
    <s v="Individual"/>
    <x v="0"/>
    <x v="102"/>
    <x v="106"/>
  </r>
  <r>
    <s v="OP-20180112"/>
    <x v="2"/>
    <x v="4"/>
    <x v="4"/>
    <s v="OnePlus Bullets Wireless Z"/>
    <n v="1999"/>
    <n v="1"/>
    <n v="0.1"/>
    <n v="199.9"/>
    <n v="1799.1"/>
    <n v="368.11"/>
    <s v="2020-09-08"/>
    <s v="2020-09-10"/>
    <s v="Corporate"/>
    <x v="1"/>
    <x v="103"/>
    <x v="107"/>
  </r>
  <r>
    <s v="OP-20180113"/>
    <x v="0"/>
    <x v="14"/>
    <x v="3"/>
    <s v="OnePlus 6T"/>
    <n v="37999"/>
    <n v="1"/>
    <n v="0.1"/>
    <n v="3799.9"/>
    <n v="34199.1"/>
    <n v="4875.16"/>
    <s v="2020-01-29"/>
    <s v="2020-02-04"/>
    <s v="Individual"/>
    <x v="4"/>
    <x v="28"/>
    <x v="108"/>
  </r>
  <r>
    <s v="OP-20180114"/>
    <x v="2"/>
    <x v="9"/>
    <x v="0"/>
    <s v="OnePlus Type-C Bullets Earphones"/>
    <n v="1490"/>
    <n v="1"/>
    <n v="0.05"/>
    <n v="74.5"/>
    <n v="1415.5"/>
    <n v="304.76"/>
    <s v="2019-01-12"/>
    <s v="2019-01-15"/>
    <s v="Individual"/>
    <x v="0"/>
    <x v="104"/>
    <x v="75"/>
  </r>
  <r>
    <s v="OP-20180115"/>
    <x v="0"/>
    <x v="2"/>
    <x v="0"/>
    <s v="OnePlus Type-C Bullets Earphones"/>
    <n v="1490"/>
    <n v="1"/>
    <n v="0.05"/>
    <n v="74.5"/>
    <n v="1415.5"/>
    <n v="246.96"/>
    <s v="2018-11-20"/>
    <s v="2018-11-23"/>
    <s v="Individual"/>
    <x v="0"/>
    <x v="105"/>
    <x v="74"/>
  </r>
  <r>
    <s v="OP-20180116"/>
    <x v="1"/>
    <x v="12"/>
    <x v="0"/>
    <s v="OnePlus Warp Charge 30 Power Adapter"/>
    <n v="1990"/>
    <n v="1"/>
    <n v="0.08"/>
    <n v="159.19999999999999"/>
    <n v="1830.8"/>
    <n v="304.26"/>
    <s v="2018-03-02"/>
    <s v="2018-03-08"/>
    <s v="Individual"/>
    <x v="1"/>
    <x v="106"/>
    <x v="109"/>
  </r>
  <r>
    <s v="OP-20180117"/>
    <x v="3"/>
    <x v="17"/>
    <x v="4"/>
    <s v="OnePlus Buds"/>
    <n v="4990"/>
    <n v="5"/>
    <n v="0.08"/>
    <n v="1996"/>
    <n v="22954"/>
    <n v="3392.56"/>
    <s v="2020-06-03"/>
    <s v="2020-06-07"/>
    <s v="Individual"/>
    <x v="0"/>
    <x v="107"/>
    <x v="110"/>
  </r>
  <r>
    <s v="OP-20180118"/>
    <x v="1"/>
    <x v="15"/>
    <x v="2"/>
    <s v="OnePlus Nord"/>
    <n v="24999"/>
    <n v="1"/>
    <n v="0.1"/>
    <n v="2499.9"/>
    <n v="22499.1"/>
    <n v="4095.17"/>
    <s v="2018-02-23"/>
    <s v="2018-02-25"/>
    <s v="Individual"/>
    <x v="3"/>
    <x v="108"/>
    <x v="111"/>
  </r>
  <r>
    <s v="OP-20180119"/>
    <x v="0"/>
    <x v="3"/>
    <x v="2"/>
    <s v="OnePlus Nord N10"/>
    <n v="19999"/>
    <n v="1"/>
    <n v="0.05"/>
    <n v="999.95"/>
    <n v="18999.05"/>
    <n v="4931.3999999999996"/>
    <s v="2018-01-03"/>
    <s v="2018-01-07"/>
    <s v="Individual"/>
    <x v="0"/>
    <x v="109"/>
    <x v="112"/>
  </r>
  <r>
    <s v="OP-20180120"/>
    <x v="0"/>
    <x v="2"/>
    <x v="3"/>
    <s v="OnePlus 7 Pro"/>
    <n v="48999"/>
    <n v="1"/>
    <n v="0"/>
    <n v="0"/>
    <n v="48999"/>
    <n v="12019.22"/>
    <s v="2019-09-27"/>
    <s v="2019-10-02"/>
    <s v="Individual"/>
    <x v="0"/>
    <x v="110"/>
    <x v="113"/>
  </r>
  <r>
    <s v="OP-20180121"/>
    <x v="3"/>
    <x v="10"/>
    <x v="2"/>
    <s v="OnePlus Nord"/>
    <n v="24999"/>
    <n v="1"/>
    <n v="0.12"/>
    <n v="2999.88"/>
    <n v="21999.119999999999"/>
    <n v="5020.76"/>
    <s v="2020-09-10"/>
    <s v="2020-09-15"/>
    <s v="Individual"/>
    <x v="0"/>
    <x v="111"/>
    <x v="114"/>
  </r>
  <r>
    <s v="OP-20180122"/>
    <x v="2"/>
    <x v="4"/>
    <x v="0"/>
    <s v="OnePlus Protective Case / Bumper"/>
    <n v="1290"/>
    <n v="1"/>
    <n v="0"/>
    <n v="0"/>
    <n v="1290"/>
    <n v="286.37"/>
    <s v="2020-08-30"/>
    <s v="2020-09-01"/>
    <s v="Individual"/>
    <x v="5"/>
    <x v="112"/>
    <x v="115"/>
  </r>
  <r>
    <s v="OP-20180123"/>
    <x v="0"/>
    <x v="3"/>
    <x v="3"/>
    <s v="OnePlus 7"/>
    <n v="32999"/>
    <n v="1"/>
    <n v="0.08"/>
    <n v="2639.92"/>
    <n v="30359.08"/>
    <n v="6311.28"/>
    <s v="2018-08-04"/>
    <s v="2018-08-08"/>
    <s v="Student"/>
    <x v="0"/>
    <x v="113"/>
    <x v="116"/>
  </r>
  <r>
    <s v="OP-20180124"/>
    <x v="1"/>
    <x v="12"/>
    <x v="4"/>
    <s v="OnePlus Buds"/>
    <n v="4990"/>
    <n v="3"/>
    <n v="0.08"/>
    <n v="1197.5999999999999"/>
    <n v="13772.4"/>
    <n v="3052.2"/>
    <s v="2018-07-10"/>
    <s v="2018-07-14"/>
    <s v="Corporate"/>
    <x v="0"/>
    <x v="114"/>
    <x v="117"/>
  </r>
  <r>
    <s v="OP-20180125"/>
    <x v="3"/>
    <x v="10"/>
    <x v="1"/>
    <s v="OnePlus TV Q1 55-inch"/>
    <n v="69900"/>
    <n v="1"/>
    <n v="0.1"/>
    <n v="6990"/>
    <n v="62910"/>
    <n v="10533.34"/>
    <s v="2018-03-23"/>
    <s v="2018-03-28"/>
    <s v="Individual"/>
    <x v="3"/>
    <x v="115"/>
    <x v="49"/>
  </r>
  <r>
    <s v="OP-20180126"/>
    <x v="1"/>
    <x v="15"/>
    <x v="4"/>
    <s v="OnePlus Buds"/>
    <n v="4990"/>
    <n v="2"/>
    <n v="0.15"/>
    <n v="1497"/>
    <n v="8483"/>
    <n v="1830.78"/>
    <s v="2020-05-15"/>
    <s v="2020-05-20"/>
    <s v="Individual"/>
    <x v="2"/>
    <x v="116"/>
    <x v="118"/>
  </r>
  <r>
    <s v="OP-20180127"/>
    <x v="1"/>
    <x v="1"/>
    <x v="3"/>
    <s v="OnePlus 8"/>
    <n v="41999"/>
    <n v="1"/>
    <n v="0.12"/>
    <n v="5039.88"/>
    <n v="36959.120000000003"/>
    <n v="6690.51"/>
    <s v="2019-07-26"/>
    <s v="2019-08-02"/>
    <s v="Corporate"/>
    <x v="3"/>
    <x v="117"/>
    <x v="119"/>
  </r>
  <r>
    <s v="OP-20180128"/>
    <x v="1"/>
    <x v="11"/>
    <x v="0"/>
    <s v="OnePlus Protective Case / Bumper"/>
    <n v="1290"/>
    <n v="4"/>
    <n v="0"/>
    <n v="0"/>
    <n v="5160"/>
    <n v="1199.79"/>
    <s v="2019-02-05"/>
    <s v="2019-02-08"/>
    <s v="Individual"/>
    <x v="0"/>
    <x v="118"/>
    <x v="22"/>
  </r>
  <r>
    <s v="OP-20180129"/>
    <x v="1"/>
    <x v="15"/>
    <x v="0"/>
    <s v="OnePlus Protective Case / Bumper"/>
    <n v="1290"/>
    <n v="5"/>
    <n v="0.08"/>
    <n v="516"/>
    <n v="5934"/>
    <n v="1148.32"/>
    <s v="2020-02-02"/>
    <s v="2020-02-06"/>
    <s v="Individual"/>
    <x v="1"/>
    <x v="119"/>
    <x v="120"/>
  </r>
  <r>
    <s v="OP-20180130"/>
    <x v="1"/>
    <x v="12"/>
    <x v="3"/>
    <s v="OnePlus 7T Pro"/>
    <n v="53999"/>
    <n v="1"/>
    <n v="0.1"/>
    <n v="5399.9"/>
    <n v="48599.1"/>
    <n v="8276.48"/>
    <s v="2020-01-08"/>
    <s v="2020-01-14"/>
    <s v="Retail Partner"/>
    <x v="0"/>
    <x v="120"/>
    <x v="121"/>
  </r>
  <r>
    <s v="OP-20180131"/>
    <x v="3"/>
    <x v="8"/>
    <x v="4"/>
    <s v="OnePlus Bullets Wireless 2"/>
    <n v="5990"/>
    <n v="1"/>
    <n v="0"/>
    <n v="0"/>
    <n v="5990"/>
    <n v="1327.74"/>
    <s v="2020-11-11"/>
    <s v="2020-11-15"/>
    <s v="Individual"/>
    <x v="4"/>
    <x v="121"/>
    <x v="122"/>
  </r>
  <r>
    <s v="OP-20180132"/>
    <x v="1"/>
    <x v="11"/>
    <x v="1"/>
    <s v="OnePlus TV 32Y1 HD Ready"/>
    <n v="12999"/>
    <n v="2"/>
    <n v="0.12"/>
    <n v="3119.76"/>
    <n v="22878.240000000002"/>
    <n v="5289.71"/>
    <s v="2019-07-24"/>
    <s v="2019-07-29"/>
    <s v="Corporate"/>
    <x v="3"/>
    <x v="122"/>
    <x v="43"/>
  </r>
  <r>
    <s v="OP-20180133"/>
    <x v="1"/>
    <x v="12"/>
    <x v="4"/>
    <s v="OnePlus Bullets Wireless Z"/>
    <n v="1999"/>
    <n v="1"/>
    <n v="0.05"/>
    <n v="99.95"/>
    <n v="1899.05"/>
    <n v="389.66"/>
    <s v="2020-12-19"/>
    <s v="2020-12-26"/>
    <s v="Individual"/>
    <x v="0"/>
    <x v="123"/>
    <x v="123"/>
  </r>
  <r>
    <s v="OP-20180134"/>
    <x v="1"/>
    <x v="1"/>
    <x v="4"/>
    <s v="OnePlus Buds Z"/>
    <n v="2999"/>
    <n v="1"/>
    <n v="0"/>
    <n v="0"/>
    <n v="2999"/>
    <n v="706.61"/>
    <s v="2019-11-24"/>
    <s v="2019-11-29"/>
    <s v="Retail Partner"/>
    <x v="0"/>
    <x v="124"/>
    <x v="124"/>
  </r>
  <r>
    <s v="OP-20180135"/>
    <x v="0"/>
    <x v="2"/>
    <x v="4"/>
    <s v="OnePlus Bullets Wireless Z"/>
    <n v="1999"/>
    <n v="1"/>
    <n v="0.08"/>
    <n v="159.91999999999999"/>
    <n v="1839.08"/>
    <n v="307.25"/>
    <s v="2020-08-13"/>
    <s v="2020-08-20"/>
    <s v="Individual"/>
    <x v="0"/>
    <x v="125"/>
    <x v="125"/>
  </r>
  <r>
    <s v="OP-20180136"/>
    <x v="2"/>
    <x v="7"/>
    <x v="4"/>
    <s v="OnePlus Buds"/>
    <n v="4990"/>
    <n v="1"/>
    <n v="0.05"/>
    <n v="249.5"/>
    <n v="4740.5"/>
    <n v="1050.75"/>
    <s v="2018-12-04"/>
    <s v="2018-12-11"/>
    <s v="Retail Partner"/>
    <x v="3"/>
    <x v="126"/>
    <x v="126"/>
  </r>
  <r>
    <s v="OP-20180137"/>
    <x v="2"/>
    <x v="16"/>
    <x v="3"/>
    <s v="OnePlus 6"/>
    <n v="34999"/>
    <n v="4"/>
    <n v="0.12"/>
    <n v="16799.52"/>
    <n v="123196.48"/>
    <n v="27955.040000000001"/>
    <s v="2019-02-05"/>
    <s v="2019-02-10"/>
    <s v="Retail Partner"/>
    <x v="0"/>
    <x v="118"/>
    <x v="17"/>
  </r>
  <r>
    <s v="OP-20180138"/>
    <x v="0"/>
    <x v="14"/>
    <x v="1"/>
    <s v="OnePlus TV 43Y1 Full HD"/>
    <n v="22999"/>
    <n v="1"/>
    <n v="0.1"/>
    <n v="2299.9"/>
    <n v="20699.099999999999"/>
    <n v="5235.8100000000004"/>
    <s v="2018-01-02"/>
    <s v="2018-01-04"/>
    <s v="Individual"/>
    <x v="1"/>
    <x v="127"/>
    <x v="127"/>
  </r>
  <r>
    <s v="OP-20180139"/>
    <x v="1"/>
    <x v="11"/>
    <x v="3"/>
    <s v="OnePlus 8"/>
    <n v="41999"/>
    <n v="1"/>
    <n v="0.08"/>
    <n v="3359.92"/>
    <n v="38639.08"/>
    <n v="8606.31"/>
    <s v="2018-05-23"/>
    <s v="2018-05-26"/>
    <s v="Individual"/>
    <x v="3"/>
    <x v="128"/>
    <x v="128"/>
  </r>
  <r>
    <s v="OP-20180140"/>
    <x v="3"/>
    <x v="8"/>
    <x v="3"/>
    <s v="OnePlus 7"/>
    <n v="32999"/>
    <n v="3"/>
    <n v="0.08"/>
    <n v="7919.76"/>
    <n v="91077.24"/>
    <n v="19489.849999999999"/>
    <s v="2018-08-11"/>
    <s v="2018-08-13"/>
    <s v="Corporate"/>
    <x v="5"/>
    <x v="129"/>
    <x v="129"/>
  </r>
  <r>
    <s v="OP-20180141"/>
    <x v="2"/>
    <x v="9"/>
    <x v="0"/>
    <s v="OnePlus Warp Charge 30 Power Adapter"/>
    <n v="1990"/>
    <n v="2"/>
    <n v="0"/>
    <n v="0"/>
    <n v="3980"/>
    <n v="984.56"/>
    <s v="2020-06-18"/>
    <s v="2020-06-25"/>
    <s v="Student"/>
    <x v="1"/>
    <x v="130"/>
    <x v="130"/>
  </r>
  <r>
    <s v="OP-20180142"/>
    <x v="2"/>
    <x v="16"/>
    <x v="2"/>
    <s v="OnePlus Nord N10"/>
    <n v="19999"/>
    <n v="1"/>
    <n v="0.08"/>
    <n v="1599.92"/>
    <n v="18399.080000000002"/>
    <n v="3885.76"/>
    <s v="2020-06-27"/>
    <s v="2020-06-29"/>
    <s v="Student"/>
    <x v="0"/>
    <x v="131"/>
    <x v="131"/>
  </r>
  <r>
    <s v="OP-20180143"/>
    <x v="3"/>
    <x v="5"/>
    <x v="4"/>
    <s v="OnePlus Buds"/>
    <n v="4990"/>
    <n v="1"/>
    <n v="0.1"/>
    <n v="499"/>
    <n v="4491"/>
    <n v="983.73"/>
    <s v="2018-11-03"/>
    <s v="2018-11-08"/>
    <s v="Individual"/>
    <x v="3"/>
    <x v="132"/>
    <x v="132"/>
  </r>
  <r>
    <s v="OP-20180144"/>
    <x v="1"/>
    <x v="12"/>
    <x v="3"/>
    <s v="OnePlus 7"/>
    <n v="32999"/>
    <n v="1"/>
    <n v="0.05"/>
    <n v="1649.95"/>
    <n v="31349.05"/>
    <n v="5218.59"/>
    <s v="2018-12-19"/>
    <s v="2018-12-24"/>
    <s v="Individual"/>
    <x v="4"/>
    <x v="133"/>
    <x v="133"/>
  </r>
  <r>
    <s v="OP-20180145"/>
    <x v="0"/>
    <x v="14"/>
    <x v="3"/>
    <s v="OnePlus 7T"/>
    <n v="37999"/>
    <n v="1"/>
    <n v="0.05"/>
    <n v="1899.95"/>
    <n v="36099.050000000003"/>
    <n v="9332.25"/>
    <s v="2018-06-01"/>
    <s v="2018-06-04"/>
    <s v="Student"/>
    <x v="3"/>
    <x v="134"/>
    <x v="134"/>
  </r>
  <r>
    <s v="OP-20180146"/>
    <x v="0"/>
    <x v="0"/>
    <x v="3"/>
    <s v="OnePlus 6T"/>
    <n v="37999"/>
    <n v="1"/>
    <n v="0.1"/>
    <n v="3799.9"/>
    <n v="34199.1"/>
    <n v="8484.26"/>
    <s v="2018-10-22"/>
    <s v="2018-10-25"/>
    <s v="Retail Partner"/>
    <x v="0"/>
    <x v="135"/>
    <x v="135"/>
  </r>
  <r>
    <s v="OP-20180147"/>
    <x v="0"/>
    <x v="3"/>
    <x v="4"/>
    <s v="OnePlus Buds"/>
    <n v="4990"/>
    <n v="1"/>
    <n v="0.1"/>
    <n v="499"/>
    <n v="4491"/>
    <n v="755.81"/>
    <s v="2020-03-04"/>
    <s v="2020-03-09"/>
    <s v="Student"/>
    <x v="0"/>
    <x v="136"/>
    <x v="136"/>
  </r>
  <r>
    <s v="OP-20180148"/>
    <x v="1"/>
    <x v="15"/>
    <x v="3"/>
    <s v="OnePlus 7T"/>
    <n v="37999"/>
    <n v="3"/>
    <n v="0.05"/>
    <n v="5699.85"/>
    <n v="108297.15"/>
    <n v="18374.53"/>
    <s v="2019-01-16"/>
    <s v="2019-01-23"/>
    <s v="Individual"/>
    <x v="1"/>
    <x v="137"/>
    <x v="137"/>
  </r>
  <r>
    <s v="OP-20180149"/>
    <x v="0"/>
    <x v="2"/>
    <x v="3"/>
    <s v="OnePlus 6T"/>
    <n v="37999"/>
    <n v="3"/>
    <n v="0"/>
    <n v="0"/>
    <n v="113997"/>
    <n v="24008.85"/>
    <s v="2019-04-05"/>
    <s v="2019-04-10"/>
    <s v="Retail Partner"/>
    <x v="1"/>
    <x v="138"/>
    <x v="138"/>
  </r>
  <r>
    <s v="OP-20180150"/>
    <x v="1"/>
    <x v="1"/>
    <x v="4"/>
    <s v="OnePlus Buds Z"/>
    <n v="2999"/>
    <n v="1"/>
    <n v="0.05"/>
    <n v="149.94999999999999"/>
    <n v="2849.05"/>
    <n v="627.72"/>
    <s v="2018-05-13"/>
    <s v="2018-05-18"/>
    <s v="Individual"/>
    <x v="4"/>
    <x v="139"/>
    <x v="139"/>
  </r>
  <r>
    <s v="OP-20180151"/>
    <x v="1"/>
    <x v="11"/>
    <x v="4"/>
    <s v="OnePlus Bullets Wireless 2"/>
    <n v="5990"/>
    <n v="2"/>
    <n v="0.08"/>
    <n v="958.4"/>
    <n v="11021.6"/>
    <n v="2170.77"/>
    <s v="2018-06-05"/>
    <s v="2018-06-12"/>
    <s v="Individual"/>
    <x v="0"/>
    <x v="140"/>
    <x v="140"/>
  </r>
  <r>
    <s v="OP-20180152"/>
    <x v="1"/>
    <x v="15"/>
    <x v="2"/>
    <s v="OnePlus Nord"/>
    <n v="24999"/>
    <n v="1"/>
    <n v="0.12"/>
    <n v="2999.88"/>
    <n v="21999.119999999999"/>
    <n v="3183.74"/>
    <s v="2018-04-29"/>
    <s v="2018-05-03"/>
    <s v="Individual"/>
    <x v="4"/>
    <x v="141"/>
    <x v="141"/>
  </r>
  <r>
    <s v="OP-20180153"/>
    <x v="0"/>
    <x v="2"/>
    <x v="1"/>
    <s v="OnePlus TV Q1 55-inch"/>
    <n v="69900"/>
    <n v="1"/>
    <n v="0"/>
    <n v="0"/>
    <n v="69900"/>
    <n v="18061.849999999999"/>
    <s v="2018-05-06"/>
    <s v="2018-05-09"/>
    <s v="Individual"/>
    <x v="4"/>
    <x v="142"/>
    <x v="142"/>
  </r>
  <r>
    <s v="OP-20180154"/>
    <x v="0"/>
    <x v="3"/>
    <x v="0"/>
    <s v="OnePlus Protective Case / Bumper"/>
    <n v="1290"/>
    <n v="1"/>
    <n v="0.05"/>
    <n v="64.5"/>
    <n v="1225.5"/>
    <n v="190.06"/>
    <s v="2018-11-04"/>
    <s v="2018-11-07"/>
    <s v="Individual"/>
    <x v="3"/>
    <x v="143"/>
    <x v="143"/>
  </r>
  <r>
    <s v="OP-20180155"/>
    <x v="3"/>
    <x v="18"/>
    <x v="3"/>
    <s v="OnePlus 8 Pro"/>
    <n v="54999"/>
    <n v="1"/>
    <n v="0"/>
    <n v="0"/>
    <n v="54999"/>
    <n v="14057.83"/>
    <s v="2018-11-07"/>
    <s v="2018-11-10"/>
    <s v="Individual"/>
    <x v="0"/>
    <x v="144"/>
    <x v="144"/>
  </r>
  <r>
    <s v="OP-20180156"/>
    <x v="1"/>
    <x v="15"/>
    <x v="3"/>
    <s v="OnePlus 8 Pro"/>
    <n v="54999"/>
    <n v="3"/>
    <n v="0.1"/>
    <n v="16499.7"/>
    <n v="148497.29999999999"/>
    <n v="22805.200000000001"/>
    <s v="2018-12-11"/>
    <s v="2018-12-18"/>
    <s v="Student"/>
    <x v="3"/>
    <x v="145"/>
    <x v="70"/>
  </r>
  <r>
    <s v="OP-20180157"/>
    <x v="3"/>
    <x v="8"/>
    <x v="0"/>
    <s v="OnePlus Warp Charge 30 Wireless Charger"/>
    <n v="3990"/>
    <n v="2"/>
    <n v="0"/>
    <n v="0"/>
    <n v="7980"/>
    <n v="1747.15"/>
    <s v="2020-10-06"/>
    <s v="2020-10-13"/>
    <s v="Individual"/>
    <x v="5"/>
    <x v="146"/>
    <x v="145"/>
  </r>
  <r>
    <s v="OP-20180158"/>
    <x v="3"/>
    <x v="8"/>
    <x v="2"/>
    <s v="OnePlus Nord"/>
    <n v="24999"/>
    <n v="1"/>
    <n v="0.05"/>
    <n v="1249.95"/>
    <n v="23749.05"/>
    <n v="3635.82"/>
    <s v="2019-05-09"/>
    <s v="2019-05-14"/>
    <s v="Corporate"/>
    <x v="2"/>
    <x v="94"/>
    <x v="97"/>
  </r>
  <r>
    <s v="OP-20180159"/>
    <x v="2"/>
    <x v="16"/>
    <x v="1"/>
    <s v="OnePlus TV Q1 55-inch"/>
    <n v="69900"/>
    <n v="1"/>
    <n v="0.05"/>
    <n v="3495"/>
    <n v="66405"/>
    <n v="14468.92"/>
    <s v="2019-12-26"/>
    <s v="2019-12-28"/>
    <s v="Individual"/>
    <x v="1"/>
    <x v="74"/>
    <x v="146"/>
  </r>
  <r>
    <s v="OP-20180160"/>
    <x v="2"/>
    <x v="9"/>
    <x v="3"/>
    <s v="OnePlus 6"/>
    <n v="34999"/>
    <n v="1"/>
    <n v="0.05"/>
    <n v="1749.95"/>
    <n v="33249.050000000003"/>
    <n v="5561.65"/>
    <s v="2020-05-16"/>
    <s v="2020-05-23"/>
    <s v="Individual"/>
    <x v="3"/>
    <x v="147"/>
    <x v="147"/>
  </r>
  <r>
    <s v="OP-20180161"/>
    <x v="0"/>
    <x v="0"/>
    <x v="3"/>
    <s v="OnePlus 8 Pro"/>
    <n v="54999"/>
    <n v="1"/>
    <n v="0.05"/>
    <n v="2749.95"/>
    <n v="52249.05"/>
    <n v="7475.64"/>
    <s v="2019-10-27"/>
    <s v="2019-11-01"/>
    <s v="Individual"/>
    <x v="1"/>
    <x v="148"/>
    <x v="148"/>
  </r>
  <r>
    <s v="OP-20180162"/>
    <x v="1"/>
    <x v="11"/>
    <x v="0"/>
    <s v="OnePlus Warp Charge 30 Power Adapter"/>
    <n v="1990"/>
    <n v="1"/>
    <n v="0.05"/>
    <n v="99.5"/>
    <n v="1890.5"/>
    <n v="434.11"/>
    <s v="2018-12-30"/>
    <s v="2019-01-03"/>
    <s v="Individual"/>
    <x v="2"/>
    <x v="149"/>
    <x v="149"/>
  </r>
  <r>
    <s v="OP-20180163"/>
    <x v="0"/>
    <x v="0"/>
    <x v="0"/>
    <s v="OnePlus Warp Charge 30 Power Adapter"/>
    <n v="1990"/>
    <n v="1"/>
    <n v="0.12"/>
    <n v="238.8"/>
    <n v="1751.2"/>
    <n v="257.83"/>
    <s v="2020-02-28"/>
    <s v="2020-03-05"/>
    <s v="Individual"/>
    <x v="0"/>
    <x v="150"/>
    <x v="6"/>
  </r>
  <r>
    <s v="OP-20180164"/>
    <x v="0"/>
    <x v="0"/>
    <x v="1"/>
    <s v="OnePlus TV 43Y1 Full HD"/>
    <n v="22999"/>
    <n v="2"/>
    <n v="0.12"/>
    <n v="5519.76"/>
    <n v="40478.239999999998"/>
    <n v="8252.35"/>
    <s v="2018-04-16"/>
    <s v="2018-04-21"/>
    <s v="Corporate"/>
    <x v="1"/>
    <x v="151"/>
    <x v="150"/>
  </r>
  <r>
    <s v="OP-20180165"/>
    <x v="3"/>
    <x v="10"/>
    <x v="4"/>
    <s v="OnePlus Bullets Wireless 2"/>
    <n v="5990"/>
    <n v="1"/>
    <n v="0.1"/>
    <n v="599"/>
    <n v="5391"/>
    <n v="1272.1300000000001"/>
    <s v="2018-06-08"/>
    <s v="2018-06-10"/>
    <s v="Individual"/>
    <x v="0"/>
    <x v="152"/>
    <x v="151"/>
  </r>
  <r>
    <s v="OP-20180166"/>
    <x v="3"/>
    <x v="5"/>
    <x v="3"/>
    <s v="OnePlus 8"/>
    <n v="41999"/>
    <n v="2"/>
    <n v="0.05"/>
    <n v="4199.8999999999996"/>
    <n v="79798.100000000006"/>
    <n v="16213.37"/>
    <s v="2019-07-13"/>
    <s v="2019-07-17"/>
    <s v="Individual"/>
    <x v="3"/>
    <x v="153"/>
    <x v="152"/>
  </r>
  <r>
    <s v="OP-20180167"/>
    <x v="0"/>
    <x v="14"/>
    <x v="2"/>
    <s v="OnePlus Nord"/>
    <n v="24999"/>
    <n v="2"/>
    <n v="0.08"/>
    <n v="3999.84"/>
    <n v="45998.16"/>
    <n v="7404.45"/>
    <s v="2019-11-13"/>
    <s v="2019-11-15"/>
    <s v="Individual"/>
    <x v="3"/>
    <x v="154"/>
    <x v="153"/>
  </r>
  <r>
    <s v="OP-20180168"/>
    <x v="1"/>
    <x v="1"/>
    <x v="3"/>
    <s v="OnePlus 7 Pro"/>
    <n v="48999"/>
    <n v="1"/>
    <n v="0.08"/>
    <n v="3919.92"/>
    <n v="45079.08"/>
    <n v="6827.87"/>
    <s v="2020-09-19"/>
    <s v="2020-09-22"/>
    <s v="Individual"/>
    <x v="0"/>
    <x v="31"/>
    <x v="154"/>
  </r>
  <r>
    <s v="OP-20180169"/>
    <x v="3"/>
    <x v="18"/>
    <x v="1"/>
    <s v="OnePlus TV 32Y1 HD Ready"/>
    <n v="12999"/>
    <n v="1"/>
    <n v="0"/>
    <n v="0"/>
    <n v="12999"/>
    <n v="2821.26"/>
    <s v="2020-09-14"/>
    <s v="2020-09-18"/>
    <s v="Individual"/>
    <x v="1"/>
    <x v="155"/>
    <x v="155"/>
  </r>
  <r>
    <s v="OP-20180170"/>
    <x v="0"/>
    <x v="2"/>
    <x v="3"/>
    <s v="OnePlus 6T"/>
    <n v="37999"/>
    <n v="1"/>
    <n v="0.08"/>
    <n v="3039.92"/>
    <n v="34959.08"/>
    <n v="7729.49"/>
    <s v="2019-09-29"/>
    <s v="2019-10-01"/>
    <s v="Corporate"/>
    <x v="4"/>
    <x v="156"/>
    <x v="156"/>
  </r>
  <r>
    <s v="OP-20180171"/>
    <x v="1"/>
    <x v="1"/>
    <x v="3"/>
    <s v="OnePlus 7 Pro"/>
    <n v="48999"/>
    <n v="2"/>
    <n v="0.08"/>
    <n v="7839.84"/>
    <n v="90158.16"/>
    <n v="15588.28"/>
    <s v="2020-10-02"/>
    <s v="2020-10-07"/>
    <s v="Individual"/>
    <x v="5"/>
    <x v="157"/>
    <x v="157"/>
  </r>
  <r>
    <s v="OP-20180172"/>
    <x v="1"/>
    <x v="12"/>
    <x v="3"/>
    <s v="OnePlus 7T Pro"/>
    <n v="53999"/>
    <n v="1"/>
    <n v="0"/>
    <n v="0"/>
    <n v="53999"/>
    <n v="10923.31"/>
    <s v="2020-08-13"/>
    <s v="2020-08-19"/>
    <s v="Individual"/>
    <x v="3"/>
    <x v="125"/>
    <x v="102"/>
  </r>
  <r>
    <s v="OP-20180173"/>
    <x v="1"/>
    <x v="15"/>
    <x v="3"/>
    <s v="OnePlus 7"/>
    <n v="32999"/>
    <n v="1"/>
    <n v="0.05"/>
    <n v="1649.95"/>
    <n v="31349.05"/>
    <n v="5641.58"/>
    <s v="2019-12-28"/>
    <s v="2020-01-02"/>
    <s v="Corporate"/>
    <x v="3"/>
    <x v="158"/>
    <x v="158"/>
  </r>
  <r>
    <s v="OP-20180174"/>
    <x v="2"/>
    <x v="9"/>
    <x v="3"/>
    <s v="OnePlus 8 Pro"/>
    <n v="54999"/>
    <n v="1"/>
    <n v="0"/>
    <n v="0"/>
    <n v="54999"/>
    <n v="14046.74"/>
    <s v="2018-10-14"/>
    <s v="2018-10-16"/>
    <s v="Individual"/>
    <x v="1"/>
    <x v="159"/>
    <x v="88"/>
  </r>
  <r>
    <s v="OP-20180175"/>
    <x v="0"/>
    <x v="14"/>
    <x v="0"/>
    <s v="OnePlus Type-C Bullets Earphones"/>
    <n v="1490"/>
    <n v="1"/>
    <n v="0.15"/>
    <n v="223.5"/>
    <n v="1266.5"/>
    <n v="249.48"/>
    <s v="2018-08-25"/>
    <s v="2018-08-30"/>
    <s v="Retail Partner"/>
    <x v="0"/>
    <x v="160"/>
    <x v="159"/>
  </r>
  <r>
    <s v="OP-20180176"/>
    <x v="2"/>
    <x v="9"/>
    <x v="3"/>
    <s v="OnePlus 6"/>
    <n v="34999"/>
    <n v="3"/>
    <n v="0.05"/>
    <n v="5249.85"/>
    <n v="99747.15"/>
    <n v="21428.71"/>
    <s v="2020-09-04"/>
    <s v="2020-09-06"/>
    <s v="Individual"/>
    <x v="1"/>
    <x v="161"/>
    <x v="160"/>
  </r>
  <r>
    <s v="OP-20180177"/>
    <x v="1"/>
    <x v="6"/>
    <x v="4"/>
    <s v="OnePlus Buds Z"/>
    <n v="2999"/>
    <n v="1"/>
    <n v="0"/>
    <n v="0"/>
    <n v="2999"/>
    <n v="542.82000000000005"/>
    <s v="2018-12-27"/>
    <s v="2019-01-02"/>
    <s v="Individual"/>
    <x v="0"/>
    <x v="162"/>
    <x v="161"/>
  </r>
  <r>
    <s v="OP-20180178"/>
    <x v="0"/>
    <x v="3"/>
    <x v="1"/>
    <s v="OnePlus TV 43Y1 Full HD"/>
    <n v="22999"/>
    <n v="1"/>
    <n v="0.12"/>
    <n v="2759.88"/>
    <n v="20239.12"/>
    <n v="4954.54"/>
    <s v="2018-09-19"/>
    <s v="2018-09-23"/>
    <s v="Corporate"/>
    <x v="3"/>
    <x v="163"/>
    <x v="162"/>
  </r>
  <r>
    <s v="OP-20180179"/>
    <x v="0"/>
    <x v="14"/>
    <x v="2"/>
    <s v="OnePlus Nord N10"/>
    <n v="19999"/>
    <n v="1"/>
    <n v="0.05"/>
    <n v="999.95"/>
    <n v="18999.05"/>
    <n v="3890.4"/>
    <s v="2018-05-14"/>
    <s v="2018-05-18"/>
    <s v="Corporate"/>
    <x v="0"/>
    <x v="164"/>
    <x v="139"/>
  </r>
  <r>
    <s v="OP-20180180"/>
    <x v="1"/>
    <x v="6"/>
    <x v="3"/>
    <s v="OnePlus 7"/>
    <n v="32999"/>
    <n v="1"/>
    <n v="0.08"/>
    <n v="2639.92"/>
    <n v="30359.08"/>
    <n v="5511.14"/>
    <s v="2018-09-23"/>
    <s v="2018-09-25"/>
    <s v="Individual"/>
    <x v="1"/>
    <x v="165"/>
    <x v="163"/>
  </r>
  <r>
    <s v="OP-20180181"/>
    <x v="0"/>
    <x v="2"/>
    <x v="4"/>
    <s v="OnePlus Buds Z"/>
    <n v="2999"/>
    <n v="3"/>
    <n v="0.1"/>
    <n v="899.7"/>
    <n v="8097.3"/>
    <n v="1442.16"/>
    <s v="2019-04-28"/>
    <s v="2019-04-30"/>
    <s v="Student"/>
    <x v="3"/>
    <x v="166"/>
    <x v="164"/>
  </r>
  <r>
    <s v="OP-20180182"/>
    <x v="1"/>
    <x v="6"/>
    <x v="3"/>
    <s v="OnePlus 6T"/>
    <n v="37999"/>
    <n v="1"/>
    <n v="0"/>
    <n v="0"/>
    <n v="37999"/>
    <n v="5684.49"/>
    <s v="2020-11-01"/>
    <s v="2020-11-06"/>
    <s v="Individual"/>
    <x v="1"/>
    <x v="167"/>
    <x v="165"/>
  </r>
  <r>
    <s v="OP-20180183"/>
    <x v="0"/>
    <x v="14"/>
    <x v="3"/>
    <s v="OnePlus 7T Pro"/>
    <n v="53999"/>
    <n v="1"/>
    <n v="0"/>
    <n v="0"/>
    <n v="53999"/>
    <n v="11464.33"/>
    <s v="2019-10-25"/>
    <s v="2019-10-29"/>
    <s v="Individual"/>
    <x v="3"/>
    <x v="168"/>
    <x v="166"/>
  </r>
  <r>
    <s v="OP-20180184"/>
    <x v="1"/>
    <x v="12"/>
    <x v="3"/>
    <s v="OnePlus 6T"/>
    <n v="37999"/>
    <n v="1"/>
    <n v="0.1"/>
    <n v="3799.9"/>
    <n v="34199.1"/>
    <n v="7330.23"/>
    <s v="2019-04-02"/>
    <s v="2019-04-06"/>
    <s v="Individual"/>
    <x v="0"/>
    <x v="169"/>
    <x v="167"/>
  </r>
  <r>
    <s v="OP-20180185"/>
    <x v="2"/>
    <x v="7"/>
    <x v="3"/>
    <s v="OnePlus 8"/>
    <n v="41999"/>
    <n v="2"/>
    <n v="0"/>
    <n v="0"/>
    <n v="83998"/>
    <n v="16894.57"/>
    <s v="2020-02-24"/>
    <s v="2020-03-01"/>
    <s v="Individual"/>
    <x v="0"/>
    <x v="170"/>
    <x v="168"/>
  </r>
  <r>
    <s v="OP-20180186"/>
    <x v="2"/>
    <x v="9"/>
    <x v="3"/>
    <s v="OnePlus 7T Pro"/>
    <n v="53999"/>
    <n v="1"/>
    <n v="0"/>
    <n v="0"/>
    <n v="53999"/>
    <n v="13304.95"/>
    <s v="2020-02-07"/>
    <s v="2020-02-13"/>
    <s v="Individual"/>
    <x v="1"/>
    <x v="171"/>
    <x v="169"/>
  </r>
  <r>
    <s v="OP-20180187"/>
    <x v="0"/>
    <x v="0"/>
    <x v="3"/>
    <s v="OnePlus 7T"/>
    <n v="37999"/>
    <n v="1"/>
    <n v="0.05"/>
    <n v="1899.95"/>
    <n v="36099.050000000003"/>
    <n v="7138.99"/>
    <s v="2018-09-03"/>
    <s v="2018-09-10"/>
    <s v="Individual"/>
    <x v="3"/>
    <x v="172"/>
    <x v="170"/>
  </r>
  <r>
    <s v="OP-20180188"/>
    <x v="1"/>
    <x v="6"/>
    <x v="3"/>
    <s v="OnePlus 6"/>
    <n v="34999"/>
    <n v="1"/>
    <n v="0.1"/>
    <n v="3499.9"/>
    <n v="31499.1"/>
    <n v="6788.56"/>
    <s v="2018-12-04"/>
    <s v="2018-12-10"/>
    <s v="Retail Partner"/>
    <x v="1"/>
    <x v="126"/>
    <x v="171"/>
  </r>
  <r>
    <s v="OP-20180189"/>
    <x v="1"/>
    <x v="11"/>
    <x v="4"/>
    <s v="OnePlus Bullets Wireless 2"/>
    <n v="5990"/>
    <n v="1"/>
    <n v="0.1"/>
    <n v="599"/>
    <n v="5391"/>
    <n v="818.19"/>
    <s v="2019-05-25"/>
    <s v="2019-05-30"/>
    <s v="Student"/>
    <x v="0"/>
    <x v="173"/>
    <x v="172"/>
  </r>
  <r>
    <s v="OP-20180190"/>
    <x v="2"/>
    <x v="7"/>
    <x v="2"/>
    <s v="OnePlus Nord"/>
    <n v="24999"/>
    <n v="2"/>
    <n v="0.1"/>
    <n v="4999.8"/>
    <n v="44998.2"/>
    <n v="8418.59"/>
    <s v="2019-07-08"/>
    <s v="2019-07-14"/>
    <s v="Individual"/>
    <x v="0"/>
    <x v="174"/>
    <x v="173"/>
  </r>
  <r>
    <s v="OP-20180191"/>
    <x v="2"/>
    <x v="16"/>
    <x v="3"/>
    <s v="OnePlus 6"/>
    <n v="34999"/>
    <n v="2"/>
    <n v="0"/>
    <n v="0"/>
    <n v="69998"/>
    <n v="12146.34"/>
    <s v="2018-08-30"/>
    <s v="2018-09-02"/>
    <s v="Individual"/>
    <x v="3"/>
    <x v="175"/>
    <x v="174"/>
  </r>
  <r>
    <s v="OP-20180192"/>
    <x v="2"/>
    <x v="4"/>
    <x v="3"/>
    <s v="OnePlus 8 Pro"/>
    <n v="54999"/>
    <n v="3"/>
    <n v="0.08"/>
    <n v="13199.76"/>
    <n v="151797.24"/>
    <n v="32434.82"/>
    <s v="2020-08-13"/>
    <s v="2020-08-19"/>
    <s v="Individual"/>
    <x v="3"/>
    <x v="125"/>
    <x v="102"/>
  </r>
  <r>
    <s v="OP-20180193"/>
    <x v="0"/>
    <x v="0"/>
    <x v="3"/>
    <s v="OnePlus 8 Pro"/>
    <n v="54999"/>
    <n v="1"/>
    <n v="0"/>
    <n v="0"/>
    <n v="54999"/>
    <n v="12427.51"/>
    <s v="2019-02-12"/>
    <s v="2019-02-16"/>
    <s v="Individual"/>
    <x v="4"/>
    <x v="176"/>
    <x v="175"/>
  </r>
  <r>
    <s v="OP-20180194"/>
    <x v="2"/>
    <x v="4"/>
    <x v="4"/>
    <s v="OnePlus Buds Z"/>
    <n v="2999"/>
    <n v="5"/>
    <n v="0.15"/>
    <n v="2249.25"/>
    <n v="12745.75"/>
    <n v="3225.67"/>
    <s v="2019-05-14"/>
    <s v="2019-05-19"/>
    <s v="Individual"/>
    <x v="1"/>
    <x v="177"/>
    <x v="176"/>
  </r>
  <r>
    <s v="OP-20180195"/>
    <x v="0"/>
    <x v="13"/>
    <x v="3"/>
    <s v="OnePlus 7T Pro"/>
    <n v="53999"/>
    <n v="1"/>
    <n v="0.05"/>
    <n v="2699.95"/>
    <n v="51299.05"/>
    <n v="12715.4"/>
    <s v="2018-12-26"/>
    <s v="2018-12-28"/>
    <s v="Retail Partner"/>
    <x v="3"/>
    <x v="178"/>
    <x v="177"/>
  </r>
  <r>
    <s v="OP-20180196"/>
    <x v="1"/>
    <x v="11"/>
    <x v="3"/>
    <s v="OnePlus 7 Pro"/>
    <n v="48999"/>
    <n v="2"/>
    <n v="0.08"/>
    <n v="7839.84"/>
    <n v="90158.16"/>
    <n v="18359.47"/>
    <s v="2018-07-09"/>
    <s v="2018-07-12"/>
    <s v="Individual"/>
    <x v="0"/>
    <x v="12"/>
    <x v="178"/>
  </r>
  <r>
    <s v="OP-20180197"/>
    <x v="0"/>
    <x v="13"/>
    <x v="4"/>
    <s v="OnePlus Buds"/>
    <n v="4990"/>
    <n v="1"/>
    <n v="0.08"/>
    <n v="399.2"/>
    <n v="4590.8"/>
    <n v="1089.9100000000001"/>
    <s v="2020-06-10"/>
    <s v="2020-06-13"/>
    <s v="Individual"/>
    <x v="0"/>
    <x v="179"/>
    <x v="179"/>
  </r>
  <r>
    <s v="OP-20180198"/>
    <x v="3"/>
    <x v="18"/>
    <x v="3"/>
    <s v="OnePlus 8 Pro"/>
    <n v="54999"/>
    <n v="1"/>
    <n v="0.05"/>
    <n v="2749.95"/>
    <n v="52249.05"/>
    <n v="11157.93"/>
    <s v="2020-02-29"/>
    <s v="2020-03-05"/>
    <s v="Individual"/>
    <x v="0"/>
    <x v="180"/>
    <x v="6"/>
  </r>
  <r>
    <s v="OP-20180199"/>
    <x v="1"/>
    <x v="12"/>
    <x v="1"/>
    <s v="OnePlus TV 32Y1 HD Ready"/>
    <n v="12999"/>
    <n v="1"/>
    <n v="0.1"/>
    <n v="1299.9000000000001"/>
    <n v="11699.1"/>
    <n v="2847.14"/>
    <s v="2019-05-12"/>
    <s v="2019-05-17"/>
    <s v="Student"/>
    <x v="0"/>
    <x v="181"/>
    <x v="180"/>
  </r>
  <r>
    <s v="OP-20180200"/>
    <x v="2"/>
    <x v="19"/>
    <x v="3"/>
    <s v="OnePlus 8 Pro"/>
    <n v="54999"/>
    <n v="2"/>
    <n v="0.08"/>
    <n v="8799.84"/>
    <n v="101198.16"/>
    <n v="16360.84"/>
    <s v="2018-07-22"/>
    <s v="2018-07-29"/>
    <s v="Corporate"/>
    <x v="0"/>
    <x v="182"/>
    <x v="181"/>
  </r>
  <r>
    <s v="OP-20180201"/>
    <x v="0"/>
    <x v="0"/>
    <x v="0"/>
    <s v="OnePlus Protective Case / Bumper"/>
    <n v="1290"/>
    <n v="1"/>
    <n v="0.08"/>
    <n v="103.2"/>
    <n v="1186.8"/>
    <n v="179.24"/>
    <s v="2018-03-29"/>
    <s v="2018-04-03"/>
    <s v="Corporate"/>
    <x v="1"/>
    <x v="183"/>
    <x v="182"/>
  </r>
  <r>
    <s v="OP-20180202"/>
    <x v="0"/>
    <x v="3"/>
    <x v="1"/>
    <s v="OnePlus TV Q1 55-inch"/>
    <n v="69900"/>
    <n v="1"/>
    <n v="0"/>
    <n v="0"/>
    <n v="69900"/>
    <n v="14627.33"/>
    <s v="2018-05-16"/>
    <s v="2018-05-19"/>
    <s v="Individual"/>
    <x v="2"/>
    <x v="184"/>
    <x v="183"/>
  </r>
  <r>
    <s v="OP-20180203"/>
    <x v="2"/>
    <x v="7"/>
    <x v="3"/>
    <s v="OnePlus 6"/>
    <n v="34999"/>
    <n v="1"/>
    <n v="0"/>
    <n v="0"/>
    <n v="34999"/>
    <n v="8594.98"/>
    <s v="2019-04-18"/>
    <s v="2019-04-21"/>
    <s v="Corporate"/>
    <x v="2"/>
    <x v="185"/>
    <x v="184"/>
  </r>
  <r>
    <s v="OP-20180204"/>
    <x v="2"/>
    <x v="4"/>
    <x v="2"/>
    <s v="OnePlus Nord"/>
    <n v="24999"/>
    <n v="1"/>
    <n v="0.05"/>
    <n v="1249.95"/>
    <n v="23749.05"/>
    <n v="4818.66"/>
    <s v="2018-08-22"/>
    <s v="2018-08-25"/>
    <s v="Student"/>
    <x v="2"/>
    <x v="186"/>
    <x v="185"/>
  </r>
  <r>
    <s v="OP-20180205"/>
    <x v="1"/>
    <x v="12"/>
    <x v="3"/>
    <s v="OnePlus 6T"/>
    <n v="37999"/>
    <n v="2"/>
    <n v="0.08"/>
    <n v="6079.84"/>
    <n v="69918.16"/>
    <n v="16133.74"/>
    <s v="2020-10-11"/>
    <s v="2020-10-18"/>
    <s v="Student"/>
    <x v="4"/>
    <x v="187"/>
    <x v="186"/>
  </r>
  <r>
    <s v="OP-20180206"/>
    <x v="0"/>
    <x v="0"/>
    <x v="3"/>
    <s v="OnePlus 7 Pro"/>
    <n v="48999"/>
    <n v="2"/>
    <n v="0.1"/>
    <n v="9799.7999999999993"/>
    <n v="88198.2"/>
    <n v="18624.400000000001"/>
    <s v="2020-04-01"/>
    <s v="2020-04-07"/>
    <s v="Individual"/>
    <x v="0"/>
    <x v="188"/>
    <x v="187"/>
  </r>
  <r>
    <s v="OP-20180207"/>
    <x v="1"/>
    <x v="6"/>
    <x v="1"/>
    <s v="OnePlus TV 43Y1 Full HD"/>
    <n v="22999"/>
    <n v="1"/>
    <n v="0.1"/>
    <n v="2299.9"/>
    <n v="20699.099999999999"/>
    <n v="4164.93"/>
    <s v="2018-12-02"/>
    <s v="2018-12-05"/>
    <s v="Individual"/>
    <x v="3"/>
    <x v="189"/>
    <x v="188"/>
  </r>
  <r>
    <s v="OP-20180208"/>
    <x v="2"/>
    <x v="4"/>
    <x v="0"/>
    <s v="OnePlus Protective Case / Bumper"/>
    <n v="1290"/>
    <n v="2"/>
    <n v="0"/>
    <n v="0"/>
    <n v="2580"/>
    <n v="460.92"/>
    <s v="2018-07-30"/>
    <s v="2018-08-06"/>
    <s v="Corporate"/>
    <x v="3"/>
    <x v="190"/>
    <x v="189"/>
  </r>
  <r>
    <s v="OP-20180209"/>
    <x v="3"/>
    <x v="8"/>
    <x v="3"/>
    <s v="OnePlus 7 Pro"/>
    <n v="48999"/>
    <n v="1"/>
    <n v="0.05"/>
    <n v="2449.9499999999998"/>
    <n v="46549.05"/>
    <n v="7340.52"/>
    <s v="2018-07-02"/>
    <s v="2018-07-04"/>
    <s v="Individual"/>
    <x v="0"/>
    <x v="191"/>
    <x v="190"/>
  </r>
  <r>
    <s v="OP-20180210"/>
    <x v="1"/>
    <x v="1"/>
    <x v="0"/>
    <s v="OnePlus Warp Charge 30 Power Adapter"/>
    <n v="1990"/>
    <n v="5"/>
    <n v="0.12"/>
    <n v="1194"/>
    <n v="8756"/>
    <n v="1901"/>
    <s v="2019-02-05"/>
    <s v="2019-02-12"/>
    <s v="Individual"/>
    <x v="3"/>
    <x v="118"/>
    <x v="191"/>
  </r>
  <r>
    <s v="OP-20180211"/>
    <x v="1"/>
    <x v="11"/>
    <x v="4"/>
    <s v="OnePlus Bullets Wireless 2"/>
    <n v="5990"/>
    <n v="2"/>
    <n v="0.12"/>
    <n v="1437.6"/>
    <n v="10542.4"/>
    <n v="1732.67"/>
    <s v="2019-05-15"/>
    <s v="2019-05-21"/>
    <s v="Retail Partner"/>
    <x v="0"/>
    <x v="192"/>
    <x v="192"/>
  </r>
  <r>
    <s v="OP-20180212"/>
    <x v="2"/>
    <x v="19"/>
    <x v="3"/>
    <s v="OnePlus 7T Pro"/>
    <n v="53999"/>
    <n v="1"/>
    <n v="0.05"/>
    <n v="2699.95"/>
    <n v="51299.05"/>
    <n v="12972.58"/>
    <s v="2019-07-01"/>
    <s v="2019-07-08"/>
    <s v="Individual"/>
    <x v="1"/>
    <x v="193"/>
    <x v="193"/>
  </r>
  <r>
    <s v="OP-20180213"/>
    <x v="0"/>
    <x v="14"/>
    <x v="0"/>
    <s v="OnePlus Type-C Bullets Earphones"/>
    <n v="1490"/>
    <n v="1"/>
    <n v="0.12"/>
    <n v="178.8"/>
    <n v="1311.2"/>
    <n v="294.66000000000003"/>
    <s v="2019-09-30"/>
    <s v="2019-10-03"/>
    <s v="Student"/>
    <x v="3"/>
    <x v="194"/>
    <x v="194"/>
  </r>
  <r>
    <s v="OP-20180214"/>
    <x v="1"/>
    <x v="12"/>
    <x v="4"/>
    <s v="OnePlus Buds Z"/>
    <n v="2999"/>
    <n v="2"/>
    <n v="0"/>
    <n v="0"/>
    <n v="5998"/>
    <n v="1380.53"/>
    <s v="2020-09-11"/>
    <s v="2020-09-16"/>
    <s v="Individual"/>
    <x v="0"/>
    <x v="195"/>
    <x v="195"/>
  </r>
  <r>
    <s v="OP-20180215"/>
    <x v="1"/>
    <x v="11"/>
    <x v="3"/>
    <s v="OnePlus 8"/>
    <n v="41999"/>
    <n v="1"/>
    <n v="0.12"/>
    <n v="5039.88"/>
    <n v="36959.120000000003"/>
    <n v="6281.04"/>
    <s v="2018-07-24"/>
    <s v="2018-07-31"/>
    <s v="Individual"/>
    <x v="1"/>
    <x v="196"/>
    <x v="196"/>
  </r>
  <r>
    <s v="OP-20180216"/>
    <x v="1"/>
    <x v="11"/>
    <x v="0"/>
    <s v="OnePlus Protective Case / Bumper"/>
    <n v="1290"/>
    <n v="3"/>
    <n v="0"/>
    <n v="0"/>
    <n v="3870"/>
    <n v="789.06"/>
    <s v="2020-12-29"/>
    <s v="2021-01-01"/>
    <s v="Corporate"/>
    <x v="1"/>
    <x v="46"/>
    <x v="197"/>
  </r>
  <r>
    <s v="OP-20180217"/>
    <x v="1"/>
    <x v="6"/>
    <x v="2"/>
    <s v="OnePlus Nord N10"/>
    <n v="19999"/>
    <n v="3"/>
    <n v="0.1"/>
    <n v="5999.7"/>
    <n v="53997.3"/>
    <n v="11605.7"/>
    <s v="2018-06-14"/>
    <s v="2018-06-17"/>
    <s v="Retail Partner"/>
    <x v="0"/>
    <x v="197"/>
    <x v="198"/>
  </r>
  <r>
    <s v="OP-20180218"/>
    <x v="2"/>
    <x v="19"/>
    <x v="0"/>
    <s v="OnePlus Type-C Bullets Earphones"/>
    <n v="1490"/>
    <n v="1"/>
    <n v="0.15"/>
    <n v="223.5"/>
    <n v="1266.5"/>
    <n v="269.79000000000002"/>
    <s v="2019-03-21"/>
    <s v="2019-03-23"/>
    <s v="Individual"/>
    <x v="3"/>
    <x v="198"/>
    <x v="199"/>
  </r>
  <r>
    <s v="OP-20180219"/>
    <x v="0"/>
    <x v="2"/>
    <x v="3"/>
    <s v="OnePlus 8"/>
    <n v="41999"/>
    <n v="2"/>
    <n v="0.05"/>
    <n v="4199.8999999999996"/>
    <n v="79798.100000000006"/>
    <n v="20560.939999999999"/>
    <s v="2019-07-27"/>
    <s v="2019-07-30"/>
    <s v="Individual"/>
    <x v="1"/>
    <x v="199"/>
    <x v="200"/>
  </r>
  <r>
    <s v="OP-20180220"/>
    <x v="2"/>
    <x v="16"/>
    <x v="0"/>
    <s v="OnePlus Type-C Bullets Earphones"/>
    <n v="1490"/>
    <n v="2"/>
    <n v="0"/>
    <n v="0"/>
    <n v="2980"/>
    <n v="720.06"/>
    <s v="2020-04-21"/>
    <s v="2020-04-27"/>
    <s v="Individual"/>
    <x v="3"/>
    <x v="200"/>
    <x v="201"/>
  </r>
  <r>
    <s v="OP-20180221"/>
    <x v="1"/>
    <x v="15"/>
    <x v="3"/>
    <s v="OnePlus 6T"/>
    <n v="37999"/>
    <n v="3"/>
    <n v="0.05"/>
    <n v="5699.85"/>
    <n v="108297.15"/>
    <n v="24899.040000000001"/>
    <s v="2019-08-11"/>
    <s v="2019-08-18"/>
    <s v="Student"/>
    <x v="1"/>
    <x v="201"/>
    <x v="202"/>
  </r>
  <r>
    <s v="OP-20180222"/>
    <x v="1"/>
    <x v="12"/>
    <x v="3"/>
    <s v="OnePlus 8"/>
    <n v="41999"/>
    <n v="3"/>
    <n v="0.05"/>
    <n v="6299.85"/>
    <n v="119697.15"/>
    <n v="27651.360000000001"/>
    <s v="2020-06-02"/>
    <s v="2020-06-09"/>
    <s v="Individual"/>
    <x v="0"/>
    <x v="202"/>
    <x v="203"/>
  </r>
  <r>
    <s v="OP-20180223"/>
    <x v="2"/>
    <x v="9"/>
    <x v="4"/>
    <s v="OnePlus Buds Z"/>
    <n v="2999"/>
    <n v="1"/>
    <n v="0.05"/>
    <n v="149.94999999999999"/>
    <n v="2849.05"/>
    <n v="735.62"/>
    <s v="2020-11-15"/>
    <s v="2020-11-17"/>
    <s v="Individual"/>
    <x v="0"/>
    <x v="203"/>
    <x v="204"/>
  </r>
  <r>
    <s v="OP-20180224"/>
    <x v="0"/>
    <x v="14"/>
    <x v="3"/>
    <s v="OnePlus 6"/>
    <n v="34999"/>
    <n v="1"/>
    <n v="0.1"/>
    <n v="3499.9"/>
    <n v="31499.1"/>
    <n v="5815.74"/>
    <s v="2019-08-24"/>
    <s v="2019-08-28"/>
    <s v="Individual"/>
    <x v="3"/>
    <x v="204"/>
    <x v="205"/>
  </r>
  <r>
    <s v="OP-20180225"/>
    <x v="3"/>
    <x v="5"/>
    <x v="2"/>
    <s v="OnePlus Nord N10"/>
    <n v="19999"/>
    <n v="1"/>
    <n v="0.05"/>
    <n v="999.95"/>
    <n v="18999.05"/>
    <n v="4386.84"/>
    <s v="2019-04-30"/>
    <s v="2019-05-06"/>
    <s v="Individual"/>
    <x v="3"/>
    <x v="205"/>
    <x v="206"/>
  </r>
  <r>
    <s v="OP-20180226"/>
    <x v="1"/>
    <x v="15"/>
    <x v="2"/>
    <s v="OnePlus Nord N10"/>
    <n v="19999"/>
    <n v="1"/>
    <n v="0.08"/>
    <n v="1599.92"/>
    <n v="18399.080000000002"/>
    <n v="2942.46"/>
    <s v="2020-04-27"/>
    <s v="2020-05-01"/>
    <s v="Individual"/>
    <x v="5"/>
    <x v="206"/>
    <x v="207"/>
  </r>
  <r>
    <s v="OP-20180227"/>
    <x v="1"/>
    <x v="12"/>
    <x v="3"/>
    <s v="OnePlus 6"/>
    <n v="34999"/>
    <n v="1"/>
    <n v="0.05"/>
    <n v="1749.95"/>
    <n v="33249.050000000003"/>
    <n v="7578"/>
    <s v="2019-11-19"/>
    <s v="2019-11-23"/>
    <s v="Individual"/>
    <x v="3"/>
    <x v="101"/>
    <x v="208"/>
  </r>
  <r>
    <s v="OP-20180228"/>
    <x v="3"/>
    <x v="17"/>
    <x v="2"/>
    <s v="OnePlus Nord"/>
    <n v="24999"/>
    <n v="2"/>
    <n v="0.05"/>
    <n v="2499.9"/>
    <n v="47498.1"/>
    <n v="12162.14"/>
    <s v="2019-07-29"/>
    <s v="2019-08-04"/>
    <s v="Retail Partner"/>
    <x v="3"/>
    <x v="30"/>
    <x v="11"/>
  </r>
  <r>
    <s v="OP-20180229"/>
    <x v="2"/>
    <x v="9"/>
    <x v="3"/>
    <s v="OnePlus 7T Pro"/>
    <n v="53999"/>
    <n v="5"/>
    <n v="0.08"/>
    <n v="21599.599999999999"/>
    <n v="248395.4"/>
    <n v="38645.15"/>
    <s v="2018-05-11"/>
    <s v="2018-05-13"/>
    <s v="Individual"/>
    <x v="2"/>
    <x v="207"/>
    <x v="209"/>
  </r>
  <r>
    <s v="OP-20180230"/>
    <x v="1"/>
    <x v="6"/>
    <x v="3"/>
    <s v="OnePlus 7"/>
    <n v="32999"/>
    <n v="1"/>
    <n v="0.1"/>
    <n v="3299.9"/>
    <n v="29699.1"/>
    <n v="7076.93"/>
    <s v="2019-10-08"/>
    <s v="2019-10-12"/>
    <s v="Corporate"/>
    <x v="4"/>
    <x v="69"/>
    <x v="99"/>
  </r>
  <r>
    <s v="OP-20180231"/>
    <x v="3"/>
    <x v="5"/>
    <x v="4"/>
    <s v="OnePlus Bullets Wireless Z"/>
    <n v="1999"/>
    <n v="1"/>
    <n v="0.05"/>
    <n v="99.95"/>
    <n v="1899.05"/>
    <n v="452.56"/>
    <s v="2019-08-11"/>
    <s v="2019-08-16"/>
    <s v="Individual"/>
    <x v="0"/>
    <x v="201"/>
    <x v="210"/>
  </r>
  <r>
    <s v="OP-20180232"/>
    <x v="1"/>
    <x v="15"/>
    <x v="3"/>
    <s v="OnePlus 6"/>
    <n v="34999"/>
    <n v="1"/>
    <n v="0"/>
    <n v="0"/>
    <n v="34999"/>
    <n v="6361.17"/>
    <s v="2020-07-31"/>
    <s v="2020-08-03"/>
    <s v="Corporate"/>
    <x v="3"/>
    <x v="208"/>
    <x v="211"/>
  </r>
  <r>
    <s v="OP-20180233"/>
    <x v="2"/>
    <x v="16"/>
    <x v="3"/>
    <s v="OnePlus 7T"/>
    <n v="37999"/>
    <n v="2"/>
    <n v="0.1"/>
    <n v="7599.8"/>
    <n v="68398.2"/>
    <n v="11660.32"/>
    <s v="2018-10-16"/>
    <s v="2018-10-21"/>
    <s v="Corporate"/>
    <x v="0"/>
    <x v="209"/>
    <x v="212"/>
  </r>
  <r>
    <s v="OP-20180234"/>
    <x v="0"/>
    <x v="14"/>
    <x v="0"/>
    <s v="OnePlus Warp Charge 30 Power Adapter"/>
    <n v="1990"/>
    <n v="1"/>
    <n v="0.1"/>
    <n v="199"/>
    <n v="1791"/>
    <n v="299.57"/>
    <s v="2020-08-25"/>
    <s v="2020-08-29"/>
    <s v="Corporate"/>
    <x v="1"/>
    <x v="210"/>
    <x v="213"/>
  </r>
  <r>
    <s v="OP-20180235"/>
    <x v="0"/>
    <x v="0"/>
    <x v="3"/>
    <s v="OnePlus 7"/>
    <n v="32999"/>
    <n v="2"/>
    <n v="0.05"/>
    <n v="3299.9"/>
    <n v="62698.1"/>
    <n v="14490.15"/>
    <s v="2019-04-05"/>
    <s v="2019-04-07"/>
    <s v="Corporate"/>
    <x v="3"/>
    <x v="138"/>
    <x v="214"/>
  </r>
  <r>
    <s v="OP-20180236"/>
    <x v="2"/>
    <x v="4"/>
    <x v="1"/>
    <s v="OnePlus TV Q1 55-inch"/>
    <n v="69900"/>
    <n v="1"/>
    <n v="0.08"/>
    <n v="5592"/>
    <n v="64308"/>
    <n v="9859.6200000000008"/>
    <s v="2020-06-06"/>
    <s v="2020-06-13"/>
    <s v="Individual"/>
    <x v="5"/>
    <x v="211"/>
    <x v="179"/>
  </r>
  <r>
    <s v="OP-20180237"/>
    <x v="0"/>
    <x v="3"/>
    <x v="1"/>
    <s v="OnePlus TV Q1 55-inch"/>
    <n v="69900"/>
    <n v="1"/>
    <n v="0.05"/>
    <n v="3495"/>
    <n v="66405"/>
    <n v="9631.58"/>
    <s v="2020-05-05"/>
    <s v="2020-05-12"/>
    <s v="Student"/>
    <x v="0"/>
    <x v="212"/>
    <x v="59"/>
  </r>
  <r>
    <s v="OP-20180238"/>
    <x v="3"/>
    <x v="17"/>
    <x v="4"/>
    <s v="OnePlus Buds Z"/>
    <n v="2999"/>
    <n v="3"/>
    <n v="0.1"/>
    <n v="899.7"/>
    <n v="8097.3"/>
    <n v="1915.73"/>
    <s v="2020-09-06"/>
    <s v="2020-09-12"/>
    <s v="Retail Partner"/>
    <x v="3"/>
    <x v="213"/>
    <x v="215"/>
  </r>
  <r>
    <s v="OP-20180239"/>
    <x v="0"/>
    <x v="2"/>
    <x v="1"/>
    <s v="OnePlus TV Q1 55-inch"/>
    <n v="69900"/>
    <n v="1"/>
    <n v="0.08"/>
    <n v="5592"/>
    <n v="64308"/>
    <n v="13175.67"/>
    <s v="2020-07-24"/>
    <s v="2020-07-26"/>
    <s v="Individual"/>
    <x v="0"/>
    <x v="214"/>
    <x v="216"/>
  </r>
  <r>
    <s v="OP-20180240"/>
    <x v="0"/>
    <x v="2"/>
    <x v="4"/>
    <s v="OnePlus Buds Z"/>
    <n v="2999"/>
    <n v="1"/>
    <n v="0.05"/>
    <n v="149.94999999999999"/>
    <n v="2849.05"/>
    <n v="501.41"/>
    <s v="2018-08-10"/>
    <s v="2018-08-12"/>
    <s v="Individual"/>
    <x v="4"/>
    <x v="215"/>
    <x v="217"/>
  </r>
  <r>
    <s v="OP-20180241"/>
    <x v="3"/>
    <x v="18"/>
    <x v="4"/>
    <s v="OnePlus Buds Z"/>
    <n v="2999"/>
    <n v="1"/>
    <n v="0.15"/>
    <n v="449.85"/>
    <n v="2549.15"/>
    <n v="548.42999999999995"/>
    <s v="2020-11-05"/>
    <s v="2020-11-11"/>
    <s v="Student"/>
    <x v="0"/>
    <x v="216"/>
    <x v="218"/>
  </r>
  <r>
    <s v="OP-20180242"/>
    <x v="0"/>
    <x v="3"/>
    <x v="4"/>
    <s v="OnePlus Buds Z"/>
    <n v="2999"/>
    <n v="3"/>
    <n v="0.05"/>
    <n v="449.85"/>
    <n v="8547.15"/>
    <n v="1261.8699999999999"/>
    <s v="2020-10-09"/>
    <s v="2020-10-15"/>
    <s v="Individual"/>
    <x v="0"/>
    <x v="33"/>
    <x v="219"/>
  </r>
  <r>
    <s v="OP-20180243"/>
    <x v="3"/>
    <x v="10"/>
    <x v="3"/>
    <s v="OnePlus 6"/>
    <n v="34999"/>
    <n v="1"/>
    <n v="0.08"/>
    <n v="2799.92"/>
    <n v="32199.08"/>
    <n v="4825.51"/>
    <s v="2019-03-14"/>
    <s v="2019-03-19"/>
    <s v="Individual"/>
    <x v="0"/>
    <x v="217"/>
    <x v="220"/>
  </r>
  <r>
    <s v="OP-20180244"/>
    <x v="0"/>
    <x v="14"/>
    <x v="3"/>
    <s v="OnePlus 8 Pro"/>
    <n v="54999"/>
    <n v="4"/>
    <n v="0.05"/>
    <n v="10999.8"/>
    <n v="208996.2"/>
    <n v="49042.27"/>
    <s v="2018-06-28"/>
    <s v="2018-07-03"/>
    <s v="Corporate"/>
    <x v="0"/>
    <x v="218"/>
    <x v="221"/>
  </r>
  <r>
    <s v="OP-20180245"/>
    <x v="1"/>
    <x v="11"/>
    <x v="4"/>
    <s v="OnePlus Buds"/>
    <n v="4990"/>
    <n v="5"/>
    <n v="0.05"/>
    <n v="1247.5"/>
    <n v="23702.5"/>
    <n v="4090.77"/>
    <s v="2018-12-13"/>
    <s v="2018-12-15"/>
    <s v="Individual"/>
    <x v="3"/>
    <x v="219"/>
    <x v="222"/>
  </r>
  <r>
    <s v="OP-20180246"/>
    <x v="1"/>
    <x v="12"/>
    <x v="0"/>
    <s v="OnePlus Protective Case / Bumper"/>
    <n v="1290"/>
    <n v="1"/>
    <n v="0.05"/>
    <n v="64.5"/>
    <n v="1225.5"/>
    <n v="178.28"/>
    <s v="2018-12-28"/>
    <s v="2018-12-30"/>
    <s v="Individual"/>
    <x v="1"/>
    <x v="220"/>
    <x v="223"/>
  </r>
  <r>
    <s v="OP-20180247"/>
    <x v="2"/>
    <x v="7"/>
    <x v="0"/>
    <s v="OnePlus Warp Charge 30 Wireless Charger"/>
    <n v="3990"/>
    <n v="1"/>
    <n v="0"/>
    <n v="0"/>
    <n v="3990"/>
    <n v="805.93"/>
    <s v="2020-09-24"/>
    <s v="2020-09-26"/>
    <s v="Individual"/>
    <x v="0"/>
    <x v="221"/>
    <x v="106"/>
  </r>
  <r>
    <s v="OP-20180248"/>
    <x v="1"/>
    <x v="11"/>
    <x v="3"/>
    <s v="OnePlus 6"/>
    <n v="34999"/>
    <n v="1"/>
    <n v="0.1"/>
    <n v="3499.9"/>
    <n v="31499.1"/>
    <n v="6572.16"/>
    <s v="2018-11-14"/>
    <s v="2018-11-17"/>
    <s v="Individual"/>
    <x v="4"/>
    <x v="13"/>
    <x v="69"/>
  </r>
  <r>
    <s v="OP-20180249"/>
    <x v="0"/>
    <x v="0"/>
    <x v="0"/>
    <s v="OnePlus Type-C Bullets Earphones"/>
    <n v="1490"/>
    <n v="2"/>
    <n v="0"/>
    <n v="0"/>
    <n v="2980"/>
    <n v="540.65"/>
    <s v="2018-07-02"/>
    <s v="2018-07-04"/>
    <s v="Individual"/>
    <x v="3"/>
    <x v="191"/>
    <x v="190"/>
  </r>
  <r>
    <s v="OP-20180250"/>
    <x v="1"/>
    <x v="1"/>
    <x v="4"/>
    <s v="OnePlus Buds"/>
    <n v="4990"/>
    <n v="4"/>
    <n v="0"/>
    <n v="0"/>
    <n v="19960"/>
    <n v="3728.22"/>
    <s v="2018-01-19"/>
    <s v="2018-01-24"/>
    <s v="Student"/>
    <x v="3"/>
    <x v="222"/>
    <x v="224"/>
  </r>
  <r>
    <s v="OP-20180251"/>
    <x v="1"/>
    <x v="6"/>
    <x v="0"/>
    <s v="OnePlus Warp Charge 30 Wireless Charger"/>
    <n v="3990"/>
    <n v="1"/>
    <n v="0.08"/>
    <n v="319.2"/>
    <n v="3670.8"/>
    <n v="934.16"/>
    <s v="2019-06-04"/>
    <s v="2019-06-06"/>
    <s v="Individual"/>
    <x v="0"/>
    <x v="223"/>
    <x v="25"/>
  </r>
  <r>
    <s v="OP-20180252"/>
    <x v="1"/>
    <x v="12"/>
    <x v="0"/>
    <s v="OnePlus Warp Charge 30 Power Adapter"/>
    <n v="1990"/>
    <n v="3"/>
    <n v="0.05"/>
    <n v="298.5"/>
    <n v="5671.5"/>
    <n v="1246.79"/>
    <s v="2019-10-01"/>
    <s v="2019-10-06"/>
    <s v="Individual"/>
    <x v="0"/>
    <x v="224"/>
    <x v="87"/>
  </r>
  <r>
    <s v="OP-20180253"/>
    <x v="0"/>
    <x v="14"/>
    <x v="0"/>
    <s v="OnePlus Type-C Bullets Earphones"/>
    <n v="1490"/>
    <n v="1"/>
    <n v="0"/>
    <n v="0"/>
    <n v="1490"/>
    <n v="272.02999999999997"/>
    <s v="2020-08-16"/>
    <s v="2020-08-22"/>
    <s v="Corporate"/>
    <x v="1"/>
    <x v="225"/>
    <x v="2"/>
  </r>
  <r>
    <s v="OP-20180254"/>
    <x v="0"/>
    <x v="13"/>
    <x v="4"/>
    <s v="OnePlus Buds Z"/>
    <n v="2999"/>
    <n v="2"/>
    <n v="0.12"/>
    <n v="719.76"/>
    <n v="5278.24"/>
    <n v="1126.95"/>
    <s v="2020-02-10"/>
    <s v="2020-02-15"/>
    <s v="Individual"/>
    <x v="3"/>
    <x v="54"/>
    <x v="225"/>
  </r>
  <r>
    <s v="OP-20180255"/>
    <x v="0"/>
    <x v="3"/>
    <x v="0"/>
    <s v="OnePlus Warp Charge 30 Wireless Charger"/>
    <n v="3990"/>
    <n v="5"/>
    <n v="0.1"/>
    <n v="1995"/>
    <n v="17955"/>
    <n v="4010.89"/>
    <s v="2018-09-25"/>
    <s v="2018-09-29"/>
    <s v="Individual"/>
    <x v="0"/>
    <x v="226"/>
    <x v="226"/>
  </r>
  <r>
    <s v="OP-20180256"/>
    <x v="0"/>
    <x v="0"/>
    <x v="1"/>
    <s v="OnePlus TV 32Y1 HD Ready"/>
    <n v="12999"/>
    <n v="2"/>
    <n v="0"/>
    <n v="0"/>
    <n v="25998"/>
    <n v="5095.42"/>
    <s v="2018-10-04"/>
    <s v="2018-10-11"/>
    <s v="Student"/>
    <x v="1"/>
    <x v="1"/>
    <x v="227"/>
  </r>
  <r>
    <s v="OP-20180257"/>
    <x v="1"/>
    <x v="12"/>
    <x v="1"/>
    <s v="OnePlus TV 32Y1 HD Ready"/>
    <n v="12999"/>
    <n v="1"/>
    <n v="0"/>
    <n v="0"/>
    <n v="12999"/>
    <n v="2419.23"/>
    <s v="2018-07-14"/>
    <s v="2018-07-19"/>
    <s v="Individual"/>
    <x v="3"/>
    <x v="227"/>
    <x v="228"/>
  </r>
  <r>
    <s v="OP-20180258"/>
    <x v="1"/>
    <x v="1"/>
    <x v="0"/>
    <s v="OnePlus Warp Charge 30 Wireless Charger"/>
    <n v="3990"/>
    <n v="1"/>
    <n v="0.05"/>
    <n v="199.5"/>
    <n v="3790.5"/>
    <n v="543.14"/>
    <s v="2019-11-10"/>
    <s v="2019-11-13"/>
    <s v="Individual"/>
    <x v="1"/>
    <x v="228"/>
    <x v="229"/>
  </r>
  <r>
    <s v="OP-20180259"/>
    <x v="1"/>
    <x v="12"/>
    <x v="3"/>
    <s v="OnePlus 6"/>
    <n v="34999"/>
    <n v="4"/>
    <n v="0.05"/>
    <n v="6999.8"/>
    <n v="132996.20000000001"/>
    <n v="26874.37"/>
    <s v="2020-07-02"/>
    <s v="2020-07-07"/>
    <s v="Individual"/>
    <x v="1"/>
    <x v="229"/>
    <x v="230"/>
  </r>
  <r>
    <s v="OP-20180260"/>
    <x v="2"/>
    <x v="7"/>
    <x v="0"/>
    <s v="OnePlus Type-C Bullets Earphones"/>
    <n v="1490"/>
    <n v="1"/>
    <n v="0.1"/>
    <n v="149"/>
    <n v="1341"/>
    <n v="273.2"/>
    <s v="2020-04-12"/>
    <s v="2020-04-17"/>
    <s v="Individual"/>
    <x v="4"/>
    <x v="230"/>
    <x v="231"/>
  </r>
  <r>
    <s v="OP-20180261"/>
    <x v="1"/>
    <x v="1"/>
    <x v="3"/>
    <s v="OnePlus 7"/>
    <n v="32999"/>
    <n v="4"/>
    <n v="0.05"/>
    <n v="6599.8"/>
    <n v="125396.2"/>
    <n v="18142.259999999998"/>
    <s v="2018-12-29"/>
    <s v="2019-01-02"/>
    <s v="Individual"/>
    <x v="0"/>
    <x v="231"/>
    <x v="161"/>
  </r>
  <r>
    <s v="OP-20180262"/>
    <x v="2"/>
    <x v="19"/>
    <x v="2"/>
    <s v="OnePlus Nord N10"/>
    <n v="19999"/>
    <n v="3"/>
    <n v="0"/>
    <n v="0"/>
    <n v="59997"/>
    <n v="15281.85"/>
    <s v="2020-11-24"/>
    <s v="2020-12-01"/>
    <s v="Individual"/>
    <x v="2"/>
    <x v="232"/>
    <x v="232"/>
  </r>
  <r>
    <s v="OP-20180263"/>
    <x v="3"/>
    <x v="8"/>
    <x v="0"/>
    <s v="OnePlus Warp Charge 30 Power Adapter"/>
    <n v="1990"/>
    <n v="1"/>
    <n v="0"/>
    <n v="0"/>
    <n v="1990"/>
    <n v="510.41"/>
    <s v="2018-03-09"/>
    <s v="2018-03-15"/>
    <s v="Individual"/>
    <x v="3"/>
    <x v="233"/>
    <x v="233"/>
  </r>
  <r>
    <s v="OP-20180264"/>
    <x v="0"/>
    <x v="0"/>
    <x v="1"/>
    <s v="OnePlus TV Q1 55-inch"/>
    <n v="69900"/>
    <n v="1"/>
    <n v="0.1"/>
    <n v="6990"/>
    <n v="62910"/>
    <n v="14159.89"/>
    <s v="2020-02-01"/>
    <s v="2020-02-03"/>
    <s v="Individual"/>
    <x v="3"/>
    <x v="234"/>
    <x v="234"/>
  </r>
  <r>
    <s v="OP-20180265"/>
    <x v="1"/>
    <x v="1"/>
    <x v="3"/>
    <s v="OnePlus 8"/>
    <n v="41999"/>
    <n v="1"/>
    <n v="0"/>
    <n v="0"/>
    <n v="41999"/>
    <n v="8818.0300000000007"/>
    <s v="2019-04-28"/>
    <s v="2019-05-04"/>
    <s v="Individual"/>
    <x v="1"/>
    <x v="166"/>
    <x v="235"/>
  </r>
  <r>
    <s v="OP-20180266"/>
    <x v="0"/>
    <x v="2"/>
    <x v="3"/>
    <s v="OnePlus 7"/>
    <n v="32999"/>
    <n v="3"/>
    <n v="0.08"/>
    <n v="7919.76"/>
    <n v="91077.24"/>
    <n v="18973.689999999999"/>
    <s v="2020-02-01"/>
    <s v="2020-02-05"/>
    <s v="Individual"/>
    <x v="1"/>
    <x v="234"/>
    <x v="236"/>
  </r>
  <r>
    <s v="OP-20180267"/>
    <x v="1"/>
    <x v="12"/>
    <x v="3"/>
    <s v="OnePlus 7T"/>
    <n v="37999"/>
    <n v="1"/>
    <n v="0"/>
    <n v="0"/>
    <n v="37999"/>
    <n v="9715.7199999999993"/>
    <s v="2018-09-24"/>
    <s v="2018-10-01"/>
    <s v="Individual"/>
    <x v="5"/>
    <x v="235"/>
    <x v="237"/>
  </r>
  <r>
    <s v="OP-20180268"/>
    <x v="1"/>
    <x v="1"/>
    <x v="3"/>
    <s v="OnePlus 8"/>
    <n v="41999"/>
    <n v="1"/>
    <n v="0.1"/>
    <n v="4199.8999999999996"/>
    <n v="37799.1"/>
    <n v="6542.73"/>
    <s v="2019-07-12"/>
    <s v="2019-07-15"/>
    <s v="Retail Partner"/>
    <x v="0"/>
    <x v="236"/>
    <x v="238"/>
  </r>
  <r>
    <s v="OP-20180269"/>
    <x v="0"/>
    <x v="14"/>
    <x v="4"/>
    <s v="OnePlus Bullets Wireless Z"/>
    <n v="1999"/>
    <n v="2"/>
    <n v="0.05"/>
    <n v="199.9"/>
    <n v="3798.1"/>
    <n v="669.58"/>
    <s v="2019-02-11"/>
    <s v="2019-02-15"/>
    <s v="Individual"/>
    <x v="1"/>
    <x v="237"/>
    <x v="20"/>
  </r>
  <r>
    <s v="OP-20180270"/>
    <x v="0"/>
    <x v="3"/>
    <x v="1"/>
    <s v="OnePlus TV 32Y1 HD Ready"/>
    <n v="12999"/>
    <n v="1"/>
    <n v="0.1"/>
    <n v="1299.9000000000001"/>
    <n v="11699.1"/>
    <n v="2711.19"/>
    <s v="2020-02-11"/>
    <s v="2020-02-17"/>
    <s v="Individual"/>
    <x v="4"/>
    <x v="238"/>
    <x v="239"/>
  </r>
  <r>
    <s v="OP-20180271"/>
    <x v="1"/>
    <x v="6"/>
    <x v="0"/>
    <s v="OnePlus Type-C Bullets Earphones"/>
    <n v="1490"/>
    <n v="2"/>
    <n v="0.05"/>
    <n v="149"/>
    <n v="2831"/>
    <n v="478"/>
    <s v="2019-03-19"/>
    <s v="2019-03-25"/>
    <s v="Individual"/>
    <x v="3"/>
    <x v="239"/>
    <x v="240"/>
  </r>
  <r>
    <s v="OP-20180272"/>
    <x v="3"/>
    <x v="10"/>
    <x v="4"/>
    <s v="OnePlus Bullets Wireless 2"/>
    <n v="5990"/>
    <n v="3"/>
    <n v="0.05"/>
    <n v="898.5"/>
    <n v="17071.5"/>
    <n v="3685.83"/>
    <s v="2018-10-04"/>
    <s v="2018-10-09"/>
    <s v="Student"/>
    <x v="0"/>
    <x v="1"/>
    <x v="241"/>
  </r>
  <r>
    <s v="OP-20180273"/>
    <x v="1"/>
    <x v="12"/>
    <x v="0"/>
    <s v="OnePlus Warp Charge 30 Power Adapter"/>
    <n v="1990"/>
    <n v="5"/>
    <n v="0"/>
    <n v="0"/>
    <n v="9950"/>
    <n v="2580.61"/>
    <s v="2019-06-26"/>
    <s v="2019-06-30"/>
    <s v="Corporate"/>
    <x v="2"/>
    <x v="240"/>
    <x v="242"/>
  </r>
  <r>
    <s v="OP-20180274"/>
    <x v="2"/>
    <x v="19"/>
    <x v="4"/>
    <s v="OnePlus Buds"/>
    <n v="4990"/>
    <n v="2"/>
    <n v="0.1"/>
    <n v="998"/>
    <n v="8982"/>
    <n v="1967.28"/>
    <s v="2018-09-14"/>
    <s v="2018-09-19"/>
    <s v="Corporate"/>
    <x v="0"/>
    <x v="241"/>
    <x v="243"/>
  </r>
  <r>
    <s v="OP-20180275"/>
    <x v="0"/>
    <x v="13"/>
    <x v="4"/>
    <s v="OnePlus Buds Z"/>
    <n v="2999"/>
    <n v="1"/>
    <n v="0.08"/>
    <n v="239.92"/>
    <n v="2759.08"/>
    <n v="394.38"/>
    <s v="2020-06-28"/>
    <s v="2020-07-03"/>
    <s v="Individual"/>
    <x v="3"/>
    <x v="242"/>
    <x v="244"/>
  </r>
  <r>
    <s v="OP-20180276"/>
    <x v="1"/>
    <x v="1"/>
    <x v="3"/>
    <s v="OnePlus 7T Pro"/>
    <n v="53999"/>
    <n v="1"/>
    <n v="0"/>
    <n v="0"/>
    <n v="53999"/>
    <n v="10803.85"/>
    <s v="2018-11-18"/>
    <s v="2018-11-21"/>
    <s v="Corporate"/>
    <x v="3"/>
    <x v="243"/>
    <x v="245"/>
  </r>
  <r>
    <s v="OP-20180277"/>
    <x v="1"/>
    <x v="15"/>
    <x v="3"/>
    <s v="OnePlus 8"/>
    <n v="41999"/>
    <n v="1"/>
    <n v="0.05"/>
    <n v="2099.9499999999998"/>
    <n v="39899.050000000003"/>
    <n v="6315.2"/>
    <s v="2020-11-16"/>
    <s v="2020-11-23"/>
    <s v="Individual"/>
    <x v="1"/>
    <x v="244"/>
    <x v="246"/>
  </r>
  <r>
    <s v="OP-20180278"/>
    <x v="1"/>
    <x v="12"/>
    <x v="1"/>
    <s v="OnePlus TV 32Y1 HD Ready"/>
    <n v="12999"/>
    <n v="1"/>
    <n v="0"/>
    <n v="0"/>
    <n v="12999"/>
    <n v="2468.96"/>
    <s v="2019-12-27"/>
    <s v="2019-12-29"/>
    <s v="Corporate"/>
    <x v="5"/>
    <x v="245"/>
    <x v="247"/>
  </r>
  <r>
    <s v="OP-20180279"/>
    <x v="0"/>
    <x v="14"/>
    <x v="3"/>
    <s v="OnePlus 8 Pro"/>
    <n v="54999"/>
    <n v="1"/>
    <n v="0.08"/>
    <n v="4399.92"/>
    <n v="50599.08"/>
    <n v="10279.379999999999"/>
    <s v="2019-02-16"/>
    <s v="2019-02-23"/>
    <s v="Student"/>
    <x v="2"/>
    <x v="246"/>
    <x v="248"/>
  </r>
  <r>
    <s v="OP-20180280"/>
    <x v="0"/>
    <x v="14"/>
    <x v="4"/>
    <s v="OnePlus Buds"/>
    <n v="4990"/>
    <n v="3"/>
    <n v="0.08"/>
    <n v="1197.5999999999999"/>
    <n v="13772.4"/>
    <n v="2591.6"/>
    <s v="2020-04-29"/>
    <s v="2020-05-02"/>
    <s v="Corporate"/>
    <x v="0"/>
    <x v="247"/>
    <x v="249"/>
  </r>
  <r>
    <s v="OP-20180281"/>
    <x v="0"/>
    <x v="2"/>
    <x v="0"/>
    <s v="OnePlus Type-C Bullets Earphones"/>
    <n v="1490"/>
    <n v="1"/>
    <n v="0"/>
    <n v="0"/>
    <n v="1490"/>
    <n v="257.98"/>
    <s v="2018-10-21"/>
    <s v="2018-10-23"/>
    <s v="Individual"/>
    <x v="2"/>
    <x v="248"/>
    <x v="250"/>
  </r>
  <r>
    <s v="OP-20180282"/>
    <x v="1"/>
    <x v="6"/>
    <x v="4"/>
    <s v="OnePlus Bullets Wireless Z"/>
    <n v="1999"/>
    <n v="2"/>
    <n v="0.05"/>
    <n v="199.9"/>
    <n v="3798.1"/>
    <n v="578.16999999999996"/>
    <s v="2019-07-31"/>
    <s v="2019-08-04"/>
    <s v="Individual"/>
    <x v="2"/>
    <x v="249"/>
    <x v="11"/>
  </r>
  <r>
    <s v="OP-20180283"/>
    <x v="0"/>
    <x v="14"/>
    <x v="0"/>
    <s v="OnePlus Protective Case / Bumper"/>
    <n v="1290"/>
    <n v="3"/>
    <n v="0.05"/>
    <n v="193.5"/>
    <n v="3676.5"/>
    <n v="916.16"/>
    <s v="2019-09-16"/>
    <s v="2019-09-21"/>
    <s v="Corporate"/>
    <x v="0"/>
    <x v="250"/>
    <x v="251"/>
  </r>
  <r>
    <s v="OP-20180284"/>
    <x v="1"/>
    <x v="6"/>
    <x v="3"/>
    <s v="OnePlus 6"/>
    <n v="34999"/>
    <n v="4"/>
    <n v="0.1"/>
    <n v="13999.6"/>
    <n v="125996.4"/>
    <n v="27858.02"/>
    <s v="2018-06-24"/>
    <s v="2018-06-30"/>
    <s v="Corporate"/>
    <x v="3"/>
    <x v="251"/>
    <x v="252"/>
  </r>
  <r>
    <s v="OP-20180285"/>
    <x v="3"/>
    <x v="5"/>
    <x v="4"/>
    <s v="OnePlus Bullets Wireless 2"/>
    <n v="5990"/>
    <n v="4"/>
    <n v="0.08"/>
    <n v="1916.8"/>
    <n v="22043.200000000001"/>
    <n v="3874.45"/>
    <s v="2019-06-17"/>
    <s v="2019-06-22"/>
    <s v="Corporate"/>
    <x v="3"/>
    <x v="252"/>
    <x v="253"/>
  </r>
  <r>
    <s v="OP-20180286"/>
    <x v="1"/>
    <x v="6"/>
    <x v="0"/>
    <s v="OnePlus Warp Charge 30 Wireless Charger"/>
    <n v="3990"/>
    <n v="1"/>
    <n v="0.1"/>
    <n v="399"/>
    <n v="3591"/>
    <n v="707.84"/>
    <s v="2018-08-15"/>
    <s v="2018-08-20"/>
    <s v="Individual"/>
    <x v="5"/>
    <x v="253"/>
    <x v="254"/>
  </r>
  <r>
    <s v="OP-20180287"/>
    <x v="1"/>
    <x v="6"/>
    <x v="4"/>
    <s v="OnePlus Buds"/>
    <n v="4990"/>
    <n v="1"/>
    <n v="0.08"/>
    <n v="399.2"/>
    <n v="4590.8"/>
    <n v="847.18"/>
    <s v="2020-08-09"/>
    <s v="2020-08-16"/>
    <s v="Individual"/>
    <x v="3"/>
    <x v="14"/>
    <x v="255"/>
  </r>
  <r>
    <s v="OP-20180288"/>
    <x v="2"/>
    <x v="4"/>
    <x v="2"/>
    <s v="OnePlus Nord"/>
    <n v="24999"/>
    <n v="1"/>
    <n v="0.08"/>
    <n v="1999.92"/>
    <n v="22999.08"/>
    <n v="5258.32"/>
    <s v="2020-11-17"/>
    <s v="2020-11-24"/>
    <s v="Individual"/>
    <x v="1"/>
    <x v="254"/>
    <x v="256"/>
  </r>
  <r>
    <s v="OP-20180289"/>
    <x v="2"/>
    <x v="16"/>
    <x v="3"/>
    <s v="OnePlus 7 Pro"/>
    <n v="48999"/>
    <n v="1"/>
    <n v="0"/>
    <n v="0"/>
    <n v="48999"/>
    <n v="10780.96"/>
    <s v="2018-02-18"/>
    <s v="2018-02-25"/>
    <s v="Corporate"/>
    <x v="1"/>
    <x v="255"/>
    <x v="111"/>
  </r>
  <r>
    <s v="OP-20180290"/>
    <x v="1"/>
    <x v="15"/>
    <x v="4"/>
    <s v="OnePlus Buds Z"/>
    <n v="2999"/>
    <n v="1"/>
    <n v="0.12"/>
    <n v="359.88"/>
    <n v="2639.12"/>
    <n v="634.95000000000005"/>
    <s v="2020-05-17"/>
    <s v="2020-05-24"/>
    <s v="Individual"/>
    <x v="1"/>
    <x v="256"/>
    <x v="257"/>
  </r>
  <r>
    <s v="OP-20180291"/>
    <x v="0"/>
    <x v="2"/>
    <x v="4"/>
    <s v="OnePlus Bullets Wireless Z"/>
    <n v="1999"/>
    <n v="1"/>
    <n v="0"/>
    <n v="0"/>
    <n v="1999"/>
    <n v="391.19"/>
    <s v="2020-01-10"/>
    <s v="2020-01-13"/>
    <s v="Individual"/>
    <x v="3"/>
    <x v="257"/>
    <x v="258"/>
  </r>
  <r>
    <s v="OP-20180292"/>
    <x v="0"/>
    <x v="14"/>
    <x v="0"/>
    <s v="OnePlus Warp Charge 30 Wireless Charger"/>
    <n v="3990"/>
    <n v="2"/>
    <n v="0.05"/>
    <n v="399"/>
    <n v="7581"/>
    <n v="1949.24"/>
    <s v="2018-06-24"/>
    <s v="2018-07-01"/>
    <s v="Individual"/>
    <x v="0"/>
    <x v="251"/>
    <x v="259"/>
  </r>
  <r>
    <s v="OP-20180293"/>
    <x v="0"/>
    <x v="0"/>
    <x v="3"/>
    <s v="OnePlus 6"/>
    <n v="34999"/>
    <n v="2"/>
    <n v="0"/>
    <n v="0"/>
    <n v="69998"/>
    <n v="15191.19"/>
    <s v="2018-01-12"/>
    <s v="2018-01-16"/>
    <s v="Corporate"/>
    <x v="1"/>
    <x v="258"/>
    <x v="260"/>
  </r>
  <r>
    <s v="OP-20180294"/>
    <x v="3"/>
    <x v="17"/>
    <x v="2"/>
    <s v="OnePlus Nord"/>
    <n v="24999"/>
    <n v="1"/>
    <n v="0.1"/>
    <n v="2499.9"/>
    <n v="22499.1"/>
    <n v="4786.3999999999996"/>
    <s v="2020-12-04"/>
    <s v="2020-12-11"/>
    <s v="Individual"/>
    <x v="5"/>
    <x v="259"/>
    <x v="261"/>
  </r>
  <r>
    <s v="OP-20180295"/>
    <x v="2"/>
    <x v="19"/>
    <x v="3"/>
    <s v="OnePlus 6T"/>
    <n v="37999"/>
    <n v="2"/>
    <n v="0.05"/>
    <n v="3799.9"/>
    <n v="72198.100000000006"/>
    <n v="10625.1"/>
    <s v="2019-05-31"/>
    <s v="2019-06-03"/>
    <s v="Retail Partner"/>
    <x v="0"/>
    <x v="37"/>
    <x v="29"/>
  </r>
  <r>
    <s v="OP-20180296"/>
    <x v="0"/>
    <x v="14"/>
    <x v="0"/>
    <s v="OnePlus Protective Case / Bumper"/>
    <n v="1290"/>
    <n v="2"/>
    <n v="0.08"/>
    <n v="206.4"/>
    <n v="2373.6"/>
    <n v="553.6"/>
    <s v="2018-12-28"/>
    <s v="2018-12-30"/>
    <s v="Individual"/>
    <x v="3"/>
    <x v="220"/>
    <x v="223"/>
  </r>
  <r>
    <s v="OP-20180297"/>
    <x v="0"/>
    <x v="3"/>
    <x v="4"/>
    <s v="OnePlus Buds"/>
    <n v="4990"/>
    <n v="2"/>
    <n v="0.08"/>
    <n v="798.4"/>
    <n v="9181.6"/>
    <n v="1713.1"/>
    <s v="2019-05-06"/>
    <s v="2019-05-08"/>
    <s v="Individual"/>
    <x v="4"/>
    <x v="260"/>
    <x v="262"/>
  </r>
  <r>
    <s v="OP-20180298"/>
    <x v="0"/>
    <x v="14"/>
    <x v="0"/>
    <s v="OnePlus Warp Charge 30 Power Adapter"/>
    <n v="1990"/>
    <n v="1"/>
    <n v="0.08"/>
    <n v="159.19999999999999"/>
    <n v="1830.8"/>
    <n v="407.92"/>
    <s v="2018-01-05"/>
    <s v="2018-01-10"/>
    <s v="Individual"/>
    <x v="1"/>
    <x v="261"/>
    <x v="263"/>
  </r>
  <r>
    <s v="OP-20180299"/>
    <x v="1"/>
    <x v="15"/>
    <x v="3"/>
    <s v="OnePlus 7T Pro"/>
    <n v="53999"/>
    <n v="1"/>
    <n v="0"/>
    <n v="0"/>
    <n v="53999"/>
    <n v="10803.71"/>
    <s v="2018-10-04"/>
    <s v="2018-10-11"/>
    <s v="Individual"/>
    <x v="0"/>
    <x v="1"/>
    <x v="227"/>
  </r>
  <r>
    <s v="OP-20180300"/>
    <x v="2"/>
    <x v="4"/>
    <x v="4"/>
    <s v="OnePlus Buds Z"/>
    <n v="2999"/>
    <n v="1"/>
    <n v="0.05"/>
    <n v="149.94999999999999"/>
    <n v="2849.05"/>
    <n v="413.88"/>
    <s v="2020-09-16"/>
    <s v="2020-09-23"/>
    <s v="Individual"/>
    <x v="0"/>
    <x v="262"/>
    <x v="264"/>
  </r>
  <r>
    <s v="OP-20180301"/>
    <x v="1"/>
    <x v="12"/>
    <x v="0"/>
    <s v="OnePlus Type-C Bullets Earphones"/>
    <n v="1490"/>
    <n v="5"/>
    <n v="0.1"/>
    <n v="745"/>
    <n v="6705"/>
    <n v="1625.66"/>
    <s v="2018-09-29"/>
    <s v="2018-10-04"/>
    <s v="Retail Partner"/>
    <x v="4"/>
    <x v="263"/>
    <x v="265"/>
  </r>
  <r>
    <s v="OP-20180302"/>
    <x v="2"/>
    <x v="4"/>
    <x v="4"/>
    <s v="OnePlus Bullets Wireless Z"/>
    <n v="1999"/>
    <n v="1"/>
    <n v="0.05"/>
    <n v="99.95"/>
    <n v="1899.05"/>
    <n v="401.13"/>
    <s v="2018-11-07"/>
    <s v="2018-11-14"/>
    <s v="Individual"/>
    <x v="4"/>
    <x v="144"/>
    <x v="266"/>
  </r>
  <r>
    <s v="OP-20180303"/>
    <x v="1"/>
    <x v="1"/>
    <x v="3"/>
    <s v="OnePlus 6T"/>
    <n v="37999"/>
    <n v="2"/>
    <n v="0.05"/>
    <n v="3799.9"/>
    <n v="72198.100000000006"/>
    <n v="18363.41"/>
    <s v="2020-07-18"/>
    <s v="2020-07-24"/>
    <s v="Student"/>
    <x v="3"/>
    <x v="264"/>
    <x v="267"/>
  </r>
  <r>
    <s v="OP-20180304"/>
    <x v="0"/>
    <x v="2"/>
    <x v="4"/>
    <s v="OnePlus Bullets Wireless 2"/>
    <n v="5990"/>
    <n v="2"/>
    <n v="0"/>
    <n v="0"/>
    <n v="11980"/>
    <n v="2489.5700000000002"/>
    <s v="2018-04-03"/>
    <s v="2018-04-10"/>
    <s v="Individual"/>
    <x v="2"/>
    <x v="265"/>
    <x v="268"/>
  </r>
  <r>
    <s v="OP-20180305"/>
    <x v="2"/>
    <x v="9"/>
    <x v="2"/>
    <s v="OnePlus Nord N10"/>
    <n v="19999"/>
    <n v="2"/>
    <n v="0"/>
    <n v="0"/>
    <n v="39998"/>
    <n v="9478.31"/>
    <s v="2020-05-21"/>
    <s v="2020-05-24"/>
    <s v="Individual"/>
    <x v="2"/>
    <x v="80"/>
    <x v="257"/>
  </r>
  <r>
    <s v="OP-20180306"/>
    <x v="1"/>
    <x v="1"/>
    <x v="3"/>
    <s v="OnePlus 7"/>
    <n v="32999"/>
    <n v="3"/>
    <n v="0"/>
    <n v="0"/>
    <n v="98997"/>
    <n v="24567.69"/>
    <s v="2019-10-29"/>
    <s v="2019-11-01"/>
    <s v="Retail Partner"/>
    <x v="0"/>
    <x v="60"/>
    <x v="148"/>
  </r>
  <r>
    <s v="OP-20180307"/>
    <x v="2"/>
    <x v="16"/>
    <x v="3"/>
    <s v="OnePlus 7"/>
    <n v="32999"/>
    <n v="1"/>
    <n v="0.1"/>
    <n v="3299.9"/>
    <n v="29699.1"/>
    <n v="7431.05"/>
    <s v="2019-12-19"/>
    <s v="2019-12-21"/>
    <s v="Corporate"/>
    <x v="0"/>
    <x v="266"/>
    <x v="269"/>
  </r>
  <r>
    <s v="OP-20180308"/>
    <x v="0"/>
    <x v="3"/>
    <x v="0"/>
    <s v="OnePlus Protective Case / Bumper"/>
    <n v="1290"/>
    <n v="2"/>
    <n v="0"/>
    <n v="0"/>
    <n v="2580"/>
    <n v="420.52"/>
    <s v="2018-11-11"/>
    <s v="2018-11-15"/>
    <s v="Corporate"/>
    <x v="0"/>
    <x v="67"/>
    <x v="270"/>
  </r>
  <r>
    <s v="OP-20180309"/>
    <x v="3"/>
    <x v="10"/>
    <x v="4"/>
    <s v="OnePlus Buds"/>
    <n v="4990"/>
    <n v="1"/>
    <n v="0.05"/>
    <n v="249.5"/>
    <n v="4740.5"/>
    <n v="1072.77"/>
    <s v="2020-04-03"/>
    <s v="2020-04-07"/>
    <s v="Individual"/>
    <x v="0"/>
    <x v="267"/>
    <x v="187"/>
  </r>
  <r>
    <s v="OP-20180310"/>
    <x v="2"/>
    <x v="19"/>
    <x v="3"/>
    <s v="OnePlus 8"/>
    <n v="41999"/>
    <n v="3"/>
    <n v="0.12"/>
    <n v="15119.64"/>
    <n v="110877.36"/>
    <n v="27398.57"/>
    <s v="2019-02-09"/>
    <s v="2019-02-16"/>
    <s v="Corporate"/>
    <x v="1"/>
    <x v="268"/>
    <x v="175"/>
  </r>
  <r>
    <s v="OP-20180311"/>
    <x v="0"/>
    <x v="14"/>
    <x v="4"/>
    <s v="OnePlus Buds"/>
    <n v="4990"/>
    <n v="1"/>
    <n v="0"/>
    <n v="0"/>
    <n v="4990"/>
    <n v="897.14"/>
    <s v="2019-09-07"/>
    <s v="2019-09-14"/>
    <s v="Individual"/>
    <x v="0"/>
    <x v="269"/>
    <x v="271"/>
  </r>
  <r>
    <s v="OP-20180312"/>
    <x v="1"/>
    <x v="1"/>
    <x v="3"/>
    <s v="OnePlus 7T"/>
    <n v="37999"/>
    <n v="1"/>
    <n v="0"/>
    <n v="0"/>
    <n v="37999"/>
    <n v="9089.73"/>
    <s v="2018-07-08"/>
    <s v="2018-07-13"/>
    <s v="Corporate"/>
    <x v="3"/>
    <x v="270"/>
    <x v="272"/>
  </r>
  <r>
    <s v="OP-20180313"/>
    <x v="2"/>
    <x v="7"/>
    <x v="3"/>
    <s v="OnePlus 6T"/>
    <n v="37999"/>
    <n v="3"/>
    <n v="0.05"/>
    <n v="5699.85"/>
    <n v="108297.15"/>
    <n v="18832.52"/>
    <s v="2018-10-06"/>
    <s v="2018-10-12"/>
    <s v="Individual"/>
    <x v="0"/>
    <x v="271"/>
    <x v="273"/>
  </r>
  <r>
    <s v="OP-20180314"/>
    <x v="2"/>
    <x v="16"/>
    <x v="3"/>
    <s v="OnePlus 7T Pro"/>
    <n v="53999"/>
    <n v="1"/>
    <n v="0.15"/>
    <n v="8099.85"/>
    <n v="45899.15"/>
    <n v="7671.36"/>
    <s v="2018-07-31"/>
    <s v="2018-08-04"/>
    <s v="Student"/>
    <x v="0"/>
    <x v="272"/>
    <x v="274"/>
  </r>
  <r>
    <s v="OP-20180315"/>
    <x v="1"/>
    <x v="11"/>
    <x v="3"/>
    <s v="OnePlus 7T Pro"/>
    <n v="53999"/>
    <n v="2"/>
    <n v="0.08"/>
    <n v="8639.84"/>
    <n v="99358.16"/>
    <n v="18869.43"/>
    <s v="2018-11-02"/>
    <s v="2018-11-09"/>
    <s v="Individual"/>
    <x v="3"/>
    <x v="273"/>
    <x v="275"/>
  </r>
  <r>
    <s v="OP-20180316"/>
    <x v="2"/>
    <x v="16"/>
    <x v="0"/>
    <s v="OnePlus Warp Charge 30 Wireless Charger"/>
    <n v="3990"/>
    <n v="3"/>
    <n v="0.1"/>
    <n v="1197"/>
    <n v="10773"/>
    <n v="2781.41"/>
    <s v="2019-05-19"/>
    <s v="2019-05-26"/>
    <s v="Individual"/>
    <x v="3"/>
    <x v="274"/>
    <x v="276"/>
  </r>
  <r>
    <s v="OP-20180317"/>
    <x v="2"/>
    <x v="7"/>
    <x v="2"/>
    <s v="OnePlus Nord N10"/>
    <n v="19999"/>
    <n v="2"/>
    <n v="0"/>
    <n v="0"/>
    <n v="39998"/>
    <n v="9346.56"/>
    <s v="2019-06-05"/>
    <s v="2019-06-07"/>
    <s v="Retail Partner"/>
    <x v="0"/>
    <x v="275"/>
    <x v="277"/>
  </r>
  <r>
    <s v="OP-20180318"/>
    <x v="1"/>
    <x v="11"/>
    <x v="0"/>
    <s v="OnePlus Warp Charge 30 Wireless Charger"/>
    <n v="3990"/>
    <n v="1"/>
    <n v="0.08"/>
    <n v="319.2"/>
    <n v="3670.8"/>
    <n v="848.25"/>
    <s v="2020-01-23"/>
    <s v="2020-01-25"/>
    <s v="Corporate"/>
    <x v="0"/>
    <x v="276"/>
    <x v="278"/>
  </r>
  <r>
    <s v="OP-20180319"/>
    <x v="3"/>
    <x v="10"/>
    <x v="3"/>
    <s v="OnePlus 8 Pro"/>
    <n v="54999"/>
    <n v="1"/>
    <n v="0"/>
    <n v="0"/>
    <n v="54999"/>
    <n v="13002.98"/>
    <s v="2020-10-03"/>
    <s v="2020-10-06"/>
    <s v="Corporate"/>
    <x v="5"/>
    <x v="90"/>
    <x v="92"/>
  </r>
  <r>
    <s v="OP-20180320"/>
    <x v="1"/>
    <x v="1"/>
    <x v="2"/>
    <s v="OnePlus Nord"/>
    <n v="24999"/>
    <n v="1"/>
    <n v="0.05"/>
    <n v="1249.95"/>
    <n v="23749.05"/>
    <n v="4281.32"/>
    <s v="2018-09-02"/>
    <s v="2018-09-06"/>
    <s v="Individual"/>
    <x v="3"/>
    <x v="277"/>
    <x v="279"/>
  </r>
  <r>
    <s v="OP-20180321"/>
    <x v="2"/>
    <x v="19"/>
    <x v="3"/>
    <s v="OnePlus 6"/>
    <n v="34999"/>
    <n v="1"/>
    <n v="0.05"/>
    <n v="1749.95"/>
    <n v="33249.050000000003"/>
    <n v="6676.43"/>
    <s v="2020-05-13"/>
    <s v="2020-05-18"/>
    <s v="Individual"/>
    <x v="0"/>
    <x v="10"/>
    <x v="280"/>
  </r>
  <r>
    <s v="OP-20180322"/>
    <x v="2"/>
    <x v="4"/>
    <x v="3"/>
    <s v="OnePlus 6"/>
    <n v="34999"/>
    <n v="5"/>
    <n v="0.05"/>
    <n v="8749.75"/>
    <n v="166245.25"/>
    <n v="27961.919999999998"/>
    <s v="2020-07-13"/>
    <s v="2020-07-17"/>
    <s v="Corporate"/>
    <x v="1"/>
    <x v="88"/>
    <x v="91"/>
  </r>
  <r>
    <s v="OP-20180323"/>
    <x v="0"/>
    <x v="0"/>
    <x v="3"/>
    <s v="OnePlus 6"/>
    <n v="34999"/>
    <n v="1"/>
    <n v="0.05"/>
    <n v="1749.95"/>
    <n v="33249.050000000003"/>
    <n v="5127.6400000000003"/>
    <s v="2019-10-21"/>
    <s v="2019-10-26"/>
    <s v="Individual"/>
    <x v="5"/>
    <x v="278"/>
    <x v="281"/>
  </r>
  <r>
    <s v="OP-20180324"/>
    <x v="2"/>
    <x v="9"/>
    <x v="4"/>
    <s v="OnePlus Bullets Wireless Z"/>
    <n v="1999"/>
    <n v="1"/>
    <n v="0.1"/>
    <n v="199.9"/>
    <n v="1799.1"/>
    <n v="397.11"/>
    <s v="2020-04-19"/>
    <s v="2020-04-26"/>
    <s v="Individual"/>
    <x v="3"/>
    <x v="279"/>
    <x v="282"/>
  </r>
  <r>
    <s v="OP-20180325"/>
    <x v="2"/>
    <x v="7"/>
    <x v="1"/>
    <s v="OnePlus TV Q1 55-inch"/>
    <n v="69900"/>
    <n v="1"/>
    <n v="0.08"/>
    <n v="5592"/>
    <n v="64308"/>
    <n v="9403.1299999999992"/>
    <s v="2018-04-23"/>
    <s v="2018-04-28"/>
    <s v="Individual"/>
    <x v="0"/>
    <x v="280"/>
    <x v="283"/>
  </r>
  <r>
    <s v="OP-20180326"/>
    <x v="0"/>
    <x v="2"/>
    <x v="3"/>
    <s v="OnePlus 7T Pro"/>
    <n v="53999"/>
    <n v="1"/>
    <n v="0.08"/>
    <n v="4319.92"/>
    <n v="49679.08"/>
    <n v="9366.66"/>
    <s v="2018-04-28"/>
    <s v="2018-05-02"/>
    <s v="Individual"/>
    <x v="0"/>
    <x v="281"/>
    <x v="284"/>
  </r>
  <r>
    <s v="OP-20180327"/>
    <x v="0"/>
    <x v="0"/>
    <x v="3"/>
    <s v="OnePlus 6T"/>
    <n v="37999"/>
    <n v="1"/>
    <n v="0.05"/>
    <n v="1899.95"/>
    <n v="36099.050000000003"/>
    <n v="9307.99"/>
    <s v="2019-01-26"/>
    <s v="2019-02-02"/>
    <s v="Corporate"/>
    <x v="3"/>
    <x v="282"/>
    <x v="285"/>
  </r>
  <r>
    <s v="OP-20180328"/>
    <x v="2"/>
    <x v="9"/>
    <x v="0"/>
    <s v="OnePlus Protective Case / Bumper"/>
    <n v="1290"/>
    <n v="4"/>
    <n v="0.12"/>
    <n v="619.20000000000005"/>
    <n v="4540.8"/>
    <n v="641.97"/>
    <s v="2018-07-21"/>
    <s v="2018-07-23"/>
    <s v="Individual"/>
    <x v="1"/>
    <x v="283"/>
    <x v="286"/>
  </r>
  <r>
    <s v="OP-20180329"/>
    <x v="3"/>
    <x v="18"/>
    <x v="3"/>
    <s v="OnePlus 7T"/>
    <n v="37999"/>
    <n v="1"/>
    <n v="0.08"/>
    <n v="3039.92"/>
    <n v="34959.08"/>
    <n v="5751.92"/>
    <s v="2020-10-15"/>
    <s v="2020-10-19"/>
    <s v="Individual"/>
    <x v="1"/>
    <x v="284"/>
    <x v="287"/>
  </r>
  <r>
    <s v="OP-20180330"/>
    <x v="1"/>
    <x v="11"/>
    <x v="2"/>
    <s v="OnePlus Nord N10"/>
    <n v="19999"/>
    <n v="2"/>
    <n v="0"/>
    <n v="0"/>
    <n v="39998"/>
    <n v="8457.2999999999993"/>
    <s v="2018-08-07"/>
    <s v="2018-08-13"/>
    <s v="Retail Partner"/>
    <x v="0"/>
    <x v="285"/>
    <x v="129"/>
  </r>
  <r>
    <s v="OP-20180331"/>
    <x v="0"/>
    <x v="14"/>
    <x v="4"/>
    <s v="OnePlus Bullets Wireless Z"/>
    <n v="1999"/>
    <n v="1"/>
    <n v="0"/>
    <n v="0"/>
    <n v="1999"/>
    <n v="412.6"/>
    <s v="2020-03-12"/>
    <s v="2020-03-19"/>
    <s v="Retail Partner"/>
    <x v="0"/>
    <x v="286"/>
    <x v="288"/>
  </r>
  <r>
    <s v="OP-20180332"/>
    <x v="2"/>
    <x v="16"/>
    <x v="0"/>
    <s v="OnePlus Warp Charge 30 Wireless Charger"/>
    <n v="3990"/>
    <n v="1"/>
    <n v="0.05"/>
    <n v="199.5"/>
    <n v="3790.5"/>
    <n v="644.16999999999996"/>
    <s v="2018-09-15"/>
    <s v="2018-09-21"/>
    <s v="Individual"/>
    <x v="0"/>
    <x v="287"/>
    <x v="289"/>
  </r>
  <r>
    <s v="OP-20180333"/>
    <x v="0"/>
    <x v="0"/>
    <x v="0"/>
    <s v="OnePlus Warp Charge 30 Power Adapter"/>
    <n v="1990"/>
    <n v="1"/>
    <n v="0.12"/>
    <n v="238.8"/>
    <n v="1751.2"/>
    <n v="246.57"/>
    <s v="2020-05-17"/>
    <s v="2020-05-20"/>
    <s v="Individual"/>
    <x v="0"/>
    <x v="256"/>
    <x v="118"/>
  </r>
  <r>
    <s v="OP-20180334"/>
    <x v="2"/>
    <x v="19"/>
    <x v="3"/>
    <s v="OnePlus 7 Pro"/>
    <n v="48999"/>
    <n v="4"/>
    <n v="0.05"/>
    <n v="9799.7999999999993"/>
    <n v="186196.2"/>
    <n v="47062.61"/>
    <s v="2018-02-15"/>
    <s v="2018-02-18"/>
    <s v="Corporate"/>
    <x v="0"/>
    <x v="288"/>
    <x v="64"/>
  </r>
  <r>
    <s v="OP-20180335"/>
    <x v="2"/>
    <x v="4"/>
    <x v="0"/>
    <s v="OnePlus Protective Case / Bumper"/>
    <n v="1290"/>
    <n v="2"/>
    <n v="0.05"/>
    <n v="129"/>
    <n v="2451"/>
    <n v="604.91999999999996"/>
    <s v="2019-01-02"/>
    <s v="2019-01-07"/>
    <s v="Individual"/>
    <x v="3"/>
    <x v="289"/>
    <x v="290"/>
  </r>
  <r>
    <s v="OP-20180336"/>
    <x v="1"/>
    <x v="11"/>
    <x v="0"/>
    <s v="OnePlus Type-C Bullets Earphones"/>
    <n v="1490"/>
    <n v="1"/>
    <n v="0.08"/>
    <n v="119.2"/>
    <n v="1370.8"/>
    <n v="307.2"/>
    <s v="2018-02-08"/>
    <s v="2018-02-10"/>
    <s v="Student"/>
    <x v="0"/>
    <x v="290"/>
    <x v="291"/>
  </r>
  <r>
    <s v="OP-20180337"/>
    <x v="3"/>
    <x v="18"/>
    <x v="4"/>
    <s v="OnePlus Buds Z"/>
    <n v="2999"/>
    <n v="1"/>
    <n v="0"/>
    <n v="0"/>
    <n v="2999"/>
    <n v="442.36"/>
    <s v="2018-03-02"/>
    <s v="2018-03-05"/>
    <s v="Corporate"/>
    <x v="3"/>
    <x v="106"/>
    <x v="292"/>
  </r>
  <r>
    <s v="OP-20180338"/>
    <x v="2"/>
    <x v="4"/>
    <x v="0"/>
    <s v="OnePlus Warp Charge 30 Wireless Charger"/>
    <n v="3990"/>
    <n v="1"/>
    <n v="0.1"/>
    <n v="399"/>
    <n v="3591"/>
    <n v="667.9"/>
    <s v="2018-11-15"/>
    <s v="2018-11-21"/>
    <s v="Corporate"/>
    <x v="1"/>
    <x v="291"/>
    <x v="245"/>
  </r>
  <r>
    <s v="OP-20180339"/>
    <x v="0"/>
    <x v="3"/>
    <x v="4"/>
    <s v="OnePlus Buds Z"/>
    <n v="2999"/>
    <n v="1"/>
    <n v="0.1"/>
    <n v="299.89999999999998"/>
    <n v="2699.1"/>
    <n v="516.34"/>
    <s v="2019-05-24"/>
    <s v="2019-05-31"/>
    <s v="Corporate"/>
    <x v="0"/>
    <x v="4"/>
    <x v="94"/>
  </r>
  <r>
    <s v="OP-20180340"/>
    <x v="3"/>
    <x v="18"/>
    <x v="3"/>
    <s v="OnePlus 7T"/>
    <n v="37999"/>
    <n v="2"/>
    <n v="0.1"/>
    <n v="7599.8"/>
    <n v="68398.2"/>
    <n v="13304.92"/>
    <s v="2019-03-21"/>
    <s v="2019-03-24"/>
    <s v="Individual"/>
    <x v="3"/>
    <x v="198"/>
    <x v="293"/>
  </r>
  <r>
    <s v="OP-20180341"/>
    <x v="0"/>
    <x v="14"/>
    <x v="0"/>
    <s v="OnePlus Protective Case / Bumper"/>
    <n v="1290"/>
    <n v="2"/>
    <n v="0.12"/>
    <n v="309.60000000000002"/>
    <n v="2270.4"/>
    <n v="335.29"/>
    <s v="2018-03-04"/>
    <s v="2018-03-11"/>
    <s v="Corporate"/>
    <x v="3"/>
    <x v="292"/>
    <x v="294"/>
  </r>
  <r>
    <s v="OP-20180342"/>
    <x v="1"/>
    <x v="6"/>
    <x v="4"/>
    <s v="OnePlus Bullets Wireless 2"/>
    <n v="5990"/>
    <n v="1"/>
    <n v="0.12"/>
    <n v="718.8"/>
    <n v="5271.2"/>
    <n v="804.63"/>
    <s v="2020-04-02"/>
    <s v="2020-04-06"/>
    <s v="Individual"/>
    <x v="3"/>
    <x v="293"/>
    <x v="295"/>
  </r>
  <r>
    <s v="OP-20180343"/>
    <x v="1"/>
    <x v="6"/>
    <x v="0"/>
    <s v="OnePlus Warp Charge 30 Wireless Charger"/>
    <n v="3990"/>
    <n v="1"/>
    <n v="0.1"/>
    <n v="399"/>
    <n v="3591"/>
    <n v="908.9"/>
    <s v="2018-08-30"/>
    <s v="2018-09-03"/>
    <s v="Student"/>
    <x v="3"/>
    <x v="175"/>
    <x v="296"/>
  </r>
  <r>
    <s v="OP-20180344"/>
    <x v="1"/>
    <x v="6"/>
    <x v="3"/>
    <s v="OnePlus 6"/>
    <n v="34999"/>
    <n v="1"/>
    <n v="0"/>
    <n v="0"/>
    <n v="34999"/>
    <n v="7062.82"/>
    <s v="2018-10-04"/>
    <s v="2018-10-10"/>
    <s v="Individual"/>
    <x v="2"/>
    <x v="1"/>
    <x v="297"/>
  </r>
  <r>
    <s v="OP-20180345"/>
    <x v="2"/>
    <x v="19"/>
    <x v="3"/>
    <s v="OnePlus 7 Pro"/>
    <n v="48999"/>
    <n v="2"/>
    <n v="0.05"/>
    <n v="4899.8999999999996"/>
    <n v="93098.1"/>
    <n v="16066.86"/>
    <s v="2020-04-27"/>
    <s v="2020-04-29"/>
    <s v="Individual"/>
    <x v="4"/>
    <x v="206"/>
    <x v="81"/>
  </r>
  <r>
    <s v="OP-20180346"/>
    <x v="1"/>
    <x v="6"/>
    <x v="3"/>
    <s v="OnePlus 7"/>
    <n v="32999"/>
    <n v="1"/>
    <n v="0.05"/>
    <n v="1649.95"/>
    <n v="31349.05"/>
    <n v="7377.63"/>
    <s v="2018-03-28"/>
    <s v="2018-03-30"/>
    <s v="Individual"/>
    <x v="1"/>
    <x v="294"/>
    <x v="298"/>
  </r>
  <r>
    <s v="OP-20180347"/>
    <x v="0"/>
    <x v="2"/>
    <x v="0"/>
    <s v="OnePlus Warp Charge 30 Power Adapter"/>
    <n v="1990"/>
    <n v="2"/>
    <n v="0"/>
    <n v="0"/>
    <n v="3980"/>
    <n v="888.63"/>
    <s v="2019-05-10"/>
    <s v="2019-05-16"/>
    <s v="Individual"/>
    <x v="0"/>
    <x v="295"/>
    <x v="299"/>
  </r>
  <r>
    <s v="OP-20180348"/>
    <x v="2"/>
    <x v="9"/>
    <x v="0"/>
    <s v="OnePlus Protective Case / Bumper"/>
    <n v="1290"/>
    <n v="1"/>
    <n v="0.05"/>
    <n v="64.5"/>
    <n v="1225.5"/>
    <n v="222.34"/>
    <s v="2019-09-30"/>
    <s v="2019-10-04"/>
    <s v="Corporate"/>
    <x v="5"/>
    <x v="194"/>
    <x v="300"/>
  </r>
  <r>
    <s v="OP-20180349"/>
    <x v="1"/>
    <x v="11"/>
    <x v="1"/>
    <s v="OnePlus TV Q1 55-inch"/>
    <n v="69900"/>
    <n v="1"/>
    <n v="0.05"/>
    <n v="3495"/>
    <n v="66405"/>
    <n v="14139.64"/>
    <s v="2018-07-25"/>
    <s v="2018-08-01"/>
    <s v="Individual"/>
    <x v="0"/>
    <x v="296"/>
    <x v="301"/>
  </r>
  <r>
    <s v="OP-20180350"/>
    <x v="2"/>
    <x v="7"/>
    <x v="2"/>
    <s v="OnePlus Nord"/>
    <n v="24999"/>
    <n v="1"/>
    <n v="0.05"/>
    <n v="1249.95"/>
    <n v="23749.05"/>
    <n v="4866.38"/>
    <s v="2018-11-26"/>
    <s v="2018-11-29"/>
    <s v="Individual"/>
    <x v="1"/>
    <x v="297"/>
    <x v="302"/>
  </r>
  <r>
    <s v="OP-20180351"/>
    <x v="0"/>
    <x v="2"/>
    <x v="3"/>
    <s v="OnePlus 6T"/>
    <n v="37999"/>
    <n v="1"/>
    <n v="0.12"/>
    <n v="4559.88"/>
    <n v="33439.120000000003"/>
    <n v="7476.83"/>
    <s v="2018-09-02"/>
    <s v="2018-09-08"/>
    <s v="Individual"/>
    <x v="0"/>
    <x v="277"/>
    <x v="303"/>
  </r>
  <r>
    <s v="OP-20180352"/>
    <x v="2"/>
    <x v="19"/>
    <x v="3"/>
    <s v="OnePlus 7T"/>
    <n v="37999"/>
    <n v="2"/>
    <n v="0.08"/>
    <n v="6079.84"/>
    <n v="69918.16"/>
    <n v="16274.04"/>
    <s v="2020-03-31"/>
    <s v="2020-04-02"/>
    <s v="Individual"/>
    <x v="3"/>
    <x v="298"/>
    <x v="304"/>
  </r>
  <r>
    <s v="OP-20180353"/>
    <x v="1"/>
    <x v="6"/>
    <x v="3"/>
    <s v="OnePlus 7"/>
    <n v="32999"/>
    <n v="1"/>
    <n v="0.08"/>
    <n v="2639.92"/>
    <n v="30359.08"/>
    <n v="6759.02"/>
    <s v="2018-01-25"/>
    <s v="2018-02-01"/>
    <s v="Corporate"/>
    <x v="1"/>
    <x v="299"/>
    <x v="305"/>
  </r>
  <r>
    <s v="OP-20180354"/>
    <x v="2"/>
    <x v="16"/>
    <x v="0"/>
    <s v="OnePlus Warp Charge 30 Wireless Charger"/>
    <n v="3990"/>
    <n v="1"/>
    <n v="0"/>
    <n v="0"/>
    <n v="3990"/>
    <n v="695.3"/>
    <s v="2019-12-19"/>
    <s v="2019-12-25"/>
    <s v="Individual"/>
    <x v="5"/>
    <x v="266"/>
    <x v="306"/>
  </r>
  <r>
    <s v="OP-20180355"/>
    <x v="3"/>
    <x v="17"/>
    <x v="4"/>
    <s v="OnePlus Bullets Wireless 2"/>
    <n v="5990"/>
    <n v="1"/>
    <n v="0.05"/>
    <n v="299.5"/>
    <n v="5690.5"/>
    <n v="1345.37"/>
    <s v="2019-03-11"/>
    <s v="2019-03-14"/>
    <s v="Individual"/>
    <x v="5"/>
    <x v="300"/>
    <x v="307"/>
  </r>
  <r>
    <s v="OP-20180356"/>
    <x v="0"/>
    <x v="2"/>
    <x v="3"/>
    <s v="OnePlus 8 Pro"/>
    <n v="54999"/>
    <n v="4"/>
    <n v="0"/>
    <n v="0"/>
    <n v="219996"/>
    <n v="47914.720000000001"/>
    <s v="2019-11-16"/>
    <s v="2019-11-19"/>
    <s v="Individual"/>
    <x v="2"/>
    <x v="55"/>
    <x v="308"/>
  </r>
  <r>
    <s v="OP-20180357"/>
    <x v="0"/>
    <x v="0"/>
    <x v="2"/>
    <s v="OnePlus Nord N10"/>
    <n v="19999"/>
    <n v="1"/>
    <n v="0"/>
    <n v="0"/>
    <n v="19999"/>
    <n v="3641.07"/>
    <s v="2018-02-09"/>
    <s v="2018-02-13"/>
    <s v="Corporate"/>
    <x v="1"/>
    <x v="301"/>
    <x v="309"/>
  </r>
  <r>
    <s v="OP-20180358"/>
    <x v="0"/>
    <x v="3"/>
    <x v="4"/>
    <s v="OnePlus Bullets Wireless 2"/>
    <n v="5990"/>
    <n v="4"/>
    <n v="0.05"/>
    <n v="1198"/>
    <n v="22762"/>
    <n v="5457.51"/>
    <s v="2019-07-15"/>
    <s v="2019-07-17"/>
    <s v="Individual"/>
    <x v="2"/>
    <x v="302"/>
    <x v="152"/>
  </r>
  <r>
    <s v="OP-20180359"/>
    <x v="2"/>
    <x v="16"/>
    <x v="3"/>
    <s v="OnePlus 7 Pro"/>
    <n v="48999"/>
    <n v="2"/>
    <n v="0.08"/>
    <n v="7839.84"/>
    <n v="90158.16"/>
    <n v="21082.15"/>
    <s v="2020-03-17"/>
    <s v="2020-03-20"/>
    <s v="Corporate"/>
    <x v="0"/>
    <x v="303"/>
    <x v="310"/>
  </r>
  <r>
    <s v="OP-20180360"/>
    <x v="1"/>
    <x v="11"/>
    <x v="3"/>
    <s v="OnePlus 8"/>
    <n v="41999"/>
    <n v="2"/>
    <n v="0.05"/>
    <n v="4199.8999999999996"/>
    <n v="79798.100000000006"/>
    <n v="14913.52"/>
    <s v="2019-02-05"/>
    <s v="2019-02-09"/>
    <s v="Individual"/>
    <x v="3"/>
    <x v="118"/>
    <x v="5"/>
  </r>
  <r>
    <s v="OP-20180361"/>
    <x v="3"/>
    <x v="8"/>
    <x v="2"/>
    <s v="OnePlus Nord N10"/>
    <n v="19999"/>
    <n v="1"/>
    <n v="0.05"/>
    <n v="999.95"/>
    <n v="18999.05"/>
    <n v="4284.92"/>
    <s v="2019-06-12"/>
    <s v="2019-06-16"/>
    <s v="Individual"/>
    <x v="3"/>
    <x v="304"/>
    <x v="311"/>
  </r>
  <r>
    <s v="OP-20180362"/>
    <x v="3"/>
    <x v="5"/>
    <x v="2"/>
    <s v="OnePlus Nord N10"/>
    <n v="19999"/>
    <n v="1"/>
    <n v="0"/>
    <n v="0"/>
    <n v="19999"/>
    <n v="2984.58"/>
    <s v="2019-05-29"/>
    <s v="2019-06-01"/>
    <s v="Individual"/>
    <x v="2"/>
    <x v="91"/>
    <x v="312"/>
  </r>
  <r>
    <s v="OP-20180363"/>
    <x v="2"/>
    <x v="16"/>
    <x v="3"/>
    <s v="OnePlus 7T Pro"/>
    <n v="53999"/>
    <n v="1"/>
    <n v="0.08"/>
    <n v="4319.92"/>
    <n v="49679.08"/>
    <n v="11415.65"/>
    <s v="2018-03-02"/>
    <s v="2018-03-04"/>
    <s v="Individual"/>
    <x v="2"/>
    <x v="106"/>
    <x v="313"/>
  </r>
  <r>
    <s v="OP-20180364"/>
    <x v="0"/>
    <x v="0"/>
    <x v="3"/>
    <s v="OnePlus 7 Pro"/>
    <n v="48999"/>
    <n v="3"/>
    <n v="0"/>
    <n v="0"/>
    <n v="146997"/>
    <n v="34281.879999999997"/>
    <s v="2019-01-23"/>
    <s v="2019-01-30"/>
    <s v="Corporate"/>
    <x v="3"/>
    <x v="3"/>
    <x v="314"/>
  </r>
  <r>
    <s v="OP-20180365"/>
    <x v="2"/>
    <x v="16"/>
    <x v="3"/>
    <s v="OnePlus 8 Pro"/>
    <n v="54999"/>
    <n v="1"/>
    <n v="0.05"/>
    <n v="2749.95"/>
    <n v="52249.05"/>
    <n v="7526.01"/>
    <s v="2019-02-09"/>
    <s v="2019-02-13"/>
    <s v="Student"/>
    <x v="3"/>
    <x v="268"/>
    <x v="315"/>
  </r>
  <r>
    <s v="OP-20180366"/>
    <x v="3"/>
    <x v="18"/>
    <x v="4"/>
    <s v="OnePlus Buds Z"/>
    <n v="2999"/>
    <n v="3"/>
    <n v="0.05"/>
    <n v="449.85"/>
    <n v="8547.15"/>
    <n v="2120.6799999999998"/>
    <s v="2018-04-14"/>
    <s v="2018-04-20"/>
    <s v="Student"/>
    <x v="2"/>
    <x v="76"/>
    <x v="316"/>
  </r>
  <r>
    <s v="OP-20180367"/>
    <x v="1"/>
    <x v="6"/>
    <x v="3"/>
    <s v="OnePlus 7T Pro"/>
    <n v="53999"/>
    <n v="1"/>
    <n v="0.15"/>
    <n v="8099.85"/>
    <n v="45899.15"/>
    <n v="8224.98"/>
    <s v="2020-03-09"/>
    <s v="2020-03-13"/>
    <s v="Student"/>
    <x v="5"/>
    <x v="305"/>
    <x v="317"/>
  </r>
  <r>
    <s v="OP-20180368"/>
    <x v="3"/>
    <x v="17"/>
    <x v="0"/>
    <s v="OnePlus Warp Charge 30 Power Adapter"/>
    <n v="1990"/>
    <n v="1"/>
    <n v="0.05"/>
    <n v="99.5"/>
    <n v="1890.5"/>
    <n v="482.72"/>
    <s v="2019-04-04"/>
    <s v="2019-04-08"/>
    <s v="Student"/>
    <x v="1"/>
    <x v="306"/>
    <x v="318"/>
  </r>
  <r>
    <s v="OP-20180369"/>
    <x v="1"/>
    <x v="11"/>
    <x v="0"/>
    <s v="OnePlus Warp Charge 30 Wireless Charger"/>
    <n v="3990"/>
    <n v="1"/>
    <n v="0"/>
    <n v="0"/>
    <n v="3990"/>
    <n v="566.80999999999995"/>
    <s v="2020-07-08"/>
    <s v="2020-07-11"/>
    <s v="Corporate"/>
    <x v="0"/>
    <x v="307"/>
    <x v="319"/>
  </r>
  <r>
    <s v="OP-20180370"/>
    <x v="1"/>
    <x v="1"/>
    <x v="3"/>
    <s v="OnePlus 7"/>
    <n v="32999"/>
    <n v="4"/>
    <n v="0.05"/>
    <n v="6599.8"/>
    <n v="125396.2"/>
    <n v="23609.62"/>
    <s v="2018-12-05"/>
    <s v="2018-12-07"/>
    <s v="Individual"/>
    <x v="3"/>
    <x v="308"/>
    <x v="320"/>
  </r>
  <r>
    <s v="OP-20180371"/>
    <x v="2"/>
    <x v="4"/>
    <x v="2"/>
    <s v="OnePlus Nord N10"/>
    <n v="19999"/>
    <n v="1"/>
    <n v="0.08"/>
    <n v="1599.92"/>
    <n v="18399.080000000002"/>
    <n v="3833.23"/>
    <s v="2020-05-04"/>
    <s v="2020-05-08"/>
    <s v="Retail Partner"/>
    <x v="0"/>
    <x v="309"/>
    <x v="321"/>
  </r>
  <r>
    <s v="OP-20180372"/>
    <x v="0"/>
    <x v="3"/>
    <x v="3"/>
    <s v="OnePlus 7T"/>
    <n v="37999"/>
    <n v="5"/>
    <n v="0.15"/>
    <n v="28499.25"/>
    <n v="161495.75"/>
    <n v="35196.559999999998"/>
    <s v="2018-06-19"/>
    <s v="2018-06-24"/>
    <s v="Retail Partner"/>
    <x v="1"/>
    <x v="310"/>
    <x v="322"/>
  </r>
  <r>
    <s v="OP-20180373"/>
    <x v="3"/>
    <x v="8"/>
    <x v="0"/>
    <s v="OnePlus Protective Case / Bumper"/>
    <n v="1290"/>
    <n v="1"/>
    <n v="0.1"/>
    <n v="129"/>
    <n v="1161"/>
    <n v="177.87"/>
    <s v="2018-10-04"/>
    <s v="2018-10-09"/>
    <s v="Individual"/>
    <x v="3"/>
    <x v="1"/>
    <x v="241"/>
  </r>
  <r>
    <s v="OP-20180374"/>
    <x v="2"/>
    <x v="16"/>
    <x v="2"/>
    <s v="OnePlus Nord N10"/>
    <n v="19999"/>
    <n v="1"/>
    <n v="0.08"/>
    <n v="1599.92"/>
    <n v="18399.080000000002"/>
    <n v="4364.83"/>
    <s v="2018-07-12"/>
    <s v="2018-07-17"/>
    <s v="Individual"/>
    <x v="3"/>
    <x v="311"/>
    <x v="323"/>
  </r>
  <r>
    <s v="OP-20180375"/>
    <x v="0"/>
    <x v="13"/>
    <x v="1"/>
    <s v="OnePlus TV 43Y1 Full HD"/>
    <n v="22999"/>
    <n v="2"/>
    <n v="0"/>
    <n v="0"/>
    <n v="45998"/>
    <n v="7386"/>
    <s v="2018-07-26"/>
    <s v="2018-07-31"/>
    <s v="Individual"/>
    <x v="3"/>
    <x v="312"/>
    <x v="196"/>
  </r>
  <r>
    <s v="OP-20180376"/>
    <x v="3"/>
    <x v="5"/>
    <x v="4"/>
    <s v="OnePlus Buds"/>
    <n v="4990"/>
    <n v="1"/>
    <n v="0.08"/>
    <n v="399.2"/>
    <n v="4590.8"/>
    <n v="795.32"/>
    <s v="2020-05-25"/>
    <s v="2020-05-29"/>
    <s v="Individual"/>
    <x v="0"/>
    <x v="313"/>
    <x v="324"/>
  </r>
  <r>
    <s v="OP-20180377"/>
    <x v="0"/>
    <x v="2"/>
    <x v="1"/>
    <s v="OnePlus TV 43Y1 Full HD"/>
    <n v="22999"/>
    <n v="2"/>
    <n v="0.08"/>
    <n v="3679.84"/>
    <n v="42318.16"/>
    <n v="6997.22"/>
    <s v="2020-12-04"/>
    <s v="2020-12-08"/>
    <s v="Student"/>
    <x v="0"/>
    <x v="259"/>
    <x v="35"/>
  </r>
  <r>
    <s v="OP-20180378"/>
    <x v="2"/>
    <x v="16"/>
    <x v="3"/>
    <s v="OnePlus 7"/>
    <n v="32999"/>
    <n v="1"/>
    <n v="0"/>
    <n v="0"/>
    <n v="32999"/>
    <n v="7356.98"/>
    <s v="2019-09-23"/>
    <s v="2019-09-25"/>
    <s v="Individual"/>
    <x v="2"/>
    <x v="314"/>
    <x v="325"/>
  </r>
  <r>
    <s v="OP-20180379"/>
    <x v="1"/>
    <x v="11"/>
    <x v="3"/>
    <s v="OnePlus 8"/>
    <n v="41999"/>
    <n v="1"/>
    <n v="0.05"/>
    <n v="2099.9499999999998"/>
    <n v="39899.050000000003"/>
    <n v="8790.44"/>
    <s v="2020-03-20"/>
    <s v="2020-03-27"/>
    <s v="Individual"/>
    <x v="3"/>
    <x v="315"/>
    <x v="326"/>
  </r>
  <r>
    <s v="OP-20180380"/>
    <x v="2"/>
    <x v="9"/>
    <x v="3"/>
    <s v="OnePlus 6T"/>
    <n v="37999"/>
    <n v="1"/>
    <n v="0"/>
    <n v="0"/>
    <n v="37999"/>
    <n v="9617.02"/>
    <s v="2020-07-16"/>
    <s v="2020-07-21"/>
    <s v="Individual"/>
    <x v="1"/>
    <x v="26"/>
    <x v="327"/>
  </r>
  <r>
    <s v="OP-20180381"/>
    <x v="3"/>
    <x v="18"/>
    <x v="3"/>
    <s v="OnePlus 8 Pro"/>
    <n v="54999"/>
    <n v="1"/>
    <n v="0"/>
    <n v="0"/>
    <n v="54999"/>
    <n v="8726.61"/>
    <s v="2018-04-20"/>
    <s v="2018-04-26"/>
    <s v="Individual"/>
    <x v="0"/>
    <x v="316"/>
    <x v="328"/>
  </r>
  <r>
    <s v="OP-20180382"/>
    <x v="1"/>
    <x v="12"/>
    <x v="3"/>
    <s v="OnePlus 7 Pro"/>
    <n v="48999"/>
    <n v="2"/>
    <n v="0"/>
    <n v="0"/>
    <n v="97998"/>
    <n v="16195.23"/>
    <s v="2018-06-15"/>
    <s v="2018-06-22"/>
    <s v="Individual"/>
    <x v="0"/>
    <x v="317"/>
    <x v="329"/>
  </r>
  <r>
    <s v="OP-20180383"/>
    <x v="0"/>
    <x v="0"/>
    <x v="3"/>
    <s v="OnePlus 7T Pro"/>
    <n v="53999"/>
    <n v="2"/>
    <n v="0.05"/>
    <n v="5399.9"/>
    <n v="102598.1"/>
    <n v="18201.189999999999"/>
    <s v="2020-12-24"/>
    <s v="2020-12-27"/>
    <s v="Student"/>
    <x v="0"/>
    <x v="318"/>
    <x v="330"/>
  </r>
  <r>
    <s v="OP-20180384"/>
    <x v="0"/>
    <x v="2"/>
    <x v="4"/>
    <s v="OnePlus Buds"/>
    <n v="4990"/>
    <n v="1"/>
    <n v="0.05"/>
    <n v="249.5"/>
    <n v="4740.5"/>
    <n v="1227.8499999999999"/>
    <s v="2018-04-16"/>
    <s v="2018-04-22"/>
    <s v="Retail Partner"/>
    <x v="5"/>
    <x v="151"/>
    <x v="331"/>
  </r>
  <r>
    <s v="OP-20180385"/>
    <x v="0"/>
    <x v="3"/>
    <x v="1"/>
    <s v="OnePlus TV 32Y1 HD Ready"/>
    <n v="12999"/>
    <n v="1"/>
    <n v="0.08"/>
    <n v="1039.92"/>
    <n v="11959.08"/>
    <n v="2381.15"/>
    <s v="2020-11-27"/>
    <s v="2020-12-01"/>
    <s v="Corporate"/>
    <x v="0"/>
    <x v="319"/>
    <x v="232"/>
  </r>
  <r>
    <s v="OP-20180386"/>
    <x v="2"/>
    <x v="9"/>
    <x v="3"/>
    <s v="OnePlus 8 Pro"/>
    <n v="54999"/>
    <n v="1"/>
    <n v="0.12"/>
    <n v="6599.88"/>
    <n v="48399.12"/>
    <n v="7795.11"/>
    <s v="2020-09-05"/>
    <s v="2020-09-11"/>
    <s v="Individual"/>
    <x v="1"/>
    <x v="320"/>
    <x v="85"/>
  </r>
  <r>
    <s v="OP-20180387"/>
    <x v="2"/>
    <x v="9"/>
    <x v="3"/>
    <s v="OnePlus 8"/>
    <n v="41999"/>
    <n v="4"/>
    <n v="0.08"/>
    <n v="13439.68"/>
    <n v="154556.32"/>
    <n v="26820.14"/>
    <s v="2018-04-30"/>
    <s v="2018-05-05"/>
    <s v="Individual"/>
    <x v="5"/>
    <x v="321"/>
    <x v="332"/>
  </r>
  <r>
    <s v="OP-20180388"/>
    <x v="0"/>
    <x v="13"/>
    <x v="0"/>
    <s v="OnePlus Warp Charge 30 Wireless Charger"/>
    <n v="3990"/>
    <n v="1"/>
    <n v="0.12"/>
    <n v="478.8"/>
    <n v="3511.2"/>
    <n v="900.24"/>
    <s v="2018-03-13"/>
    <s v="2018-03-20"/>
    <s v="Individual"/>
    <x v="1"/>
    <x v="322"/>
    <x v="333"/>
  </r>
  <r>
    <s v="OP-20180389"/>
    <x v="2"/>
    <x v="7"/>
    <x v="4"/>
    <s v="OnePlus Bullets Wireless Z"/>
    <n v="1999"/>
    <n v="1"/>
    <n v="0.1"/>
    <n v="199.9"/>
    <n v="1799.1"/>
    <n v="423.71"/>
    <s v="2018-11-04"/>
    <s v="2018-11-06"/>
    <s v="Individual"/>
    <x v="0"/>
    <x v="143"/>
    <x v="334"/>
  </r>
  <r>
    <s v="OP-20180390"/>
    <x v="0"/>
    <x v="14"/>
    <x v="3"/>
    <s v="OnePlus 8"/>
    <n v="41999"/>
    <n v="1"/>
    <n v="0.1"/>
    <n v="4199.8999999999996"/>
    <n v="37799.1"/>
    <n v="8119.9"/>
    <s v="2020-07-26"/>
    <s v="2020-07-29"/>
    <s v="Individual"/>
    <x v="1"/>
    <x v="323"/>
    <x v="95"/>
  </r>
  <r>
    <s v="OP-20180391"/>
    <x v="1"/>
    <x v="11"/>
    <x v="3"/>
    <s v="OnePlus 6"/>
    <n v="34999"/>
    <n v="1"/>
    <n v="0"/>
    <n v="0"/>
    <n v="34999"/>
    <n v="6134.41"/>
    <s v="2018-04-19"/>
    <s v="2018-04-26"/>
    <s v="Individual"/>
    <x v="4"/>
    <x v="324"/>
    <x v="328"/>
  </r>
  <r>
    <s v="OP-20180392"/>
    <x v="2"/>
    <x v="19"/>
    <x v="3"/>
    <s v="OnePlus 8"/>
    <n v="41999"/>
    <n v="1"/>
    <n v="0.1"/>
    <n v="4199.8999999999996"/>
    <n v="37799.1"/>
    <n v="8478.2900000000009"/>
    <s v="2020-06-05"/>
    <s v="2020-06-08"/>
    <s v="Corporate"/>
    <x v="1"/>
    <x v="325"/>
    <x v="335"/>
  </r>
  <r>
    <s v="OP-20180393"/>
    <x v="2"/>
    <x v="19"/>
    <x v="0"/>
    <s v="OnePlus Protective Case / Bumper"/>
    <n v="1290"/>
    <n v="1"/>
    <n v="0.1"/>
    <n v="129"/>
    <n v="1161"/>
    <n v="186.32"/>
    <s v="2019-08-29"/>
    <s v="2019-09-04"/>
    <s v="Individual"/>
    <x v="3"/>
    <x v="326"/>
    <x v="336"/>
  </r>
  <r>
    <s v="OP-20180394"/>
    <x v="1"/>
    <x v="12"/>
    <x v="1"/>
    <s v="OnePlus TV 43Y1 Full HD"/>
    <n v="22999"/>
    <n v="1"/>
    <n v="0.05"/>
    <n v="1149.95"/>
    <n v="21849.05"/>
    <n v="3190.6"/>
    <s v="2020-07-14"/>
    <s v="2020-07-16"/>
    <s v="Student"/>
    <x v="4"/>
    <x v="327"/>
    <x v="337"/>
  </r>
  <r>
    <s v="OP-20180395"/>
    <x v="3"/>
    <x v="5"/>
    <x v="3"/>
    <s v="OnePlus 7"/>
    <n v="32999"/>
    <n v="2"/>
    <n v="0"/>
    <n v="0"/>
    <n v="65998"/>
    <n v="11900.82"/>
    <s v="2018-05-20"/>
    <s v="2018-05-22"/>
    <s v="Corporate"/>
    <x v="4"/>
    <x v="328"/>
    <x v="338"/>
  </r>
  <r>
    <s v="OP-20180396"/>
    <x v="1"/>
    <x v="1"/>
    <x v="4"/>
    <s v="OnePlus Bullets Wireless Z"/>
    <n v="1999"/>
    <n v="1"/>
    <n v="0.1"/>
    <n v="199.9"/>
    <n v="1799.1"/>
    <n v="336.52"/>
    <s v="2018-05-19"/>
    <s v="2018-05-23"/>
    <s v="Corporate"/>
    <x v="0"/>
    <x v="71"/>
    <x v="339"/>
  </r>
  <r>
    <s v="OP-20180397"/>
    <x v="0"/>
    <x v="0"/>
    <x v="1"/>
    <s v="OnePlus TV 32Y1 HD Ready"/>
    <n v="12999"/>
    <n v="2"/>
    <n v="0.05"/>
    <n v="1299.9000000000001"/>
    <n v="24698.1"/>
    <n v="4400.3599999999997"/>
    <s v="2019-05-08"/>
    <s v="2019-05-12"/>
    <s v="Individual"/>
    <x v="3"/>
    <x v="329"/>
    <x v="340"/>
  </r>
  <r>
    <s v="OP-20180398"/>
    <x v="1"/>
    <x v="1"/>
    <x v="0"/>
    <s v="OnePlus Type-C Bullets Earphones"/>
    <n v="1490"/>
    <n v="1"/>
    <n v="0.05"/>
    <n v="74.5"/>
    <n v="1415.5"/>
    <n v="205.22"/>
    <s v="2020-05-20"/>
    <s v="2020-05-25"/>
    <s v="Individual"/>
    <x v="3"/>
    <x v="330"/>
    <x v="341"/>
  </r>
  <r>
    <s v="OP-20180399"/>
    <x v="1"/>
    <x v="11"/>
    <x v="3"/>
    <s v="OnePlus 6T"/>
    <n v="37999"/>
    <n v="2"/>
    <n v="0.08"/>
    <n v="6079.84"/>
    <n v="69918.16"/>
    <n v="14036.74"/>
    <s v="2018-06-26"/>
    <s v="2018-06-30"/>
    <s v="Individual"/>
    <x v="1"/>
    <x v="331"/>
    <x v="252"/>
  </r>
  <r>
    <s v="OP-20180400"/>
    <x v="2"/>
    <x v="16"/>
    <x v="2"/>
    <s v="OnePlus Nord"/>
    <n v="24999"/>
    <n v="1"/>
    <n v="0.05"/>
    <n v="1249.95"/>
    <n v="23749.05"/>
    <n v="5589.05"/>
    <s v="2018-09-09"/>
    <s v="2018-09-13"/>
    <s v="Individual"/>
    <x v="0"/>
    <x v="332"/>
    <x v="342"/>
  </r>
  <r>
    <s v="OP-20180401"/>
    <x v="2"/>
    <x v="4"/>
    <x v="0"/>
    <s v="OnePlus Protective Case / Bumper"/>
    <n v="1290"/>
    <n v="5"/>
    <n v="0.05"/>
    <n v="322.5"/>
    <n v="6127.5"/>
    <n v="1582.01"/>
    <s v="2019-04-17"/>
    <s v="2019-04-20"/>
    <s v="Retail Partner"/>
    <x v="0"/>
    <x v="333"/>
    <x v="343"/>
  </r>
  <r>
    <s v="OP-20180402"/>
    <x v="1"/>
    <x v="11"/>
    <x v="4"/>
    <s v="OnePlus Buds Z"/>
    <n v="2999"/>
    <n v="1"/>
    <n v="0.12"/>
    <n v="359.88"/>
    <n v="2639.12"/>
    <n v="429.46"/>
    <s v="2020-07-08"/>
    <s v="2020-07-15"/>
    <s v="Individual"/>
    <x v="4"/>
    <x v="307"/>
    <x v="344"/>
  </r>
  <r>
    <s v="OP-20180403"/>
    <x v="2"/>
    <x v="4"/>
    <x v="1"/>
    <s v="OnePlus TV Q1 55-inch"/>
    <n v="69900"/>
    <n v="1"/>
    <n v="0.1"/>
    <n v="6990"/>
    <n v="62910"/>
    <n v="9227.18"/>
    <s v="2018-09-28"/>
    <s v="2018-10-02"/>
    <s v="Individual"/>
    <x v="3"/>
    <x v="334"/>
    <x v="345"/>
  </r>
  <r>
    <s v="OP-20180404"/>
    <x v="0"/>
    <x v="13"/>
    <x v="0"/>
    <s v="OnePlus Protective Case / Bumper"/>
    <n v="1290"/>
    <n v="3"/>
    <n v="0.12"/>
    <n v="464.4"/>
    <n v="3405.6"/>
    <n v="605.05999999999995"/>
    <s v="2018-07-02"/>
    <s v="2018-07-04"/>
    <s v="Individual"/>
    <x v="3"/>
    <x v="191"/>
    <x v="190"/>
  </r>
  <r>
    <s v="OP-20180405"/>
    <x v="3"/>
    <x v="8"/>
    <x v="1"/>
    <s v="OnePlus TV 43Y1 Full HD"/>
    <n v="22999"/>
    <n v="1"/>
    <n v="0.08"/>
    <n v="1839.92"/>
    <n v="21159.08"/>
    <n v="4311.68"/>
    <s v="2018-10-21"/>
    <s v="2018-10-27"/>
    <s v="Individual"/>
    <x v="0"/>
    <x v="248"/>
    <x v="346"/>
  </r>
  <r>
    <s v="OP-20180406"/>
    <x v="0"/>
    <x v="2"/>
    <x v="1"/>
    <s v="OnePlus TV 32Y1 HD Ready"/>
    <n v="12999"/>
    <n v="1"/>
    <n v="0.05"/>
    <n v="649.95000000000005"/>
    <n v="12349.05"/>
    <n v="2255.13"/>
    <s v="2020-05-24"/>
    <s v="2020-05-29"/>
    <s v="Corporate"/>
    <x v="3"/>
    <x v="335"/>
    <x v="324"/>
  </r>
  <r>
    <s v="OP-20180407"/>
    <x v="3"/>
    <x v="5"/>
    <x v="3"/>
    <s v="OnePlus 7"/>
    <n v="32999"/>
    <n v="1"/>
    <n v="0.08"/>
    <n v="2639.92"/>
    <n v="30359.08"/>
    <n v="7523.17"/>
    <s v="2018-05-18"/>
    <s v="2018-05-20"/>
    <s v="Retail Partner"/>
    <x v="0"/>
    <x v="336"/>
    <x v="347"/>
  </r>
  <r>
    <s v="OP-20180408"/>
    <x v="1"/>
    <x v="6"/>
    <x v="4"/>
    <s v="OnePlus Buds"/>
    <n v="4990"/>
    <n v="1"/>
    <n v="0.05"/>
    <n v="249.5"/>
    <n v="4740.5"/>
    <n v="716.1"/>
    <s v="2020-05-19"/>
    <s v="2020-05-25"/>
    <s v="Individual"/>
    <x v="5"/>
    <x v="337"/>
    <x v="341"/>
  </r>
  <r>
    <s v="OP-20180409"/>
    <x v="2"/>
    <x v="9"/>
    <x v="1"/>
    <s v="OnePlus TV Q1 55-inch"/>
    <n v="69900"/>
    <n v="2"/>
    <n v="0.05"/>
    <n v="6990"/>
    <n v="132810"/>
    <n v="20239.16"/>
    <s v="2019-12-18"/>
    <s v="2019-12-22"/>
    <s v="Corporate"/>
    <x v="3"/>
    <x v="338"/>
    <x v="348"/>
  </r>
  <r>
    <s v="OP-20180410"/>
    <x v="1"/>
    <x v="11"/>
    <x v="2"/>
    <s v="OnePlus Nord"/>
    <n v="24999"/>
    <n v="1"/>
    <n v="0.1"/>
    <n v="2499.9"/>
    <n v="22499.1"/>
    <n v="3798.04"/>
    <s v="2019-11-05"/>
    <s v="2019-11-10"/>
    <s v="Individual"/>
    <x v="1"/>
    <x v="339"/>
    <x v="349"/>
  </r>
  <r>
    <s v="OP-20180411"/>
    <x v="1"/>
    <x v="6"/>
    <x v="0"/>
    <s v="OnePlus Warp Charge 30 Power Adapter"/>
    <n v="1990"/>
    <n v="1"/>
    <n v="0"/>
    <n v="0"/>
    <n v="1990"/>
    <n v="443.08"/>
    <s v="2019-02-09"/>
    <s v="2019-02-11"/>
    <s v="Individual"/>
    <x v="5"/>
    <x v="268"/>
    <x v="350"/>
  </r>
  <r>
    <s v="OP-20180412"/>
    <x v="2"/>
    <x v="16"/>
    <x v="0"/>
    <s v="OnePlus Type-C Bullets Earphones"/>
    <n v="1490"/>
    <n v="1"/>
    <n v="0"/>
    <n v="0"/>
    <n v="1490"/>
    <n v="357.82"/>
    <s v="2019-05-11"/>
    <s v="2019-05-18"/>
    <s v="Student"/>
    <x v="3"/>
    <x v="340"/>
    <x v="351"/>
  </r>
  <r>
    <s v="OP-20180413"/>
    <x v="1"/>
    <x v="6"/>
    <x v="0"/>
    <s v="OnePlus Warp Charge 30 Power Adapter"/>
    <n v="1990"/>
    <n v="3"/>
    <n v="0.05"/>
    <n v="298.5"/>
    <n v="5671.5"/>
    <n v="1106.48"/>
    <s v="2020-10-12"/>
    <s v="2020-10-16"/>
    <s v="Individual"/>
    <x v="3"/>
    <x v="341"/>
    <x v="352"/>
  </r>
  <r>
    <s v="OP-20180414"/>
    <x v="1"/>
    <x v="12"/>
    <x v="3"/>
    <s v="OnePlus 6T"/>
    <n v="37999"/>
    <n v="1"/>
    <n v="0.05"/>
    <n v="1899.95"/>
    <n v="36099.050000000003"/>
    <n v="6820.19"/>
    <s v="2019-12-11"/>
    <s v="2019-12-15"/>
    <s v="Corporate"/>
    <x v="4"/>
    <x v="342"/>
    <x v="353"/>
  </r>
  <r>
    <s v="OP-20180415"/>
    <x v="0"/>
    <x v="0"/>
    <x v="3"/>
    <s v="OnePlus 8"/>
    <n v="41999"/>
    <n v="1"/>
    <n v="0"/>
    <n v="0"/>
    <n v="41999"/>
    <n v="8968.2800000000007"/>
    <s v="2020-01-21"/>
    <s v="2020-01-26"/>
    <s v="Corporate"/>
    <x v="3"/>
    <x v="44"/>
    <x v="44"/>
  </r>
  <r>
    <s v="OP-20180416"/>
    <x v="1"/>
    <x v="1"/>
    <x v="0"/>
    <s v="OnePlus Warp Charge 30 Wireless Charger"/>
    <n v="3990"/>
    <n v="1"/>
    <n v="0.05"/>
    <n v="199.5"/>
    <n v="3790.5"/>
    <n v="729.98"/>
    <s v="2018-12-29"/>
    <s v="2019-01-01"/>
    <s v="Individual"/>
    <x v="1"/>
    <x v="231"/>
    <x v="354"/>
  </r>
  <r>
    <s v="OP-20180417"/>
    <x v="0"/>
    <x v="13"/>
    <x v="4"/>
    <s v="OnePlus Buds Z"/>
    <n v="2999"/>
    <n v="1"/>
    <n v="0"/>
    <n v="0"/>
    <n v="2999"/>
    <n v="523.51"/>
    <s v="2020-03-18"/>
    <s v="2020-03-22"/>
    <s v="Individual"/>
    <x v="4"/>
    <x v="343"/>
    <x v="355"/>
  </r>
  <r>
    <s v="OP-20180418"/>
    <x v="1"/>
    <x v="15"/>
    <x v="4"/>
    <s v="OnePlus Buds"/>
    <n v="4990"/>
    <n v="2"/>
    <n v="0"/>
    <n v="0"/>
    <n v="9980"/>
    <n v="1777.67"/>
    <s v="2018-06-20"/>
    <s v="2018-06-22"/>
    <s v="Individual"/>
    <x v="2"/>
    <x v="344"/>
    <x v="329"/>
  </r>
  <r>
    <s v="OP-20180419"/>
    <x v="1"/>
    <x v="11"/>
    <x v="1"/>
    <s v="OnePlus TV Q1 55-inch"/>
    <n v="69900"/>
    <n v="1"/>
    <n v="0.05"/>
    <n v="3495"/>
    <n v="66405"/>
    <n v="11573.33"/>
    <s v="2020-03-08"/>
    <s v="2020-03-11"/>
    <s v="Individual"/>
    <x v="0"/>
    <x v="345"/>
    <x v="356"/>
  </r>
  <r>
    <s v="OP-20180420"/>
    <x v="2"/>
    <x v="9"/>
    <x v="3"/>
    <s v="OnePlus 6T"/>
    <n v="37999"/>
    <n v="3"/>
    <n v="0"/>
    <n v="0"/>
    <n v="113997"/>
    <n v="27353.759999999998"/>
    <s v="2019-05-09"/>
    <s v="2019-05-14"/>
    <s v="Individual"/>
    <x v="4"/>
    <x v="94"/>
    <x v="97"/>
  </r>
  <r>
    <s v="OP-20180421"/>
    <x v="1"/>
    <x v="15"/>
    <x v="0"/>
    <s v="OnePlus Warp Charge 30 Power Adapter"/>
    <n v="1990"/>
    <n v="1"/>
    <n v="0.05"/>
    <n v="99.5"/>
    <n v="1890.5"/>
    <n v="334.65"/>
    <s v="2020-10-26"/>
    <s v="2020-10-30"/>
    <s v="Individual"/>
    <x v="2"/>
    <x v="346"/>
    <x v="66"/>
  </r>
  <r>
    <s v="OP-20180422"/>
    <x v="2"/>
    <x v="9"/>
    <x v="3"/>
    <s v="OnePlus 7 Pro"/>
    <n v="48999"/>
    <n v="1"/>
    <n v="0"/>
    <n v="0"/>
    <n v="48999"/>
    <n v="11900.04"/>
    <s v="2019-03-30"/>
    <s v="2019-04-03"/>
    <s v="Retail Partner"/>
    <x v="1"/>
    <x v="347"/>
    <x v="24"/>
  </r>
  <r>
    <s v="OP-20180423"/>
    <x v="2"/>
    <x v="7"/>
    <x v="4"/>
    <s v="OnePlus Buds"/>
    <n v="4990"/>
    <n v="5"/>
    <n v="0"/>
    <n v="0"/>
    <n v="24950"/>
    <n v="5299.97"/>
    <s v="2019-08-22"/>
    <s v="2019-08-29"/>
    <s v="Corporate"/>
    <x v="0"/>
    <x v="348"/>
    <x v="357"/>
  </r>
  <r>
    <s v="OP-20180424"/>
    <x v="3"/>
    <x v="10"/>
    <x v="1"/>
    <s v="OnePlus TV Q1 55-inch"/>
    <n v="69900"/>
    <n v="1"/>
    <n v="0.05"/>
    <n v="3495"/>
    <n v="66405"/>
    <n v="16603.439999999999"/>
    <s v="2018-10-08"/>
    <s v="2018-10-13"/>
    <s v="Individual"/>
    <x v="3"/>
    <x v="349"/>
    <x v="358"/>
  </r>
  <r>
    <s v="OP-20180425"/>
    <x v="0"/>
    <x v="13"/>
    <x v="4"/>
    <s v="OnePlus Buds Z"/>
    <n v="2999"/>
    <n v="2"/>
    <n v="0.08"/>
    <n v="479.84"/>
    <n v="5518.16"/>
    <n v="998.04"/>
    <s v="2019-10-01"/>
    <s v="2019-10-03"/>
    <s v="Individual"/>
    <x v="0"/>
    <x v="224"/>
    <x v="194"/>
  </r>
  <r>
    <s v="OP-20180426"/>
    <x v="0"/>
    <x v="13"/>
    <x v="3"/>
    <s v="OnePlus 7"/>
    <n v="32999"/>
    <n v="1"/>
    <n v="0.1"/>
    <n v="3299.9"/>
    <n v="29699.1"/>
    <n v="7537.34"/>
    <s v="2020-06-21"/>
    <s v="2020-06-23"/>
    <s v="Individual"/>
    <x v="5"/>
    <x v="350"/>
    <x v="359"/>
  </r>
  <r>
    <s v="OP-20180427"/>
    <x v="3"/>
    <x v="10"/>
    <x v="0"/>
    <s v="OnePlus Protective Case / Bumper"/>
    <n v="1290"/>
    <n v="1"/>
    <n v="0"/>
    <n v="0"/>
    <n v="1290"/>
    <n v="269.45"/>
    <s v="2019-04-28"/>
    <s v="2019-05-04"/>
    <s v="Corporate"/>
    <x v="4"/>
    <x v="166"/>
    <x v="235"/>
  </r>
  <r>
    <s v="OP-20180428"/>
    <x v="2"/>
    <x v="7"/>
    <x v="0"/>
    <s v="OnePlus Warp Charge 30 Power Adapter"/>
    <n v="1990"/>
    <n v="1"/>
    <n v="0.08"/>
    <n v="159.19999999999999"/>
    <n v="1830.8"/>
    <n v="336.31"/>
    <s v="2020-09-25"/>
    <s v="2020-10-02"/>
    <s v="Individual"/>
    <x v="0"/>
    <x v="351"/>
    <x v="360"/>
  </r>
  <r>
    <s v="OP-20180429"/>
    <x v="2"/>
    <x v="9"/>
    <x v="4"/>
    <s v="OnePlus Bullets Wireless Z"/>
    <n v="1999"/>
    <n v="1"/>
    <n v="0"/>
    <n v="0"/>
    <n v="1999"/>
    <n v="333.06"/>
    <s v="2019-04-10"/>
    <s v="2019-04-15"/>
    <s v="Student"/>
    <x v="4"/>
    <x v="352"/>
    <x v="361"/>
  </r>
  <r>
    <s v="OP-20180430"/>
    <x v="1"/>
    <x v="11"/>
    <x v="0"/>
    <s v="OnePlus Warp Charge 30 Power Adapter"/>
    <n v="1990"/>
    <n v="3"/>
    <n v="0"/>
    <n v="0"/>
    <n v="5970"/>
    <n v="987.05"/>
    <s v="2020-08-27"/>
    <s v="2020-09-02"/>
    <s v="Student"/>
    <x v="3"/>
    <x v="353"/>
    <x v="362"/>
  </r>
  <r>
    <s v="OP-20180431"/>
    <x v="2"/>
    <x v="9"/>
    <x v="0"/>
    <s v="OnePlus Warp Charge 30 Power Adapter"/>
    <n v="1990"/>
    <n v="1"/>
    <n v="0"/>
    <n v="0"/>
    <n v="1990"/>
    <n v="415.19"/>
    <s v="2018-03-05"/>
    <s v="2018-03-11"/>
    <s v="Corporate"/>
    <x v="0"/>
    <x v="354"/>
    <x v="294"/>
  </r>
  <r>
    <s v="OP-20180432"/>
    <x v="1"/>
    <x v="11"/>
    <x v="3"/>
    <s v="OnePlus 6T"/>
    <n v="37999"/>
    <n v="1"/>
    <n v="0.08"/>
    <n v="3039.92"/>
    <n v="34959.08"/>
    <n v="5132.05"/>
    <s v="2020-11-19"/>
    <s v="2020-11-25"/>
    <s v="Individual"/>
    <x v="2"/>
    <x v="355"/>
    <x v="363"/>
  </r>
  <r>
    <s v="OP-20180433"/>
    <x v="1"/>
    <x v="6"/>
    <x v="3"/>
    <s v="OnePlus 7 Pro"/>
    <n v="48999"/>
    <n v="3"/>
    <n v="0.1"/>
    <n v="14699.7"/>
    <n v="132297.29999999999"/>
    <n v="23241.26"/>
    <s v="2020-10-07"/>
    <s v="2020-10-11"/>
    <s v="Individual"/>
    <x v="5"/>
    <x v="356"/>
    <x v="33"/>
  </r>
  <r>
    <s v="OP-20180434"/>
    <x v="2"/>
    <x v="9"/>
    <x v="2"/>
    <s v="OnePlus Nord"/>
    <n v="24999"/>
    <n v="1"/>
    <n v="0"/>
    <n v="0"/>
    <n v="24999"/>
    <n v="3635.74"/>
    <s v="2019-09-30"/>
    <s v="2019-10-04"/>
    <s v="Individual"/>
    <x v="3"/>
    <x v="194"/>
    <x v="300"/>
  </r>
  <r>
    <s v="OP-20180435"/>
    <x v="1"/>
    <x v="15"/>
    <x v="4"/>
    <s v="OnePlus Buds"/>
    <n v="4990"/>
    <n v="5"/>
    <n v="0"/>
    <n v="0"/>
    <n v="24950"/>
    <n v="6452.33"/>
    <s v="2019-05-05"/>
    <s v="2019-05-12"/>
    <s v="Individual"/>
    <x v="3"/>
    <x v="357"/>
    <x v="340"/>
  </r>
  <r>
    <s v="OP-20180436"/>
    <x v="0"/>
    <x v="3"/>
    <x v="1"/>
    <s v="OnePlus TV 32Y1 HD Ready"/>
    <n v="12999"/>
    <n v="2"/>
    <n v="0.05"/>
    <n v="1299.9000000000001"/>
    <n v="24698.1"/>
    <n v="4780.8900000000003"/>
    <s v="2018-07-13"/>
    <s v="2018-07-18"/>
    <s v="Corporate"/>
    <x v="1"/>
    <x v="358"/>
    <x v="364"/>
  </r>
  <r>
    <s v="OP-20180437"/>
    <x v="2"/>
    <x v="19"/>
    <x v="4"/>
    <s v="OnePlus Bullets Wireless 2"/>
    <n v="5990"/>
    <n v="1"/>
    <n v="0"/>
    <n v="0"/>
    <n v="5990"/>
    <n v="910.15"/>
    <s v="2018-11-02"/>
    <s v="2018-11-07"/>
    <s v="Individual"/>
    <x v="5"/>
    <x v="273"/>
    <x v="143"/>
  </r>
  <r>
    <s v="OP-20180438"/>
    <x v="3"/>
    <x v="18"/>
    <x v="0"/>
    <s v="OnePlus Warp Charge 30 Power Adapter"/>
    <n v="1990"/>
    <n v="1"/>
    <n v="0.1"/>
    <n v="199"/>
    <n v="1791"/>
    <n v="305.12"/>
    <s v="2019-06-15"/>
    <s v="2019-06-18"/>
    <s v="Individual"/>
    <x v="0"/>
    <x v="359"/>
    <x v="365"/>
  </r>
  <r>
    <s v="OP-20180439"/>
    <x v="3"/>
    <x v="17"/>
    <x v="4"/>
    <s v="OnePlus Bullets Wireless Z"/>
    <n v="1999"/>
    <n v="1"/>
    <n v="0.1"/>
    <n v="199.9"/>
    <n v="1799.1"/>
    <n v="455.66"/>
    <s v="2019-10-18"/>
    <s v="2019-10-21"/>
    <s v="Individual"/>
    <x v="1"/>
    <x v="32"/>
    <x v="366"/>
  </r>
  <r>
    <s v="OP-20180440"/>
    <x v="1"/>
    <x v="12"/>
    <x v="2"/>
    <s v="OnePlus Nord N10"/>
    <n v="19999"/>
    <n v="2"/>
    <n v="0"/>
    <n v="0"/>
    <n v="39998"/>
    <n v="8601.15"/>
    <s v="2019-07-08"/>
    <s v="2019-07-14"/>
    <s v="Corporate"/>
    <x v="0"/>
    <x v="174"/>
    <x v="173"/>
  </r>
  <r>
    <s v="OP-20180441"/>
    <x v="1"/>
    <x v="15"/>
    <x v="4"/>
    <s v="OnePlus Bullets Wireless 2"/>
    <n v="5990"/>
    <n v="1"/>
    <n v="0.15"/>
    <n v="898.5"/>
    <n v="5091.5"/>
    <n v="824.9"/>
    <s v="2018-01-12"/>
    <s v="2018-01-14"/>
    <s v="Individual"/>
    <x v="0"/>
    <x v="258"/>
    <x v="367"/>
  </r>
  <r>
    <s v="OP-20180442"/>
    <x v="1"/>
    <x v="15"/>
    <x v="0"/>
    <s v="OnePlus Warp Charge 30 Wireless Charger"/>
    <n v="3990"/>
    <n v="1"/>
    <n v="0.08"/>
    <n v="319.2"/>
    <n v="3670.8"/>
    <n v="701.74"/>
    <s v="2020-07-11"/>
    <s v="2020-07-14"/>
    <s v="Corporate"/>
    <x v="4"/>
    <x v="360"/>
    <x v="368"/>
  </r>
  <r>
    <s v="OP-20180443"/>
    <x v="1"/>
    <x v="11"/>
    <x v="3"/>
    <s v="OnePlus 7T"/>
    <n v="37999"/>
    <n v="1"/>
    <n v="0.08"/>
    <n v="3039.92"/>
    <n v="34959.08"/>
    <n v="6992.98"/>
    <s v="2019-09-14"/>
    <s v="2019-09-21"/>
    <s v="Student"/>
    <x v="0"/>
    <x v="361"/>
    <x v="251"/>
  </r>
  <r>
    <s v="OP-20180444"/>
    <x v="2"/>
    <x v="4"/>
    <x v="4"/>
    <s v="OnePlus Bullets Wireless Z"/>
    <n v="1999"/>
    <n v="1"/>
    <n v="0.1"/>
    <n v="199.9"/>
    <n v="1799.1"/>
    <n v="465.92"/>
    <s v="2020-11-11"/>
    <s v="2020-11-18"/>
    <s v="Corporate"/>
    <x v="4"/>
    <x v="121"/>
    <x v="369"/>
  </r>
  <r>
    <s v="OP-20180445"/>
    <x v="2"/>
    <x v="16"/>
    <x v="4"/>
    <s v="OnePlus Buds"/>
    <n v="4990"/>
    <n v="2"/>
    <n v="0.12"/>
    <n v="1197.5999999999999"/>
    <n v="8782.4"/>
    <n v="1541.3"/>
    <s v="2019-04-25"/>
    <s v="2019-05-01"/>
    <s v="Individual"/>
    <x v="0"/>
    <x v="362"/>
    <x v="370"/>
  </r>
  <r>
    <s v="OP-20180446"/>
    <x v="2"/>
    <x v="7"/>
    <x v="4"/>
    <s v="OnePlus Buds Z"/>
    <n v="2999"/>
    <n v="1"/>
    <n v="0"/>
    <n v="0"/>
    <n v="2999"/>
    <n v="666.24"/>
    <s v="2020-10-01"/>
    <s v="2020-10-08"/>
    <s v="Individual"/>
    <x v="0"/>
    <x v="363"/>
    <x v="371"/>
  </r>
  <r>
    <s v="OP-20180447"/>
    <x v="2"/>
    <x v="16"/>
    <x v="2"/>
    <s v="OnePlus Nord"/>
    <n v="24999"/>
    <n v="1"/>
    <n v="0.05"/>
    <n v="1249.95"/>
    <n v="23749.05"/>
    <n v="4231.88"/>
    <s v="2019-01-07"/>
    <s v="2019-01-11"/>
    <s v="Individual"/>
    <x v="5"/>
    <x v="364"/>
    <x v="372"/>
  </r>
  <r>
    <s v="OP-20180448"/>
    <x v="1"/>
    <x v="1"/>
    <x v="0"/>
    <s v="OnePlus Type-C Bullets Earphones"/>
    <n v="1490"/>
    <n v="1"/>
    <n v="0"/>
    <n v="0"/>
    <n v="1490"/>
    <n v="225.07"/>
    <s v="2020-03-10"/>
    <s v="2020-03-16"/>
    <s v="Retail Partner"/>
    <x v="3"/>
    <x v="365"/>
    <x v="373"/>
  </r>
  <r>
    <s v="OP-20180449"/>
    <x v="0"/>
    <x v="2"/>
    <x v="3"/>
    <s v="OnePlus 6T"/>
    <n v="37999"/>
    <n v="2"/>
    <n v="0.05"/>
    <n v="3799.9"/>
    <n v="72198.100000000006"/>
    <n v="12189.63"/>
    <s v="2019-10-03"/>
    <s v="2019-10-08"/>
    <s v="Individual"/>
    <x v="0"/>
    <x v="18"/>
    <x v="374"/>
  </r>
  <r>
    <s v="OP-20180450"/>
    <x v="2"/>
    <x v="7"/>
    <x v="0"/>
    <s v="OnePlus Warp Charge 30 Wireless Charger"/>
    <n v="3990"/>
    <n v="5"/>
    <n v="0.08"/>
    <n v="1596"/>
    <n v="18354"/>
    <n v="4359.0200000000004"/>
    <s v="2018-02-27"/>
    <s v="2018-03-05"/>
    <s v="Individual"/>
    <x v="1"/>
    <x v="366"/>
    <x v="292"/>
  </r>
  <r>
    <s v="OP-20180451"/>
    <x v="2"/>
    <x v="19"/>
    <x v="0"/>
    <s v="OnePlus Warp Charge 30 Wireless Charger"/>
    <n v="3990"/>
    <n v="1"/>
    <n v="0.08"/>
    <n v="319.2"/>
    <n v="3670.8"/>
    <n v="570.44000000000005"/>
    <s v="2018-07-31"/>
    <s v="2018-08-06"/>
    <s v="Individual"/>
    <x v="2"/>
    <x v="272"/>
    <x v="189"/>
  </r>
  <r>
    <s v="OP-20180452"/>
    <x v="0"/>
    <x v="3"/>
    <x v="3"/>
    <s v="OnePlus 7T Pro"/>
    <n v="53999"/>
    <n v="1"/>
    <n v="0.1"/>
    <n v="5399.9"/>
    <n v="48599.1"/>
    <n v="10732.83"/>
    <s v="2018-02-21"/>
    <s v="2018-02-27"/>
    <s v="Corporate"/>
    <x v="0"/>
    <x v="367"/>
    <x v="375"/>
  </r>
  <r>
    <s v="OP-20180453"/>
    <x v="1"/>
    <x v="15"/>
    <x v="0"/>
    <s v="OnePlus Warp Charge 30 Wireless Charger"/>
    <n v="3990"/>
    <n v="1"/>
    <n v="0.05"/>
    <n v="199.5"/>
    <n v="3790.5"/>
    <n v="657.05"/>
    <s v="2018-05-17"/>
    <s v="2018-05-22"/>
    <s v="Corporate"/>
    <x v="2"/>
    <x v="368"/>
    <x v="338"/>
  </r>
  <r>
    <s v="OP-20180454"/>
    <x v="3"/>
    <x v="17"/>
    <x v="2"/>
    <s v="OnePlus Nord N10"/>
    <n v="19999"/>
    <n v="3"/>
    <n v="0"/>
    <n v="0"/>
    <n v="59997"/>
    <n v="11985.94"/>
    <s v="2020-06-20"/>
    <s v="2020-06-27"/>
    <s v="Individual"/>
    <x v="3"/>
    <x v="369"/>
    <x v="376"/>
  </r>
  <r>
    <s v="OP-20180455"/>
    <x v="1"/>
    <x v="1"/>
    <x v="3"/>
    <s v="OnePlus 8 Pro"/>
    <n v="54999"/>
    <n v="1"/>
    <n v="0"/>
    <n v="0"/>
    <n v="54999"/>
    <n v="13597.75"/>
    <s v="2018-09-20"/>
    <s v="2018-09-24"/>
    <s v="Student"/>
    <x v="4"/>
    <x v="370"/>
    <x v="377"/>
  </r>
  <r>
    <s v="OP-20180456"/>
    <x v="2"/>
    <x v="9"/>
    <x v="4"/>
    <s v="OnePlus Bullets Wireless 2"/>
    <n v="5990"/>
    <n v="4"/>
    <n v="0.05"/>
    <n v="1198"/>
    <n v="22762"/>
    <n v="5187.16"/>
    <s v="2019-12-21"/>
    <s v="2019-12-23"/>
    <s v="Retail Partner"/>
    <x v="2"/>
    <x v="371"/>
    <x v="378"/>
  </r>
  <r>
    <s v="OP-20180457"/>
    <x v="0"/>
    <x v="14"/>
    <x v="3"/>
    <s v="OnePlus 7 Pro"/>
    <n v="48999"/>
    <n v="1"/>
    <n v="0.1"/>
    <n v="4899.8999999999996"/>
    <n v="44099.1"/>
    <n v="8577.36"/>
    <s v="2019-06-07"/>
    <s v="2019-06-12"/>
    <s v="Retail Partner"/>
    <x v="0"/>
    <x v="372"/>
    <x v="379"/>
  </r>
  <r>
    <s v="OP-20180458"/>
    <x v="1"/>
    <x v="11"/>
    <x v="4"/>
    <s v="OnePlus Bullets Wireless 2"/>
    <n v="5990"/>
    <n v="4"/>
    <n v="0.05"/>
    <n v="1198"/>
    <n v="22762"/>
    <n v="3356.13"/>
    <s v="2020-05-14"/>
    <s v="2020-05-19"/>
    <s v="Individual"/>
    <x v="0"/>
    <x v="78"/>
    <x v="380"/>
  </r>
  <r>
    <s v="OP-20180459"/>
    <x v="0"/>
    <x v="3"/>
    <x v="0"/>
    <s v="OnePlus Warp Charge 30 Wireless Charger"/>
    <n v="3990"/>
    <n v="1"/>
    <n v="0.12"/>
    <n v="478.8"/>
    <n v="3511.2"/>
    <n v="859.26"/>
    <s v="2019-09-14"/>
    <s v="2019-09-16"/>
    <s v="Individual"/>
    <x v="1"/>
    <x v="361"/>
    <x v="381"/>
  </r>
  <r>
    <s v="OP-20180460"/>
    <x v="2"/>
    <x v="9"/>
    <x v="3"/>
    <s v="OnePlus 7T Pro"/>
    <n v="53999"/>
    <n v="1"/>
    <n v="0.05"/>
    <n v="2699.95"/>
    <n v="51299.05"/>
    <n v="11678.7"/>
    <s v="2020-10-05"/>
    <s v="2020-10-07"/>
    <s v="Individual"/>
    <x v="0"/>
    <x v="373"/>
    <x v="157"/>
  </r>
  <r>
    <s v="OP-20180461"/>
    <x v="0"/>
    <x v="13"/>
    <x v="3"/>
    <s v="OnePlus 7T Pro"/>
    <n v="53999"/>
    <n v="3"/>
    <n v="0.05"/>
    <n v="8099.85"/>
    <n v="153897.15"/>
    <n v="24547.3"/>
    <s v="2020-07-18"/>
    <s v="2020-07-23"/>
    <s v="Corporate"/>
    <x v="0"/>
    <x v="264"/>
    <x v="382"/>
  </r>
  <r>
    <s v="OP-20180462"/>
    <x v="1"/>
    <x v="12"/>
    <x v="3"/>
    <s v="OnePlus 8"/>
    <n v="41999"/>
    <n v="1"/>
    <n v="0.1"/>
    <n v="4199.8999999999996"/>
    <n v="37799.1"/>
    <n v="7909"/>
    <s v="2020-07-08"/>
    <s v="2020-07-12"/>
    <s v="Individual"/>
    <x v="1"/>
    <x v="307"/>
    <x v="383"/>
  </r>
  <r>
    <s v="OP-20180463"/>
    <x v="2"/>
    <x v="16"/>
    <x v="0"/>
    <s v="OnePlus Protective Case / Bumper"/>
    <n v="1290"/>
    <n v="1"/>
    <n v="0.1"/>
    <n v="129"/>
    <n v="1161"/>
    <n v="240.33"/>
    <s v="2020-11-20"/>
    <s v="2020-11-25"/>
    <s v="Individual"/>
    <x v="1"/>
    <x v="374"/>
    <x v="363"/>
  </r>
  <r>
    <s v="OP-20180464"/>
    <x v="0"/>
    <x v="2"/>
    <x v="3"/>
    <s v="OnePlus 7 Pro"/>
    <n v="48999"/>
    <n v="1"/>
    <n v="0.05"/>
    <n v="2449.9499999999998"/>
    <n v="46549.05"/>
    <n v="10937.59"/>
    <s v="2018-09-25"/>
    <s v="2018-10-02"/>
    <s v="Individual"/>
    <x v="0"/>
    <x v="226"/>
    <x v="345"/>
  </r>
  <r>
    <s v="OP-20180465"/>
    <x v="1"/>
    <x v="6"/>
    <x v="3"/>
    <s v="OnePlus 6"/>
    <n v="34999"/>
    <n v="1"/>
    <n v="0.15"/>
    <n v="5249.85"/>
    <n v="29749.15"/>
    <n v="5327.54"/>
    <s v="2019-01-25"/>
    <s v="2019-02-01"/>
    <s v="Individual"/>
    <x v="2"/>
    <x v="375"/>
    <x v="384"/>
  </r>
  <r>
    <s v="OP-20180466"/>
    <x v="0"/>
    <x v="13"/>
    <x v="3"/>
    <s v="OnePlus 7T"/>
    <n v="37999"/>
    <n v="1"/>
    <n v="0.1"/>
    <n v="3799.9"/>
    <n v="34199.1"/>
    <n v="5399.93"/>
    <s v="2020-05-11"/>
    <s v="2020-05-15"/>
    <s v="Individual"/>
    <x v="5"/>
    <x v="376"/>
    <x v="10"/>
  </r>
  <r>
    <s v="OP-20180467"/>
    <x v="1"/>
    <x v="6"/>
    <x v="3"/>
    <s v="OnePlus 6"/>
    <n v="34999"/>
    <n v="1"/>
    <n v="0.05"/>
    <n v="1749.95"/>
    <n v="33249.050000000003"/>
    <n v="7090.2"/>
    <s v="2018-06-21"/>
    <s v="2018-06-28"/>
    <s v="Individual"/>
    <x v="0"/>
    <x v="377"/>
    <x v="385"/>
  </r>
  <r>
    <s v="OP-20180468"/>
    <x v="0"/>
    <x v="0"/>
    <x v="3"/>
    <s v="OnePlus 6"/>
    <n v="34999"/>
    <n v="3"/>
    <n v="0"/>
    <n v="0"/>
    <n v="104997"/>
    <n v="20257.919999999998"/>
    <s v="2020-06-09"/>
    <s v="2020-06-12"/>
    <s v="Individual"/>
    <x v="1"/>
    <x v="378"/>
    <x v="386"/>
  </r>
  <r>
    <s v="OP-20180469"/>
    <x v="1"/>
    <x v="15"/>
    <x v="4"/>
    <s v="OnePlus Bullets Wireless Z"/>
    <n v="1999"/>
    <n v="4"/>
    <n v="0.05"/>
    <n v="399.8"/>
    <n v="7596.2"/>
    <n v="1469.46"/>
    <s v="2018-05-24"/>
    <s v="2018-05-31"/>
    <s v="Individual"/>
    <x v="1"/>
    <x v="379"/>
    <x v="387"/>
  </r>
  <r>
    <s v="OP-20180470"/>
    <x v="1"/>
    <x v="12"/>
    <x v="2"/>
    <s v="OnePlus Nord"/>
    <n v="24999"/>
    <n v="1"/>
    <n v="0.1"/>
    <n v="2499.9"/>
    <n v="22499.1"/>
    <n v="5376.89"/>
    <s v="2018-07-16"/>
    <s v="2018-07-19"/>
    <s v="Individual"/>
    <x v="2"/>
    <x v="380"/>
    <x v="228"/>
  </r>
  <r>
    <s v="OP-20180471"/>
    <x v="0"/>
    <x v="13"/>
    <x v="0"/>
    <s v="OnePlus Warp Charge 30 Power Adapter"/>
    <n v="1990"/>
    <n v="2"/>
    <n v="0"/>
    <n v="0"/>
    <n v="3980"/>
    <n v="625.48"/>
    <s v="2020-02-17"/>
    <s v="2020-02-22"/>
    <s v="Individual"/>
    <x v="3"/>
    <x v="381"/>
    <x v="388"/>
  </r>
  <r>
    <s v="OP-20180472"/>
    <x v="0"/>
    <x v="0"/>
    <x v="1"/>
    <s v="OnePlus TV Q1 55-inch"/>
    <n v="69900"/>
    <n v="1"/>
    <n v="0"/>
    <n v="0"/>
    <n v="69900"/>
    <n v="13765.56"/>
    <s v="2019-08-20"/>
    <s v="2019-08-24"/>
    <s v="Individual"/>
    <x v="3"/>
    <x v="382"/>
    <x v="389"/>
  </r>
  <r>
    <s v="OP-20180473"/>
    <x v="0"/>
    <x v="2"/>
    <x v="4"/>
    <s v="OnePlus Buds Z"/>
    <n v="2999"/>
    <n v="4"/>
    <n v="0"/>
    <n v="0"/>
    <n v="11996"/>
    <n v="1820.52"/>
    <s v="2018-08-14"/>
    <s v="2018-08-16"/>
    <s v="Student"/>
    <x v="1"/>
    <x v="383"/>
    <x v="390"/>
  </r>
  <r>
    <s v="OP-20180474"/>
    <x v="0"/>
    <x v="13"/>
    <x v="4"/>
    <s v="OnePlus Bullets Wireless 2"/>
    <n v="5990"/>
    <n v="1"/>
    <n v="0.05"/>
    <n v="299.5"/>
    <n v="5690.5"/>
    <n v="1105.03"/>
    <s v="2018-11-02"/>
    <s v="2018-11-07"/>
    <s v="Retail Partner"/>
    <x v="3"/>
    <x v="273"/>
    <x v="143"/>
  </r>
  <r>
    <s v="OP-20180475"/>
    <x v="2"/>
    <x v="16"/>
    <x v="3"/>
    <s v="OnePlus 7 Pro"/>
    <n v="48999"/>
    <n v="1"/>
    <n v="0.15"/>
    <n v="7349.85"/>
    <n v="41649.15"/>
    <n v="9251.01"/>
    <s v="2020-11-14"/>
    <s v="2020-11-17"/>
    <s v="Retail Partner"/>
    <x v="0"/>
    <x v="384"/>
    <x v="204"/>
  </r>
  <r>
    <s v="OP-20180476"/>
    <x v="0"/>
    <x v="3"/>
    <x v="1"/>
    <s v="OnePlus TV Q1 55-inch"/>
    <n v="69900"/>
    <n v="1"/>
    <n v="0.1"/>
    <n v="6990"/>
    <n v="62910"/>
    <n v="11930.34"/>
    <s v="2020-09-18"/>
    <s v="2020-09-23"/>
    <s v="Individual"/>
    <x v="0"/>
    <x v="385"/>
    <x v="264"/>
  </r>
  <r>
    <s v="OP-20180477"/>
    <x v="3"/>
    <x v="17"/>
    <x v="3"/>
    <s v="OnePlus 8 Pro"/>
    <n v="54999"/>
    <n v="1"/>
    <n v="0.12"/>
    <n v="6599.88"/>
    <n v="48399.12"/>
    <n v="7442.35"/>
    <s v="2019-03-05"/>
    <s v="2019-03-11"/>
    <s v="Individual"/>
    <x v="0"/>
    <x v="386"/>
    <x v="391"/>
  </r>
  <r>
    <s v="OP-20180478"/>
    <x v="2"/>
    <x v="4"/>
    <x v="3"/>
    <s v="OnePlus 6T"/>
    <n v="37999"/>
    <n v="1"/>
    <n v="0"/>
    <n v="0"/>
    <n v="37999"/>
    <n v="6833.68"/>
    <s v="2019-08-11"/>
    <s v="2019-08-17"/>
    <s v="Individual"/>
    <x v="0"/>
    <x v="201"/>
    <x v="392"/>
  </r>
  <r>
    <s v="OP-20180479"/>
    <x v="2"/>
    <x v="7"/>
    <x v="3"/>
    <s v="OnePlus 8"/>
    <n v="41999"/>
    <n v="1"/>
    <n v="0.1"/>
    <n v="4199.8999999999996"/>
    <n v="37799.1"/>
    <n v="9059.49"/>
    <s v="2018-08-21"/>
    <s v="2018-08-23"/>
    <s v="Individual"/>
    <x v="4"/>
    <x v="66"/>
    <x v="393"/>
  </r>
  <r>
    <s v="OP-20180480"/>
    <x v="1"/>
    <x v="1"/>
    <x v="0"/>
    <s v="OnePlus Protective Case / Bumper"/>
    <n v="1290"/>
    <n v="2"/>
    <n v="0.05"/>
    <n v="129"/>
    <n v="2451"/>
    <n v="558.30999999999995"/>
    <s v="2020-07-03"/>
    <s v="2020-07-08"/>
    <s v="Student"/>
    <x v="5"/>
    <x v="387"/>
    <x v="394"/>
  </r>
  <r>
    <s v="OP-20180481"/>
    <x v="1"/>
    <x v="15"/>
    <x v="3"/>
    <s v="OnePlus 7"/>
    <n v="32999"/>
    <n v="1"/>
    <n v="0.05"/>
    <n v="1649.95"/>
    <n v="31349.05"/>
    <n v="6452.59"/>
    <s v="2020-10-16"/>
    <s v="2020-10-23"/>
    <s v="Individual"/>
    <x v="3"/>
    <x v="388"/>
    <x v="395"/>
  </r>
  <r>
    <s v="OP-20180482"/>
    <x v="2"/>
    <x v="19"/>
    <x v="4"/>
    <s v="OnePlus Buds Z"/>
    <n v="2999"/>
    <n v="1"/>
    <n v="0.08"/>
    <n v="239.92"/>
    <n v="2759.08"/>
    <n v="575.58000000000004"/>
    <s v="2020-03-04"/>
    <s v="2020-03-10"/>
    <s v="Retail Partner"/>
    <x v="0"/>
    <x v="136"/>
    <x v="396"/>
  </r>
  <r>
    <s v="OP-20180483"/>
    <x v="0"/>
    <x v="3"/>
    <x v="4"/>
    <s v="OnePlus Bullets Wireless 2"/>
    <n v="5990"/>
    <n v="1"/>
    <n v="0.05"/>
    <n v="299.5"/>
    <n v="5690.5"/>
    <n v="1202.1400000000001"/>
    <s v="2018-11-09"/>
    <s v="2018-11-13"/>
    <s v="Individual"/>
    <x v="0"/>
    <x v="389"/>
    <x v="397"/>
  </r>
  <r>
    <s v="OP-20180484"/>
    <x v="2"/>
    <x v="7"/>
    <x v="2"/>
    <s v="OnePlus Nord N10"/>
    <n v="19999"/>
    <n v="1"/>
    <n v="0"/>
    <n v="0"/>
    <n v="19999"/>
    <n v="4478.1899999999996"/>
    <s v="2019-10-11"/>
    <s v="2019-10-17"/>
    <s v="Individual"/>
    <x v="3"/>
    <x v="390"/>
    <x v="398"/>
  </r>
  <r>
    <s v="OP-20180485"/>
    <x v="2"/>
    <x v="19"/>
    <x v="4"/>
    <s v="OnePlus Buds"/>
    <n v="4990"/>
    <n v="1"/>
    <n v="0.05"/>
    <n v="249.5"/>
    <n v="4740.5"/>
    <n v="1182.45"/>
    <s v="2018-01-28"/>
    <s v="2018-01-30"/>
    <s v="Individual"/>
    <x v="0"/>
    <x v="391"/>
    <x v="399"/>
  </r>
  <r>
    <s v="OP-20180486"/>
    <x v="0"/>
    <x v="3"/>
    <x v="3"/>
    <s v="OnePlus 7T Pro"/>
    <n v="53999"/>
    <n v="1"/>
    <n v="0.05"/>
    <n v="2699.95"/>
    <n v="51299.05"/>
    <n v="7826.24"/>
    <s v="2020-02-10"/>
    <s v="2020-02-16"/>
    <s v="Individual"/>
    <x v="0"/>
    <x v="54"/>
    <x v="55"/>
  </r>
  <r>
    <s v="OP-20180487"/>
    <x v="2"/>
    <x v="16"/>
    <x v="1"/>
    <s v="OnePlus TV 43Y1 Full HD"/>
    <n v="22999"/>
    <n v="1"/>
    <n v="0.05"/>
    <n v="1149.95"/>
    <n v="21849.05"/>
    <n v="5409.58"/>
    <s v="2018-06-02"/>
    <s v="2018-06-08"/>
    <s v="Individual"/>
    <x v="0"/>
    <x v="392"/>
    <x v="400"/>
  </r>
  <r>
    <s v="OP-20180488"/>
    <x v="0"/>
    <x v="13"/>
    <x v="1"/>
    <s v="OnePlus TV Q1 55-inch"/>
    <n v="69900"/>
    <n v="2"/>
    <n v="0.08"/>
    <n v="11184"/>
    <n v="128616"/>
    <n v="22570.78"/>
    <s v="2020-04-20"/>
    <s v="2020-04-22"/>
    <s v="Individual"/>
    <x v="0"/>
    <x v="393"/>
    <x v="401"/>
  </r>
  <r>
    <s v="OP-20180489"/>
    <x v="1"/>
    <x v="15"/>
    <x v="3"/>
    <s v="OnePlus 6T"/>
    <n v="37999"/>
    <n v="1"/>
    <n v="0.08"/>
    <n v="3039.92"/>
    <n v="34959.08"/>
    <n v="7367.92"/>
    <s v="2020-12-29"/>
    <s v="2020-12-31"/>
    <s v="Individual"/>
    <x v="0"/>
    <x v="46"/>
    <x v="402"/>
  </r>
  <r>
    <s v="OP-20180490"/>
    <x v="1"/>
    <x v="12"/>
    <x v="1"/>
    <s v="OnePlus TV 43Y1 Full HD"/>
    <n v="22999"/>
    <n v="1"/>
    <n v="0"/>
    <n v="0"/>
    <n v="22999"/>
    <n v="4214.45"/>
    <s v="2019-04-24"/>
    <s v="2019-04-29"/>
    <s v="Individual"/>
    <x v="3"/>
    <x v="394"/>
    <x v="403"/>
  </r>
  <r>
    <s v="OP-20180491"/>
    <x v="2"/>
    <x v="9"/>
    <x v="0"/>
    <s v="OnePlus Type-C Bullets Earphones"/>
    <n v="1490"/>
    <n v="1"/>
    <n v="0"/>
    <n v="0"/>
    <n v="1490"/>
    <n v="367.05"/>
    <s v="2018-09-04"/>
    <s v="2018-09-10"/>
    <s v="Individual"/>
    <x v="3"/>
    <x v="395"/>
    <x v="170"/>
  </r>
  <r>
    <s v="OP-20180492"/>
    <x v="2"/>
    <x v="19"/>
    <x v="3"/>
    <s v="OnePlus 7 Pro"/>
    <n v="48999"/>
    <n v="5"/>
    <n v="0.08"/>
    <n v="19599.599999999999"/>
    <n v="225395.4"/>
    <n v="39323.96"/>
    <s v="2020-10-28"/>
    <s v="2020-11-01"/>
    <s v="Individual"/>
    <x v="0"/>
    <x v="89"/>
    <x v="404"/>
  </r>
  <r>
    <s v="OP-20180493"/>
    <x v="3"/>
    <x v="8"/>
    <x v="4"/>
    <s v="OnePlus Bullets Wireless 2"/>
    <n v="5990"/>
    <n v="1"/>
    <n v="0"/>
    <n v="0"/>
    <n v="5990"/>
    <n v="1456.13"/>
    <s v="2019-01-11"/>
    <s v="2019-01-17"/>
    <s v="Corporate"/>
    <x v="0"/>
    <x v="73"/>
    <x v="405"/>
  </r>
  <r>
    <s v="OP-20180494"/>
    <x v="2"/>
    <x v="9"/>
    <x v="3"/>
    <s v="OnePlus 8"/>
    <n v="41999"/>
    <n v="1"/>
    <n v="0.05"/>
    <n v="2099.9499999999998"/>
    <n v="39899.050000000003"/>
    <n v="6589.84"/>
    <s v="2018-06-28"/>
    <s v="2018-07-04"/>
    <s v="Corporate"/>
    <x v="3"/>
    <x v="218"/>
    <x v="190"/>
  </r>
  <r>
    <s v="OP-20180495"/>
    <x v="3"/>
    <x v="5"/>
    <x v="0"/>
    <s v="OnePlus Type-C Bullets Earphones"/>
    <n v="1490"/>
    <n v="1"/>
    <n v="0.12"/>
    <n v="178.8"/>
    <n v="1311.2"/>
    <n v="250.94"/>
    <s v="2020-01-02"/>
    <s v="2020-01-05"/>
    <s v="Corporate"/>
    <x v="1"/>
    <x v="396"/>
    <x v="39"/>
  </r>
  <r>
    <s v="OP-20180496"/>
    <x v="1"/>
    <x v="1"/>
    <x v="1"/>
    <s v="OnePlus TV 43Y1 Full HD"/>
    <n v="22999"/>
    <n v="2"/>
    <n v="0"/>
    <n v="0"/>
    <n v="45998"/>
    <n v="8677.02"/>
    <s v="2020-06-12"/>
    <s v="2020-06-19"/>
    <s v="Corporate"/>
    <x v="4"/>
    <x v="397"/>
    <x v="406"/>
  </r>
  <r>
    <s v="OP-20180497"/>
    <x v="0"/>
    <x v="2"/>
    <x v="4"/>
    <s v="OnePlus Bullets Wireless Z"/>
    <n v="1999"/>
    <n v="3"/>
    <n v="0.1"/>
    <n v="599.70000000000005"/>
    <n v="5397.3"/>
    <n v="874.03"/>
    <s v="2020-05-19"/>
    <s v="2020-05-24"/>
    <s v="Individual"/>
    <x v="0"/>
    <x v="337"/>
    <x v="257"/>
  </r>
  <r>
    <s v="OP-20180498"/>
    <x v="1"/>
    <x v="1"/>
    <x v="3"/>
    <s v="OnePlus 8 Pro"/>
    <n v="54999"/>
    <n v="1"/>
    <n v="0.08"/>
    <n v="4399.92"/>
    <n v="50599.08"/>
    <n v="10032.67"/>
    <s v="2018-06-22"/>
    <s v="2018-06-28"/>
    <s v="Student"/>
    <x v="3"/>
    <x v="398"/>
    <x v="385"/>
  </r>
  <r>
    <s v="OP-20180499"/>
    <x v="1"/>
    <x v="15"/>
    <x v="3"/>
    <s v="OnePlus 7T Pro"/>
    <n v="53999"/>
    <n v="2"/>
    <n v="0.05"/>
    <n v="5399.9"/>
    <n v="102598.1"/>
    <n v="20526.75"/>
    <s v="2018-11-27"/>
    <s v="2018-11-30"/>
    <s v="Individual"/>
    <x v="0"/>
    <x v="399"/>
    <x v="407"/>
  </r>
  <r>
    <s v="OP-20180500"/>
    <x v="1"/>
    <x v="1"/>
    <x v="3"/>
    <s v="OnePlus 7T Pro"/>
    <n v="53999"/>
    <n v="1"/>
    <n v="0.05"/>
    <n v="2699.95"/>
    <n v="51299.05"/>
    <n v="7700.53"/>
    <s v="2019-07-20"/>
    <s v="2019-07-27"/>
    <s v="Retail Partner"/>
    <x v="5"/>
    <x v="400"/>
    <x v="408"/>
  </r>
  <r>
    <s v="OP-20180501"/>
    <x v="0"/>
    <x v="3"/>
    <x v="3"/>
    <s v="OnePlus 8"/>
    <n v="41999"/>
    <n v="1"/>
    <n v="0.08"/>
    <n v="3359.92"/>
    <n v="38639.08"/>
    <n v="8849.7900000000009"/>
    <s v="2019-12-09"/>
    <s v="2019-12-13"/>
    <s v="Student"/>
    <x v="0"/>
    <x v="401"/>
    <x v="409"/>
  </r>
  <r>
    <s v="OP-20180502"/>
    <x v="1"/>
    <x v="1"/>
    <x v="3"/>
    <s v="OnePlus 6"/>
    <n v="34999"/>
    <n v="1"/>
    <n v="0.1"/>
    <n v="3499.9"/>
    <n v="31499.1"/>
    <n v="5859.07"/>
    <s v="2020-04-22"/>
    <s v="2020-04-25"/>
    <s v="Individual"/>
    <x v="0"/>
    <x v="402"/>
    <x v="410"/>
  </r>
  <r>
    <s v="OP-20180503"/>
    <x v="2"/>
    <x v="16"/>
    <x v="0"/>
    <s v="OnePlus Type-C Bullets Earphones"/>
    <n v="1490"/>
    <n v="1"/>
    <n v="0.1"/>
    <n v="149"/>
    <n v="1341"/>
    <n v="321.23"/>
    <s v="2019-01-07"/>
    <s v="2019-01-14"/>
    <s v="Individual"/>
    <x v="1"/>
    <x v="364"/>
    <x v="411"/>
  </r>
  <r>
    <s v="OP-20180504"/>
    <x v="2"/>
    <x v="19"/>
    <x v="0"/>
    <s v="OnePlus Type-C Bullets Earphones"/>
    <n v="1490"/>
    <n v="1"/>
    <n v="0"/>
    <n v="0"/>
    <n v="1490"/>
    <n v="318.02999999999997"/>
    <s v="2019-12-19"/>
    <s v="2019-12-22"/>
    <s v="Individual"/>
    <x v="4"/>
    <x v="266"/>
    <x v="348"/>
  </r>
  <r>
    <s v="OP-20180505"/>
    <x v="2"/>
    <x v="9"/>
    <x v="3"/>
    <s v="OnePlus 8 Pro"/>
    <n v="54999"/>
    <n v="2"/>
    <n v="0.08"/>
    <n v="8799.84"/>
    <n v="101198.16"/>
    <n v="24653.71"/>
    <s v="2020-09-10"/>
    <s v="2020-09-16"/>
    <s v="Individual"/>
    <x v="0"/>
    <x v="111"/>
    <x v="195"/>
  </r>
  <r>
    <s v="OP-20180506"/>
    <x v="0"/>
    <x v="2"/>
    <x v="3"/>
    <s v="OnePlus 6T"/>
    <n v="37999"/>
    <n v="1"/>
    <n v="0.05"/>
    <n v="1899.95"/>
    <n v="36099.050000000003"/>
    <n v="6544.43"/>
    <s v="2019-05-17"/>
    <s v="2019-05-23"/>
    <s v="Individual"/>
    <x v="0"/>
    <x v="403"/>
    <x v="412"/>
  </r>
  <r>
    <s v="OP-20180507"/>
    <x v="0"/>
    <x v="3"/>
    <x v="3"/>
    <s v="OnePlus 6T"/>
    <n v="37999"/>
    <n v="1"/>
    <n v="0.08"/>
    <n v="3039.92"/>
    <n v="34959.08"/>
    <n v="7391.89"/>
    <s v="2018-12-06"/>
    <s v="2018-12-12"/>
    <s v="Individual"/>
    <x v="2"/>
    <x v="404"/>
    <x v="413"/>
  </r>
  <r>
    <s v="OP-20180508"/>
    <x v="3"/>
    <x v="10"/>
    <x v="0"/>
    <s v="OnePlus Type-C Bullets Earphones"/>
    <n v="1490"/>
    <n v="1"/>
    <n v="0.05"/>
    <n v="74.5"/>
    <n v="1415.5"/>
    <n v="205.99"/>
    <s v="2019-08-20"/>
    <s v="2019-08-23"/>
    <s v="Corporate"/>
    <x v="0"/>
    <x v="382"/>
    <x v="414"/>
  </r>
  <r>
    <s v="OP-20180509"/>
    <x v="2"/>
    <x v="19"/>
    <x v="1"/>
    <s v="OnePlus TV 43Y1 Full HD"/>
    <n v="22999"/>
    <n v="1"/>
    <n v="0.05"/>
    <n v="1149.95"/>
    <n v="21849.05"/>
    <n v="4555.34"/>
    <s v="2019-12-10"/>
    <s v="2019-12-13"/>
    <s v="Individual"/>
    <x v="0"/>
    <x v="405"/>
    <x v="409"/>
  </r>
  <r>
    <s v="OP-20180510"/>
    <x v="3"/>
    <x v="10"/>
    <x v="3"/>
    <s v="OnePlus 7T Pro"/>
    <n v="53999"/>
    <n v="2"/>
    <n v="0.1"/>
    <n v="10799.8"/>
    <n v="97198.2"/>
    <n v="22038.15"/>
    <s v="2020-06-13"/>
    <s v="2020-06-15"/>
    <s v="Corporate"/>
    <x v="0"/>
    <x v="406"/>
    <x v="415"/>
  </r>
  <r>
    <s v="OP-20180511"/>
    <x v="1"/>
    <x v="1"/>
    <x v="4"/>
    <s v="OnePlus Bullets Wireless 2"/>
    <n v="5990"/>
    <n v="2"/>
    <n v="0.08"/>
    <n v="958.4"/>
    <n v="11021.6"/>
    <n v="1853.17"/>
    <s v="2018-08-16"/>
    <s v="2018-08-21"/>
    <s v="Retail Partner"/>
    <x v="0"/>
    <x v="407"/>
    <x v="416"/>
  </r>
  <r>
    <s v="OP-20180512"/>
    <x v="1"/>
    <x v="15"/>
    <x v="0"/>
    <s v="OnePlus Type-C Bullets Earphones"/>
    <n v="1490"/>
    <n v="1"/>
    <n v="0.1"/>
    <n v="149"/>
    <n v="1341"/>
    <n v="242.65"/>
    <s v="2018-08-17"/>
    <s v="2018-08-21"/>
    <s v="Corporate"/>
    <x v="1"/>
    <x v="408"/>
    <x v="416"/>
  </r>
  <r>
    <s v="OP-20180513"/>
    <x v="3"/>
    <x v="17"/>
    <x v="3"/>
    <s v="OnePlus 6T"/>
    <n v="37999"/>
    <n v="1"/>
    <n v="0.15"/>
    <n v="5699.85"/>
    <n v="32299.15"/>
    <n v="6394.84"/>
    <s v="2019-08-05"/>
    <s v="2019-08-12"/>
    <s v="Corporate"/>
    <x v="5"/>
    <x v="409"/>
    <x v="417"/>
  </r>
  <r>
    <s v="OP-20180514"/>
    <x v="0"/>
    <x v="13"/>
    <x v="4"/>
    <s v="OnePlus Bullets Wireless 2"/>
    <n v="5990"/>
    <n v="1"/>
    <n v="0.05"/>
    <n v="299.5"/>
    <n v="5690.5"/>
    <n v="1383.08"/>
    <s v="2019-11-22"/>
    <s v="2019-11-29"/>
    <s v="Individual"/>
    <x v="2"/>
    <x v="410"/>
    <x v="124"/>
  </r>
  <r>
    <s v="OP-20180515"/>
    <x v="1"/>
    <x v="12"/>
    <x v="0"/>
    <s v="OnePlus Type-C Bullets Earphones"/>
    <n v="1490"/>
    <n v="1"/>
    <n v="0.05"/>
    <n v="74.5"/>
    <n v="1415.5"/>
    <n v="229.58"/>
    <s v="2020-09-08"/>
    <s v="2020-09-10"/>
    <s v="Individual"/>
    <x v="1"/>
    <x v="103"/>
    <x v="107"/>
  </r>
  <r>
    <s v="OP-20180516"/>
    <x v="0"/>
    <x v="3"/>
    <x v="1"/>
    <s v="OnePlus TV 43Y1 Full HD"/>
    <n v="22999"/>
    <n v="2"/>
    <n v="0.08"/>
    <n v="3679.84"/>
    <n v="42318.16"/>
    <n v="8651.73"/>
    <s v="2018-04-22"/>
    <s v="2018-04-25"/>
    <s v="Individual"/>
    <x v="0"/>
    <x v="411"/>
    <x v="418"/>
  </r>
  <r>
    <s v="OP-20180517"/>
    <x v="0"/>
    <x v="2"/>
    <x v="0"/>
    <s v="OnePlus Warp Charge 30 Power Adapter"/>
    <n v="1990"/>
    <n v="2"/>
    <n v="0"/>
    <n v="0"/>
    <n v="3980"/>
    <n v="860.43"/>
    <s v="2019-07-23"/>
    <s v="2019-07-28"/>
    <s v="Individual"/>
    <x v="3"/>
    <x v="43"/>
    <x v="419"/>
  </r>
  <r>
    <s v="OP-20180518"/>
    <x v="1"/>
    <x v="6"/>
    <x v="3"/>
    <s v="OnePlus 7T Pro"/>
    <n v="53999"/>
    <n v="1"/>
    <n v="0.12"/>
    <n v="6479.88"/>
    <n v="47519.12"/>
    <n v="8060.92"/>
    <s v="2019-05-07"/>
    <s v="2019-05-11"/>
    <s v="Student"/>
    <x v="0"/>
    <x v="412"/>
    <x v="420"/>
  </r>
  <r>
    <s v="OP-20180519"/>
    <x v="0"/>
    <x v="2"/>
    <x v="3"/>
    <s v="OnePlus 7 Pro"/>
    <n v="48999"/>
    <n v="4"/>
    <n v="0.12"/>
    <n v="23519.52"/>
    <n v="172476.48"/>
    <n v="41110.629999999997"/>
    <s v="2019-06-19"/>
    <s v="2019-06-24"/>
    <s v="Individual"/>
    <x v="1"/>
    <x v="413"/>
    <x v="421"/>
  </r>
  <r>
    <s v="OP-20180520"/>
    <x v="3"/>
    <x v="8"/>
    <x v="3"/>
    <s v="OnePlus 7 Pro"/>
    <n v="48999"/>
    <n v="2"/>
    <n v="0.05"/>
    <n v="4899.8999999999996"/>
    <n v="93098.1"/>
    <n v="19649.900000000001"/>
    <s v="2018-01-02"/>
    <s v="2018-01-05"/>
    <s v="Individual"/>
    <x v="1"/>
    <x v="127"/>
    <x v="422"/>
  </r>
  <r>
    <s v="OP-20180521"/>
    <x v="2"/>
    <x v="16"/>
    <x v="1"/>
    <s v="OnePlus TV 43Y1 Full HD"/>
    <n v="22999"/>
    <n v="2"/>
    <n v="0"/>
    <n v="0"/>
    <n v="45998"/>
    <n v="8655.89"/>
    <s v="2018-07-30"/>
    <s v="2018-08-02"/>
    <s v="Individual"/>
    <x v="0"/>
    <x v="190"/>
    <x v="423"/>
  </r>
  <r>
    <s v="OP-20180522"/>
    <x v="3"/>
    <x v="8"/>
    <x v="3"/>
    <s v="OnePlus 8"/>
    <n v="41999"/>
    <n v="1"/>
    <n v="0.12"/>
    <n v="5039.88"/>
    <n v="36959.120000000003"/>
    <n v="8432.7800000000007"/>
    <s v="2019-07-02"/>
    <s v="2019-07-08"/>
    <s v="Student"/>
    <x v="0"/>
    <x v="414"/>
    <x v="193"/>
  </r>
  <r>
    <s v="OP-20180523"/>
    <x v="2"/>
    <x v="4"/>
    <x v="3"/>
    <s v="OnePlus 6"/>
    <n v="34999"/>
    <n v="1"/>
    <n v="0.08"/>
    <n v="2799.92"/>
    <n v="32199.08"/>
    <n v="6353.81"/>
    <s v="2018-03-20"/>
    <s v="2018-03-24"/>
    <s v="Individual"/>
    <x v="0"/>
    <x v="415"/>
    <x v="424"/>
  </r>
  <r>
    <s v="OP-20180524"/>
    <x v="3"/>
    <x v="17"/>
    <x v="0"/>
    <s v="OnePlus Protective Case / Bumper"/>
    <n v="1290"/>
    <n v="4"/>
    <n v="0.1"/>
    <n v="516"/>
    <n v="4644"/>
    <n v="963.28"/>
    <s v="2019-06-02"/>
    <s v="2019-06-05"/>
    <s v="Individual"/>
    <x v="3"/>
    <x v="25"/>
    <x v="425"/>
  </r>
  <r>
    <s v="OP-20180525"/>
    <x v="2"/>
    <x v="9"/>
    <x v="0"/>
    <s v="OnePlus Type-C Bullets Earphones"/>
    <n v="1490"/>
    <n v="1"/>
    <n v="0.12"/>
    <n v="178.8"/>
    <n v="1311.2"/>
    <n v="287.06"/>
    <s v="2018-02-25"/>
    <s v="2018-02-27"/>
    <s v="Individual"/>
    <x v="3"/>
    <x v="416"/>
    <x v="375"/>
  </r>
  <r>
    <s v="OP-20180526"/>
    <x v="2"/>
    <x v="7"/>
    <x v="0"/>
    <s v="OnePlus Protective Case / Bumper"/>
    <n v="1290"/>
    <n v="1"/>
    <n v="0.05"/>
    <n v="64.5"/>
    <n v="1225.5"/>
    <n v="247.64"/>
    <s v="2018-01-13"/>
    <s v="2018-01-15"/>
    <s v="Corporate"/>
    <x v="0"/>
    <x v="417"/>
    <x v="426"/>
  </r>
  <r>
    <s v="OP-20180527"/>
    <x v="2"/>
    <x v="16"/>
    <x v="4"/>
    <s v="OnePlus Bullets Wireless 2"/>
    <n v="5990"/>
    <n v="1"/>
    <n v="0.08"/>
    <n v="479.2"/>
    <n v="5510.8"/>
    <n v="930.75"/>
    <s v="2018-02-10"/>
    <s v="2018-02-16"/>
    <s v="Individual"/>
    <x v="0"/>
    <x v="95"/>
    <x v="427"/>
  </r>
  <r>
    <s v="OP-20180528"/>
    <x v="0"/>
    <x v="0"/>
    <x v="3"/>
    <s v="OnePlus 6T"/>
    <n v="37999"/>
    <n v="1"/>
    <n v="0"/>
    <n v="0"/>
    <n v="37999"/>
    <n v="9023.9699999999993"/>
    <s v="2020-04-15"/>
    <s v="2020-04-17"/>
    <s v="Individual"/>
    <x v="3"/>
    <x v="418"/>
    <x v="231"/>
  </r>
  <r>
    <s v="OP-20180529"/>
    <x v="0"/>
    <x v="13"/>
    <x v="4"/>
    <s v="OnePlus Bullets Wireless 2"/>
    <n v="5990"/>
    <n v="1"/>
    <n v="0.05"/>
    <n v="299.5"/>
    <n v="5690.5"/>
    <n v="989.49"/>
    <s v="2019-08-09"/>
    <s v="2019-08-15"/>
    <s v="Student"/>
    <x v="3"/>
    <x v="419"/>
    <x v="428"/>
  </r>
  <r>
    <s v="OP-20180530"/>
    <x v="0"/>
    <x v="0"/>
    <x v="0"/>
    <s v="OnePlus Protective Case / Bumper"/>
    <n v="1290"/>
    <n v="1"/>
    <n v="0.1"/>
    <n v="129"/>
    <n v="1161"/>
    <n v="178.55"/>
    <s v="2018-05-12"/>
    <s v="2018-05-15"/>
    <s v="Individual"/>
    <x v="3"/>
    <x v="420"/>
    <x v="100"/>
  </r>
  <r>
    <s v="OP-20180531"/>
    <x v="0"/>
    <x v="14"/>
    <x v="2"/>
    <s v="OnePlus Nord"/>
    <n v="24999"/>
    <n v="1"/>
    <n v="0.05"/>
    <n v="1249.95"/>
    <n v="23749.05"/>
    <n v="3942.09"/>
    <s v="2018-09-04"/>
    <s v="2018-09-08"/>
    <s v="Individual"/>
    <x v="1"/>
    <x v="395"/>
    <x v="303"/>
  </r>
  <r>
    <s v="OP-20180532"/>
    <x v="2"/>
    <x v="9"/>
    <x v="0"/>
    <s v="OnePlus Type-C Bullets Earphones"/>
    <n v="1490"/>
    <n v="1"/>
    <n v="0.05"/>
    <n v="74.5"/>
    <n v="1415.5"/>
    <n v="257.89999999999998"/>
    <s v="2020-03-20"/>
    <s v="2020-03-24"/>
    <s v="Individual"/>
    <x v="3"/>
    <x v="315"/>
    <x v="429"/>
  </r>
  <r>
    <s v="OP-20180533"/>
    <x v="2"/>
    <x v="7"/>
    <x v="4"/>
    <s v="OnePlus Bullets Wireless 2"/>
    <n v="5990"/>
    <n v="2"/>
    <n v="0.1"/>
    <n v="1198"/>
    <n v="10782"/>
    <n v="2784.91"/>
    <s v="2020-05-17"/>
    <s v="2020-05-23"/>
    <s v="Individual"/>
    <x v="0"/>
    <x v="256"/>
    <x v="147"/>
  </r>
  <r>
    <s v="OP-20180534"/>
    <x v="0"/>
    <x v="0"/>
    <x v="3"/>
    <s v="OnePlus 6"/>
    <n v="34999"/>
    <n v="1"/>
    <n v="0.05"/>
    <n v="1749.95"/>
    <n v="33249.050000000003"/>
    <n v="7343.08"/>
    <s v="2019-03-18"/>
    <s v="2019-03-24"/>
    <s v="Individual"/>
    <x v="3"/>
    <x v="421"/>
    <x v="293"/>
  </r>
  <r>
    <s v="OP-20180535"/>
    <x v="0"/>
    <x v="2"/>
    <x v="4"/>
    <s v="OnePlus Buds Z"/>
    <n v="2999"/>
    <n v="1"/>
    <n v="0"/>
    <n v="0"/>
    <n v="2999"/>
    <n v="524.91"/>
    <s v="2019-06-22"/>
    <s v="2019-06-24"/>
    <s v="Individual"/>
    <x v="0"/>
    <x v="422"/>
    <x v="421"/>
  </r>
  <r>
    <s v="OP-20180536"/>
    <x v="3"/>
    <x v="8"/>
    <x v="4"/>
    <s v="OnePlus Bullets Wireless 2"/>
    <n v="5990"/>
    <n v="2"/>
    <n v="0.1"/>
    <n v="1198"/>
    <n v="10782"/>
    <n v="1897.2"/>
    <s v="2019-12-31"/>
    <s v="2020-01-05"/>
    <s v="Individual"/>
    <x v="3"/>
    <x v="15"/>
    <x v="39"/>
  </r>
  <r>
    <s v="OP-20180537"/>
    <x v="2"/>
    <x v="9"/>
    <x v="1"/>
    <s v="OnePlus TV 32Y1 HD Ready"/>
    <n v="12999"/>
    <n v="1"/>
    <n v="0"/>
    <n v="0"/>
    <n v="12999"/>
    <n v="1881.11"/>
    <s v="2018-03-28"/>
    <s v="2018-04-03"/>
    <s v="Corporate"/>
    <x v="2"/>
    <x v="294"/>
    <x v="182"/>
  </r>
  <r>
    <s v="OP-20180538"/>
    <x v="0"/>
    <x v="14"/>
    <x v="1"/>
    <s v="OnePlus TV 43Y1 Full HD"/>
    <n v="22999"/>
    <n v="2"/>
    <n v="0.08"/>
    <n v="3679.84"/>
    <n v="42318.16"/>
    <n v="9637.9599999999991"/>
    <s v="2018-03-19"/>
    <s v="2018-03-23"/>
    <s v="Individual"/>
    <x v="3"/>
    <x v="423"/>
    <x v="430"/>
  </r>
  <r>
    <s v="OP-20180539"/>
    <x v="1"/>
    <x v="11"/>
    <x v="0"/>
    <s v="OnePlus Protective Case / Bumper"/>
    <n v="1290"/>
    <n v="1"/>
    <n v="0.1"/>
    <n v="129"/>
    <n v="1161"/>
    <n v="245.76"/>
    <s v="2020-12-10"/>
    <s v="2020-12-14"/>
    <s v="Individual"/>
    <x v="5"/>
    <x v="424"/>
    <x v="431"/>
  </r>
  <r>
    <s v="OP-20180540"/>
    <x v="1"/>
    <x v="1"/>
    <x v="3"/>
    <s v="OnePlus 7T"/>
    <n v="37999"/>
    <n v="1"/>
    <n v="0.05"/>
    <n v="1899.95"/>
    <n v="36099.050000000003"/>
    <n v="5770.79"/>
    <s v="2019-06-19"/>
    <s v="2019-06-25"/>
    <s v="Individual"/>
    <x v="3"/>
    <x v="413"/>
    <x v="432"/>
  </r>
  <r>
    <s v="OP-20180541"/>
    <x v="1"/>
    <x v="12"/>
    <x v="1"/>
    <s v="OnePlus TV 32Y1 HD Ready"/>
    <n v="12999"/>
    <n v="2"/>
    <n v="0.1"/>
    <n v="2599.8000000000002"/>
    <n v="23398.2"/>
    <n v="5253.37"/>
    <s v="2019-04-17"/>
    <s v="2019-04-23"/>
    <s v="Individual"/>
    <x v="4"/>
    <x v="333"/>
    <x v="433"/>
  </r>
  <r>
    <s v="OP-20180542"/>
    <x v="2"/>
    <x v="9"/>
    <x v="3"/>
    <s v="OnePlus 7T Pro"/>
    <n v="53999"/>
    <n v="1"/>
    <n v="0.05"/>
    <n v="2699.95"/>
    <n v="51299.05"/>
    <n v="7507.06"/>
    <s v="2019-09-26"/>
    <s v="2019-09-28"/>
    <s v="Individual"/>
    <x v="0"/>
    <x v="425"/>
    <x v="434"/>
  </r>
  <r>
    <s v="OP-20180543"/>
    <x v="0"/>
    <x v="14"/>
    <x v="3"/>
    <s v="OnePlus 8"/>
    <n v="41999"/>
    <n v="2"/>
    <n v="0"/>
    <n v="0"/>
    <n v="83998"/>
    <n v="15587.38"/>
    <s v="2018-08-02"/>
    <s v="2018-08-04"/>
    <s v="Retail Partner"/>
    <x v="3"/>
    <x v="426"/>
    <x v="274"/>
  </r>
  <r>
    <s v="OP-20180544"/>
    <x v="3"/>
    <x v="18"/>
    <x v="2"/>
    <s v="OnePlus Nord N10"/>
    <n v="19999"/>
    <n v="1"/>
    <n v="0"/>
    <n v="0"/>
    <n v="19999"/>
    <n v="4399.83"/>
    <s v="2020-06-13"/>
    <s v="2020-06-18"/>
    <s v="Individual"/>
    <x v="1"/>
    <x v="406"/>
    <x v="435"/>
  </r>
  <r>
    <s v="OP-20180545"/>
    <x v="0"/>
    <x v="0"/>
    <x v="3"/>
    <s v="OnePlus 7 Pro"/>
    <n v="48999"/>
    <n v="1"/>
    <n v="0.1"/>
    <n v="4899.8999999999996"/>
    <n v="44099.1"/>
    <n v="7156.99"/>
    <s v="2019-04-22"/>
    <s v="2019-04-25"/>
    <s v="Individual"/>
    <x v="3"/>
    <x v="427"/>
    <x v="436"/>
  </r>
  <r>
    <s v="OP-20180546"/>
    <x v="0"/>
    <x v="0"/>
    <x v="1"/>
    <s v="OnePlus TV 32Y1 HD Ready"/>
    <n v="12999"/>
    <n v="1"/>
    <n v="0"/>
    <n v="0"/>
    <n v="12999"/>
    <n v="3213.46"/>
    <s v="2020-05-04"/>
    <s v="2020-05-06"/>
    <s v="Individual"/>
    <x v="3"/>
    <x v="309"/>
    <x v="27"/>
  </r>
  <r>
    <s v="OP-20180547"/>
    <x v="1"/>
    <x v="11"/>
    <x v="4"/>
    <s v="OnePlus Bullets Wireless Z"/>
    <n v="1999"/>
    <n v="3"/>
    <n v="0"/>
    <n v="0"/>
    <n v="5997"/>
    <n v="875.32"/>
    <s v="2020-12-10"/>
    <s v="2020-12-13"/>
    <s v="Individual"/>
    <x v="0"/>
    <x v="424"/>
    <x v="437"/>
  </r>
  <r>
    <s v="OP-20180548"/>
    <x v="2"/>
    <x v="19"/>
    <x v="3"/>
    <s v="OnePlus 7T Pro"/>
    <n v="53999"/>
    <n v="2"/>
    <n v="0"/>
    <n v="0"/>
    <n v="107998"/>
    <n v="21385.74"/>
    <s v="2020-11-07"/>
    <s v="2020-11-12"/>
    <s v="Individual"/>
    <x v="2"/>
    <x v="428"/>
    <x v="438"/>
  </r>
  <r>
    <s v="OP-20180549"/>
    <x v="1"/>
    <x v="1"/>
    <x v="2"/>
    <s v="OnePlus Nord N10"/>
    <n v="19999"/>
    <n v="1"/>
    <n v="0.1"/>
    <n v="1999.9"/>
    <n v="17999.099999999999"/>
    <n v="2653.67"/>
    <s v="2018-01-25"/>
    <s v="2018-01-29"/>
    <s v="Corporate"/>
    <x v="1"/>
    <x v="299"/>
    <x v="439"/>
  </r>
  <r>
    <s v="OP-20180550"/>
    <x v="0"/>
    <x v="0"/>
    <x v="3"/>
    <s v="OnePlus 8"/>
    <n v="41999"/>
    <n v="1"/>
    <n v="0.1"/>
    <n v="4199.8999999999996"/>
    <n v="37799.1"/>
    <n v="6482.13"/>
    <s v="2020-07-17"/>
    <s v="2020-07-23"/>
    <s v="Individual"/>
    <x v="1"/>
    <x v="429"/>
    <x v="382"/>
  </r>
  <r>
    <s v="OP-20180551"/>
    <x v="0"/>
    <x v="13"/>
    <x v="4"/>
    <s v="OnePlus Buds Z"/>
    <n v="2999"/>
    <n v="1"/>
    <n v="0.08"/>
    <n v="239.92"/>
    <n v="2759.08"/>
    <n v="679.22"/>
    <s v="2018-11-05"/>
    <s v="2018-11-08"/>
    <s v="Individual"/>
    <x v="4"/>
    <x v="430"/>
    <x v="132"/>
  </r>
  <r>
    <s v="OP-20180552"/>
    <x v="3"/>
    <x v="10"/>
    <x v="3"/>
    <s v="OnePlus 7 Pro"/>
    <n v="48999"/>
    <n v="1"/>
    <n v="0.05"/>
    <n v="2449.9499999999998"/>
    <n v="46549.05"/>
    <n v="9405.94"/>
    <s v="2020-12-01"/>
    <s v="2020-12-05"/>
    <s v="Corporate"/>
    <x v="0"/>
    <x v="431"/>
    <x v="440"/>
  </r>
  <r>
    <s v="OP-20180553"/>
    <x v="1"/>
    <x v="1"/>
    <x v="0"/>
    <s v="OnePlus Warp Charge 30 Wireless Charger"/>
    <n v="3990"/>
    <n v="1"/>
    <n v="0.12"/>
    <n v="478.8"/>
    <n v="3511.2"/>
    <n v="515.26"/>
    <s v="2018-02-26"/>
    <s v="2018-03-04"/>
    <s v="Individual"/>
    <x v="0"/>
    <x v="432"/>
    <x v="313"/>
  </r>
  <r>
    <s v="OP-20180554"/>
    <x v="0"/>
    <x v="3"/>
    <x v="3"/>
    <s v="OnePlus 8 Pro"/>
    <n v="54999"/>
    <n v="1"/>
    <n v="0.05"/>
    <n v="2749.95"/>
    <n v="52249.05"/>
    <n v="7939.22"/>
    <s v="2020-08-28"/>
    <s v="2020-09-02"/>
    <s v="Retail Partner"/>
    <x v="1"/>
    <x v="433"/>
    <x v="362"/>
  </r>
  <r>
    <s v="OP-20180555"/>
    <x v="2"/>
    <x v="4"/>
    <x v="3"/>
    <s v="OnePlus 7T"/>
    <n v="37999"/>
    <n v="1"/>
    <n v="0.1"/>
    <n v="3799.9"/>
    <n v="34199.1"/>
    <n v="6207.24"/>
    <s v="2020-07-24"/>
    <s v="2020-07-31"/>
    <s v="Corporate"/>
    <x v="1"/>
    <x v="214"/>
    <x v="441"/>
  </r>
  <r>
    <s v="OP-20180556"/>
    <x v="3"/>
    <x v="8"/>
    <x v="4"/>
    <s v="OnePlus Bullets Wireless 2"/>
    <n v="5990"/>
    <n v="3"/>
    <n v="0.08"/>
    <n v="1437.6"/>
    <n v="16532.400000000001"/>
    <n v="2575"/>
    <s v="2019-10-17"/>
    <s v="2019-10-20"/>
    <s v="Individual"/>
    <x v="3"/>
    <x v="434"/>
    <x v="50"/>
  </r>
  <r>
    <s v="OP-20180557"/>
    <x v="0"/>
    <x v="3"/>
    <x v="0"/>
    <s v="OnePlus Warp Charge 30 Power Adapter"/>
    <n v="1990"/>
    <n v="1"/>
    <n v="0.1"/>
    <n v="199"/>
    <n v="1791"/>
    <n v="352.65"/>
    <s v="2018-01-11"/>
    <s v="2018-01-16"/>
    <s v="Individual"/>
    <x v="0"/>
    <x v="435"/>
    <x v="260"/>
  </r>
  <r>
    <s v="OP-20180558"/>
    <x v="0"/>
    <x v="0"/>
    <x v="4"/>
    <s v="OnePlus Buds"/>
    <n v="4990"/>
    <n v="1"/>
    <n v="0.1"/>
    <n v="499"/>
    <n v="4491"/>
    <n v="739.76"/>
    <s v="2019-09-27"/>
    <s v="2019-10-04"/>
    <s v="Corporate"/>
    <x v="1"/>
    <x v="110"/>
    <x v="300"/>
  </r>
  <r>
    <s v="OP-20180559"/>
    <x v="0"/>
    <x v="0"/>
    <x v="2"/>
    <s v="OnePlus Nord N10"/>
    <n v="19999"/>
    <n v="1"/>
    <n v="0.05"/>
    <n v="999.95"/>
    <n v="18999.05"/>
    <n v="4521.75"/>
    <s v="2020-10-04"/>
    <s v="2020-10-06"/>
    <s v="Individual"/>
    <x v="1"/>
    <x v="436"/>
    <x v="92"/>
  </r>
  <r>
    <s v="OP-20180560"/>
    <x v="3"/>
    <x v="5"/>
    <x v="3"/>
    <s v="OnePlus 7"/>
    <n v="32999"/>
    <n v="1"/>
    <n v="0.12"/>
    <n v="3959.88"/>
    <n v="29039.119999999999"/>
    <n v="6683.96"/>
    <s v="2019-09-10"/>
    <s v="2019-09-16"/>
    <s v="Corporate"/>
    <x v="1"/>
    <x v="437"/>
    <x v="381"/>
  </r>
  <r>
    <s v="OP-20180561"/>
    <x v="3"/>
    <x v="5"/>
    <x v="1"/>
    <s v="OnePlus TV 32Y1 HD Ready"/>
    <n v="12999"/>
    <n v="1"/>
    <n v="0.08"/>
    <n v="1039.92"/>
    <n v="11959.08"/>
    <n v="2772.57"/>
    <s v="2020-02-07"/>
    <s v="2020-02-11"/>
    <s v="Individual"/>
    <x v="3"/>
    <x v="171"/>
    <x v="442"/>
  </r>
  <r>
    <s v="OP-20180562"/>
    <x v="2"/>
    <x v="19"/>
    <x v="1"/>
    <s v="OnePlus TV Q1 55-inch"/>
    <n v="69900"/>
    <n v="1"/>
    <n v="0"/>
    <n v="0"/>
    <n v="69900"/>
    <n v="17792.8"/>
    <s v="2020-05-12"/>
    <s v="2020-05-15"/>
    <s v="Individual"/>
    <x v="0"/>
    <x v="438"/>
    <x v="10"/>
  </r>
  <r>
    <s v="OP-20180563"/>
    <x v="0"/>
    <x v="13"/>
    <x v="3"/>
    <s v="OnePlus 7 Pro"/>
    <n v="48999"/>
    <n v="2"/>
    <n v="0.08"/>
    <n v="7839.84"/>
    <n v="90158.16"/>
    <n v="21823.73"/>
    <s v="2020-07-27"/>
    <s v="2020-07-31"/>
    <s v="Individual"/>
    <x v="3"/>
    <x v="98"/>
    <x v="441"/>
  </r>
  <r>
    <s v="OP-20180564"/>
    <x v="1"/>
    <x v="11"/>
    <x v="2"/>
    <s v="OnePlus Nord"/>
    <n v="24999"/>
    <n v="1"/>
    <n v="0"/>
    <n v="0"/>
    <n v="24999"/>
    <n v="4374.91"/>
    <s v="2019-08-11"/>
    <s v="2019-08-16"/>
    <s v="Individual"/>
    <x v="1"/>
    <x v="201"/>
    <x v="210"/>
  </r>
  <r>
    <s v="OP-20180565"/>
    <x v="1"/>
    <x v="15"/>
    <x v="0"/>
    <s v="OnePlus Type-C Bullets Earphones"/>
    <n v="1490"/>
    <n v="1"/>
    <n v="0"/>
    <n v="0"/>
    <n v="1490"/>
    <n v="312.89999999999998"/>
    <s v="2019-07-15"/>
    <s v="2019-07-22"/>
    <s v="Corporate"/>
    <x v="1"/>
    <x v="302"/>
    <x v="443"/>
  </r>
  <r>
    <s v="OP-20180566"/>
    <x v="2"/>
    <x v="16"/>
    <x v="3"/>
    <s v="OnePlus 7 Pro"/>
    <n v="48999"/>
    <n v="1"/>
    <n v="0"/>
    <n v="0"/>
    <n v="48999"/>
    <n v="10927.09"/>
    <s v="2018-09-04"/>
    <s v="2018-09-11"/>
    <s v="Individual"/>
    <x v="1"/>
    <x v="395"/>
    <x v="444"/>
  </r>
  <r>
    <s v="OP-20180567"/>
    <x v="3"/>
    <x v="17"/>
    <x v="4"/>
    <s v="OnePlus Bullets Wireless 2"/>
    <n v="5990"/>
    <n v="1"/>
    <n v="0.12"/>
    <n v="718.8"/>
    <n v="5271.2"/>
    <n v="1191.67"/>
    <s v="2019-11-28"/>
    <s v="2019-12-04"/>
    <s v="Student"/>
    <x v="1"/>
    <x v="439"/>
    <x v="51"/>
  </r>
  <r>
    <s v="OP-20180568"/>
    <x v="0"/>
    <x v="14"/>
    <x v="3"/>
    <s v="OnePlus 7 Pro"/>
    <n v="48999"/>
    <n v="2"/>
    <n v="0.08"/>
    <n v="7839.84"/>
    <n v="90158.16"/>
    <n v="21965.86"/>
    <s v="2020-01-24"/>
    <s v="2020-01-29"/>
    <s v="Individual"/>
    <x v="1"/>
    <x v="440"/>
    <x v="445"/>
  </r>
  <r>
    <s v="OP-20180569"/>
    <x v="0"/>
    <x v="14"/>
    <x v="1"/>
    <s v="OnePlus TV 32Y1 HD Ready"/>
    <n v="12999"/>
    <n v="1"/>
    <n v="0.1"/>
    <n v="1299.9000000000001"/>
    <n v="11699.1"/>
    <n v="2075.02"/>
    <s v="2020-07-05"/>
    <s v="2020-07-07"/>
    <s v="Individual"/>
    <x v="5"/>
    <x v="441"/>
    <x v="230"/>
  </r>
  <r>
    <s v="OP-20180570"/>
    <x v="0"/>
    <x v="13"/>
    <x v="4"/>
    <s v="OnePlus Buds Z"/>
    <n v="2999"/>
    <n v="1"/>
    <n v="0.05"/>
    <n v="149.94999999999999"/>
    <n v="2849.05"/>
    <n v="665.55"/>
    <s v="2018-12-31"/>
    <s v="2019-01-05"/>
    <s v="Individual"/>
    <x v="0"/>
    <x v="442"/>
    <x v="446"/>
  </r>
  <r>
    <s v="OP-20180571"/>
    <x v="0"/>
    <x v="13"/>
    <x v="3"/>
    <s v="OnePlus 6T"/>
    <n v="37999"/>
    <n v="1"/>
    <n v="0.15"/>
    <n v="5699.85"/>
    <n v="32299.15"/>
    <n v="6402.58"/>
    <s v="2018-08-19"/>
    <s v="2018-08-25"/>
    <s v="Individual"/>
    <x v="0"/>
    <x v="443"/>
    <x v="185"/>
  </r>
  <r>
    <s v="OP-20180572"/>
    <x v="0"/>
    <x v="3"/>
    <x v="1"/>
    <s v="OnePlus TV 32Y1 HD Ready"/>
    <n v="12999"/>
    <n v="1"/>
    <n v="0.08"/>
    <n v="1039.92"/>
    <n v="11959.08"/>
    <n v="2078.7199999999998"/>
    <s v="2018-03-26"/>
    <s v="2018-04-02"/>
    <s v="Individual"/>
    <x v="0"/>
    <x v="444"/>
    <x v="447"/>
  </r>
  <r>
    <s v="OP-20180573"/>
    <x v="2"/>
    <x v="16"/>
    <x v="1"/>
    <s v="OnePlus TV 43Y1 Full HD"/>
    <n v="22999"/>
    <n v="2"/>
    <n v="0.05"/>
    <n v="2299.9"/>
    <n v="43698.1"/>
    <n v="6259.88"/>
    <s v="2020-10-12"/>
    <s v="2020-10-14"/>
    <s v="Individual"/>
    <x v="3"/>
    <x v="341"/>
    <x v="84"/>
  </r>
  <r>
    <s v="OP-20180574"/>
    <x v="3"/>
    <x v="5"/>
    <x v="2"/>
    <s v="OnePlus Nord N10"/>
    <n v="19999"/>
    <n v="1"/>
    <n v="0.12"/>
    <n v="2399.88"/>
    <n v="17599.12"/>
    <n v="4122.1099999999997"/>
    <s v="2018-08-07"/>
    <s v="2018-08-13"/>
    <s v="Retail Partner"/>
    <x v="0"/>
    <x v="285"/>
    <x v="129"/>
  </r>
  <r>
    <s v="OP-20180575"/>
    <x v="3"/>
    <x v="5"/>
    <x v="1"/>
    <s v="OnePlus TV 43Y1 Full HD"/>
    <n v="22999"/>
    <n v="1"/>
    <n v="0.1"/>
    <n v="2299.9"/>
    <n v="20699.099999999999"/>
    <n v="3550.44"/>
    <s v="2020-12-16"/>
    <s v="2020-12-22"/>
    <s v="Student"/>
    <x v="3"/>
    <x v="445"/>
    <x v="448"/>
  </r>
  <r>
    <s v="OP-20180576"/>
    <x v="0"/>
    <x v="13"/>
    <x v="1"/>
    <s v="OnePlus TV 32Y1 HD Ready"/>
    <n v="12999"/>
    <n v="1"/>
    <n v="0.05"/>
    <n v="649.95000000000005"/>
    <n v="12349.05"/>
    <n v="2810.65"/>
    <s v="2018-08-25"/>
    <s v="2018-09-01"/>
    <s v="Individual"/>
    <x v="0"/>
    <x v="160"/>
    <x v="449"/>
  </r>
  <r>
    <s v="OP-20180577"/>
    <x v="1"/>
    <x v="15"/>
    <x v="1"/>
    <s v="OnePlus TV 32Y1 HD Ready"/>
    <n v="12999"/>
    <n v="1"/>
    <n v="0.08"/>
    <n v="1039.92"/>
    <n v="11959.08"/>
    <n v="2238.13"/>
    <s v="2019-01-08"/>
    <s v="2019-01-14"/>
    <s v="Individual"/>
    <x v="3"/>
    <x v="446"/>
    <x v="411"/>
  </r>
  <r>
    <s v="OP-20180578"/>
    <x v="2"/>
    <x v="7"/>
    <x v="1"/>
    <s v="OnePlus TV Q1 55-inch"/>
    <n v="69900"/>
    <n v="2"/>
    <n v="0.08"/>
    <n v="11184"/>
    <n v="128616"/>
    <n v="27423.96"/>
    <s v="2018-11-11"/>
    <s v="2018-11-16"/>
    <s v="Corporate"/>
    <x v="0"/>
    <x v="67"/>
    <x v="450"/>
  </r>
  <r>
    <s v="OP-20180579"/>
    <x v="0"/>
    <x v="14"/>
    <x v="1"/>
    <s v="OnePlus TV Q1 55-inch"/>
    <n v="69900"/>
    <n v="2"/>
    <n v="0.15"/>
    <n v="20970"/>
    <n v="118830"/>
    <n v="20735.990000000002"/>
    <s v="2020-02-02"/>
    <s v="2020-02-04"/>
    <s v="Student"/>
    <x v="0"/>
    <x v="119"/>
    <x v="108"/>
  </r>
  <r>
    <s v="OP-20180580"/>
    <x v="1"/>
    <x v="12"/>
    <x v="3"/>
    <s v="OnePlus 7T"/>
    <n v="37999"/>
    <n v="1"/>
    <n v="0.1"/>
    <n v="3799.9"/>
    <n v="34199.1"/>
    <n v="5030.21"/>
    <s v="2018-07-15"/>
    <s v="2018-07-19"/>
    <s v="Individual"/>
    <x v="0"/>
    <x v="447"/>
    <x v="228"/>
  </r>
  <r>
    <s v="OP-20180581"/>
    <x v="1"/>
    <x v="1"/>
    <x v="4"/>
    <s v="OnePlus Bullets Wireless Z"/>
    <n v="1999"/>
    <n v="1"/>
    <n v="0.1"/>
    <n v="199.9"/>
    <n v="1799.1"/>
    <n v="428.3"/>
    <s v="2018-07-28"/>
    <s v="2018-07-30"/>
    <s v="Individual"/>
    <x v="1"/>
    <x v="448"/>
    <x v="451"/>
  </r>
  <r>
    <s v="OP-20180582"/>
    <x v="2"/>
    <x v="9"/>
    <x v="3"/>
    <s v="OnePlus 7"/>
    <n v="32999"/>
    <n v="1"/>
    <n v="0.05"/>
    <n v="1649.95"/>
    <n v="31349.05"/>
    <n v="7435.91"/>
    <s v="2019-12-26"/>
    <s v="2019-12-28"/>
    <s v="Corporate"/>
    <x v="0"/>
    <x v="74"/>
    <x v="146"/>
  </r>
  <r>
    <s v="OP-20180583"/>
    <x v="1"/>
    <x v="11"/>
    <x v="0"/>
    <s v="OnePlus Protective Case / Bumper"/>
    <n v="1290"/>
    <n v="3"/>
    <n v="0"/>
    <n v="0"/>
    <n v="3870"/>
    <n v="870.11"/>
    <s v="2019-11-10"/>
    <s v="2019-11-12"/>
    <s v="Individual"/>
    <x v="5"/>
    <x v="228"/>
    <x v="452"/>
  </r>
  <r>
    <s v="OP-20180584"/>
    <x v="0"/>
    <x v="13"/>
    <x v="3"/>
    <s v="OnePlus 8"/>
    <n v="41999"/>
    <n v="1"/>
    <n v="0"/>
    <n v="0"/>
    <n v="41999"/>
    <n v="7202.75"/>
    <s v="2019-01-28"/>
    <s v="2019-02-01"/>
    <s v="Corporate"/>
    <x v="0"/>
    <x v="449"/>
    <x v="384"/>
  </r>
  <r>
    <s v="OP-20180585"/>
    <x v="0"/>
    <x v="13"/>
    <x v="3"/>
    <s v="OnePlus 7T"/>
    <n v="37999"/>
    <n v="1"/>
    <n v="0.08"/>
    <n v="3039.92"/>
    <n v="34959.08"/>
    <n v="8407.4500000000007"/>
    <s v="2020-08-17"/>
    <s v="2020-08-19"/>
    <s v="Student"/>
    <x v="0"/>
    <x v="450"/>
    <x v="102"/>
  </r>
  <r>
    <s v="OP-20180586"/>
    <x v="1"/>
    <x v="11"/>
    <x v="3"/>
    <s v="OnePlus 7T Pro"/>
    <n v="53999"/>
    <n v="1"/>
    <n v="0.1"/>
    <n v="5399.9"/>
    <n v="48599.1"/>
    <n v="7614.33"/>
    <s v="2018-05-20"/>
    <s v="2018-05-23"/>
    <s v="Individual"/>
    <x v="0"/>
    <x v="328"/>
    <x v="339"/>
  </r>
  <r>
    <s v="OP-20180587"/>
    <x v="0"/>
    <x v="14"/>
    <x v="3"/>
    <s v="OnePlus 8"/>
    <n v="41999"/>
    <n v="1"/>
    <n v="0.05"/>
    <n v="2099.9499999999998"/>
    <n v="39899.050000000003"/>
    <n v="8346.2999999999993"/>
    <s v="2018-05-02"/>
    <s v="2018-05-04"/>
    <s v="Individual"/>
    <x v="3"/>
    <x v="451"/>
    <x v="453"/>
  </r>
  <r>
    <s v="OP-20180588"/>
    <x v="2"/>
    <x v="9"/>
    <x v="3"/>
    <s v="OnePlus 8"/>
    <n v="41999"/>
    <n v="2"/>
    <n v="0"/>
    <n v="0"/>
    <n v="83998"/>
    <n v="17768.689999999999"/>
    <s v="2018-11-10"/>
    <s v="2018-11-14"/>
    <s v="Individual"/>
    <x v="2"/>
    <x v="452"/>
    <x v="266"/>
  </r>
  <r>
    <s v="OP-20180589"/>
    <x v="1"/>
    <x v="15"/>
    <x v="3"/>
    <s v="OnePlus 7T"/>
    <n v="37999"/>
    <n v="1"/>
    <n v="0"/>
    <n v="0"/>
    <n v="37999"/>
    <n v="5929.87"/>
    <s v="2018-03-15"/>
    <s v="2018-03-19"/>
    <s v="Individual"/>
    <x v="0"/>
    <x v="453"/>
    <x v="454"/>
  </r>
  <r>
    <s v="OP-20180590"/>
    <x v="0"/>
    <x v="0"/>
    <x v="3"/>
    <s v="OnePlus 6T"/>
    <n v="37999"/>
    <n v="1"/>
    <n v="0.05"/>
    <n v="1899.95"/>
    <n v="36099.050000000003"/>
    <n v="6088.11"/>
    <s v="2018-11-21"/>
    <s v="2018-11-24"/>
    <s v="Individual"/>
    <x v="1"/>
    <x v="454"/>
    <x v="455"/>
  </r>
  <r>
    <s v="OP-20180591"/>
    <x v="1"/>
    <x v="11"/>
    <x v="3"/>
    <s v="OnePlus 7"/>
    <n v="32999"/>
    <n v="2"/>
    <n v="0"/>
    <n v="0"/>
    <n v="65998"/>
    <n v="9778.56"/>
    <s v="2018-11-06"/>
    <s v="2018-11-10"/>
    <s v="Individual"/>
    <x v="1"/>
    <x v="455"/>
    <x v="144"/>
  </r>
  <r>
    <s v="OP-20180592"/>
    <x v="2"/>
    <x v="9"/>
    <x v="4"/>
    <s v="OnePlus Buds Z"/>
    <n v="2999"/>
    <n v="3"/>
    <n v="0.05"/>
    <n v="449.85"/>
    <n v="8547.15"/>
    <n v="1901.47"/>
    <s v="2018-12-21"/>
    <s v="2018-12-23"/>
    <s v="Corporate"/>
    <x v="0"/>
    <x v="456"/>
    <x v="456"/>
  </r>
  <r>
    <s v="OP-20180593"/>
    <x v="0"/>
    <x v="14"/>
    <x v="4"/>
    <s v="OnePlus Bullets Wireless 2"/>
    <n v="5990"/>
    <n v="3"/>
    <n v="0.05"/>
    <n v="898.5"/>
    <n v="17071.5"/>
    <n v="2670.77"/>
    <s v="2020-04-14"/>
    <s v="2020-04-18"/>
    <s v="Student"/>
    <x v="4"/>
    <x v="457"/>
    <x v="457"/>
  </r>
  <r>
    <s v="OP-20180594"/>
    <x v="3"/>
    <x v="8"/>
    <x v="2"/>
    <s v="OnePlus Nord"/>
    <n v="24999"/>
    <n v="1"/>
    <n v="0.08"/>
    <n v="1999.92"/>
    <n v="22999.08"/>
    <n v="4686.7"/>
    <s v="2020-08-27"/>
    <s v="2020-08-29"/>
    <s v="Individual"/>
    <x v="1"/>
    <x v="353"/>
    <x v="213"/>
  </r>
  <r>
    <s v="OP-20180595"/>
    <x v="0"/>
    <x v="3"/>
    <x v="3"/>
    <s v="OnePlus 7"/>
    <n v="32999"/>
    <n v="1"/>
    <n v="0.05"/>
    <n v="1649.95"/>
    <n v="31349.05"/>
    <n v="7105.76"/>
    <s v="2018-04-27"/>
    <s v="2018-04-30"/>
    <s v="Individual"/>
    <x v="1"/>
    <x v="83"/>
    <x v="86"/>
  </r>
  <r>
    <s v="OP-20180596"/>
    <x v="1"/>
    <x v="1"/>
    <x v="4"/>
    <s v="OnePlus Buds"/>
    <n v="4990"/>
    <n v="1"/>
    <n v="0.05"/>
    <n v="249.5"/>
    <n v="4740.5"/>
    <n v="767.07"/>
    <s v="2019-02-20"/>
    <s v="2019-02-25"/>
    <s v="Individual"/>
    <x v="0"/>
    <x v="458"/>
    <x v="458"/>
  </r>
  <r>
    <s v="OP-20180597"/>
    <x v="0"/>
    <x v="2"/>
    <x v="4"/>
    <s v="OnePlus Buds"/>
    <n v="4990"/>
    <n v="3"/>
    <n v="0.08"/>
    <n v="1197.5999999999999"/>
    <n v="13772.4"/>
    <n v="2103.67"/>
    <s v="2020-12-29"/>
    <s v="2021-01-05"/>
    <s v="Student"/>
    <x v="3"/>
    <x v="46"/>
    <x v="459"/>
  </r>
  <r>
    <s v="OP-20180598"/>
    <x v="1"/>
    <x v="11"/>
    <x v="0"/>
    <s v="OnePlus Type-C Bullets Earphones"/>
    <n v="1490"/>
    <n v="3"/>
    <n v="0.08"/>
    <n v="357.6"/>
    <n v="4112.3999999999996"/>
    <n v="894.73"/>
    <s v="2018-05-13"/>
    <s v="2018-05-16"/>
    <s v="Individual"/>
    <x v="0"/>
    <x v="139"/>
    <x v="460"/>
  </r>
  <r>
    <s v="OP-20180599"/>
    <x v="0"/>
    <x v="13"/>
    <x v="0"/>
    <s v="OnePlus Warp Charge 30 Power Adapter"/>
    <n v="1990"/>
    <n v="1"/>
    <n v="0.08"/>
    <n v="159.19999999999999"/>
    <n v="1830.8"/>
    <n v="430.97"/>
    <s v="2018-08-13"/>
    <s v="2018-08-20"/>
    <s v="Individual"/>
    <x v="1"/>
    <x v="459"/>
    <x v="254"/>
  </r>
  <r>
    <s v="OP-20180600"/>
    <x v="0"/>
    <x v="0"/>
    <x v="2"/>
    <s v="OnePlus Nord"/>
    <n v="24999"/>
    <n v="1"/>
    <n v="0.12"/>
    <n v="2999.88"/>
    <n v="21999.119999999999"/>
    <n v="4230.01"/>
    <s v="2020-01-13"/>
    <s v="2020-01-19"/>
    <s v="Corporate"/>
    <x v="3"/>
    <x v="460"/>
    <x v="461"/>
  </r>
  <r>
    <s v="OP-20180601"/>
    <x v="0"/>
    <x v="0"/>
    <x v="3"/>
    <s v="OnePlus 8"/>
    <n v="41999"/>
    <n v="1"/>
    <n v="0.05"/>
    <n v="2099.9499999999998"/>
    <n v="39899.050000000003"/>
    <n v="7429.48"/>
    <s v="2019-04-16"/>
    <s v="2019-04-21"/>
    <s v="Individual"/>
    <x v="2"/>
    <x v="461"/>
    <x v="184"/>
  </r>
  <r>
    <s v="OP-20180602"/>
    <x v="2"/>
    <x v="7"/>
    <x v="2"/>
    <s v="OnePlus Nord"/>
    <n v="24999"/>
    <n v="4"/>
    <n v="0.1"/>
    <n v="9999.6"/>
    <n v="89996.4"/>
    <n v="14441.91"/>
    <s v="2020-11-28"/>
    <s v="2020-12-03"/>
    <s v="Individual"/>
    <x v="3"/>
    <x v="462"/>
    <x v="462"/>
  </r>
  <r>
    <s v="OP-20180603"/>
    <x v="2"/>
    <x v="7"/>
    <x v="3"/>
    <s v="OnePlus 6"/>
    <n v="34999"/>
    <n v="5"/>
    <n v="0"/>
    <n v="0"/>
    <n v="174995"/>
    <n v="29182.37"/>
    <s v="2020-01-05"/>
    <s v="2020-01-12"/>
    <s v="Retail Partner"/>
    <x v="0"/>
    <x v="42"/>
    <x v="463"/>
  </r>
  <r>
    <s v="OP-20180604"/>
    <x v="2"/>
    <x v="4"/>
    <x v="3"/>
    <s v="OnePlus 6"/>
    <n v="34999"/>
    <n v="1"/>
    <n v="0.05"/>
    <n v="1749.95"/>
    <n v="33249.050000000003"/>
    <n v="5672.66"/>
    <s v="2020-06-15"/>
    <s v="2020-06-17"/>
    <s v="Corporate"/>
    <x v="3"/>
    <x v="463"/>
    <x v="464"/>
  </r>
  <r>
    <s v="OP-20180605"/>
    <x v="1"/>
    <x v="15"/>
    <x v="0"/>
    <s v="OnePlus Protective Case / Bumper"/>
    <n v="1290"/>
    <n v="1"/>
    <n v="0.08"/>
    <n v="103.2"/>
    <n v="1186.8"/>
    <n v="283.64999999999998"/>
    <s v="2020-02-16"/>
    <s v="2020-02-19"/>
    <s v="Individual"/>
    <x v="3"/>
    <x v="464"/>
    <x v="465"/>
  </r>
  <r>
    <s v="OP-20180606"/>
    <x v="3"/>
    <x v="10"/>
    <x v="4"/>
    <s v="OnePlus Bullets Wireless Z"/>
    <n v="1999"/>
    <n v="1"/>
    <n v="0.12"/>
    <n v="239.88"/>
    <n v="1759.12"/>
    <n v="317.68"/>
    <s v="2020-10-04"/>
    <s v="2020-10-06"/>
    <s v="Retail Partner"/>
    <x v="3"/>
    <x v="436"/>
    <x v="92"/>
  </r>
  <r>
    <s v="OP-20180607"/>
    <x v="2"/>
    <x v="19"/>
    <x v="4"/>
    <s v="OnePlus Buds"/>
    <n v="4990"/>
    <n v="2"/>
    <n v="0.05"/>
    <n v="499"/>
    <n v="9481"/>
    <n v="1392.3"/>
    <s v="2018-09-28"/>
    <s v="2018-10-02"/>
    <s v="Individual"/>
    <x v="0"/>
    <x v="334"/>
    <x v="345"/>
  </r>
  <r>
    <s v="OP-20180608"/>
    <x v="1"/>
    <x v="6"/>
    <x v="0"/>
    <s v="OnePlus Warp Charge 30 Wireless Charger"/>
    <n v="3990"/>
    <n v="1"/>
    <n v="0"/>
    <n v="0"/>
    <n v="3990"/>
    <n v="879.76"/>
    <s v="2018-12-24"/>
    <s v="2018-12-31"/>
    <s v="Retail Partner"/>
    <x v="1"/>
    <x v="465"/>
    <x v="466"/>
  </r>
  <r>
    <s v="OP-20180609"/>
    <x v="0"/>
    <x v="0"/>
    <x v="3"/>
    <s v="OnePlus 8 Pro"/>
    <n v="54999"/>
    <n v="3"/>
    <n v="0.1"/>
    <n v="16499.7"/>
    <n v="148497.29999999999"/>
    <n v="34333.199999999997"/>
    <s v="2020-02-27"/>
    <s v="2020-03-01"/>
    <s v="Individual"/>
    <x v="3"/>
    <x v="466"/>
    <x v="168"/>
  </r>
  <r>
    <s v="OP-20180610"/>
    <x v="0"/>
    <x v="2"/>
    <x v="0"/>
    <s v="OnePlus Warp Charge 30 Power Adapter"/>
    <n v="1990"/>
    <n v="2"/>
    <n v="0.1"/>
    <n v="398"/>
    <n v="3582"/>
    <n v="814.17"/>
    <s v="2020-06-04"/>
    <s v="2020-06-10"/>
    <s v="Individual"/>
    <x v="3"/>
    <x v="467"/>
    <x v="467"/>
  </r>
  <r>
    <s v="OP-20180611"/>
    <x v="2"/>
    <x v="9"/>
    <x v="0"/>
    <s v="OnePlus Warp Charge 30 Wireless Charger"/>
    <n v="3990"/>
    <n v="1"/>
    <n v="0.1"/>
    <n v="399"/>
    <n v="3591"/>
    <n v="643.54"/>
    <s v="2019-05-26"/>
    <s v="2019-05-30"/>
    <s v="Individual"/>
    <x v="0"/>
    <x v="468"/>
    <x v="172"/>
  </r>
  <r>
    <s v="OP-20180612"/>
    <x v="2"/>
    <x v="7"/>
    <x v="3"/>
    <s v="OnePlus 8 Pro"/>
    <n v="54999"/>
    <n v="2"/>
    <n v="0.08"/>
    <n v="8799.84"/>
    <n v="101198.16"/>
    <n v="16667.93"/>
    <s v="2019-11-07"/>
    <s v="2019-11-09"/>
    <s v="Individual"/>
    <x v="0"/>
    <x v="469"/>
    <x v="468"/>
  </r>
  <r>
    <s v="OP-20180613"/>
    <x v="2"/>
    <x v="19"/>
    <x v="3"/>
    <s v="OnePlus 6"/>
    <n v="34999"/>
    <n v="1"/>
    <n v="0.05"/>
    <n v="1749.95"/>
    <n v="33249.050000000003"/>
    <n v="6024.6"/>
    <s v="2018-03-08"/>
    <s v="2018-03-15"/>
    <s v="Individual"/>
    <x v="3"/>
    <x v="470"/>
    <x v="233"/>
  </r>
  <r>
    <s v="OP-20180614"/>
    <x v="2"/>
    <x v="4"/>
    <x v="0"/>
    <s v="OnePlus Protective Case / Bumper"/>
    <n v="1290"/>
    <n v="3"/>
    <n v="0"/>
    <n v="0"/>
    <n v="3870"/>
    <n v="888.95"/>
    <s v="2019-06-20"/>
    <s v="2019-06-25"/>
    <s v="Individual"/>
    <x v="0"/>
    <x v="471"/>
    <x v="432"/>
  </r>
  <r>
    <s v="OP-20180615"/>
    <x v="3"/>
    <x v="5"/>
    <x v="4"/>
    <s v="OnePlus Buds"/>
    <n v="4990"/>
    <n v="1"/>
    <n v="0"/>
    <n v="0"/>
    <n v="4990"/>
    <n v="1125.08"/>
    <s v="2020-09-08"/>
    <s v="2020-09-13"/>
    <s v="Individual"/>
    <x v="1"/>
    <x v="103"/>
    <x v="469"/>
  </r>
  <r>
    <s v="OP-20180616"/>
    <x v="1"/>
    <x v="15"/>
    <x v="3"/>
    <s v="OnePlus 7"/>
    <n v="32999"/>
    <n v="5"/>
    <n v="0"/>
    <n v="0"/>
    <n v="164995"/>
    <n v="27219.67"/>
    <s v="2018-08-31"/>
    <s v="2018-09-07"/>
    <s v="Student"/>
    <x v="3"/>
    <x v="472"/>
    <x v="470"/>
  </r>
  <r>
    <s v="OP-20180617"/>
    <x v="0"/>
    <x v="2"/>
    <x v="0"/>
    <s v="OnePlus Warp Charge 30 Power Adapter"/>
    <n v="1990"/>
    <n v="1"/>
    <n v="0.12"/>
    <n v="238.8"/>
    <n v="1751.2"/>
    <n v="440.18"/>
    <s v="2019-02-01"/>
    <s v="2019-02-04"/>
    <s v="Individual"/>
    <x v="4"/>
    <x v="473"/>
    <x v="471"/>
  </r>
  <r>
    <s v="OP-20180618"/>
    <x v="3"/>
    <x v="10"/>
    <x v="3"/>
    <s v="OnePlus 8"/>
    <n v="41999"/>
    <n v="1"/>
    <n v="0.12"/>
    <n v="5039.88"/>
    <n v="36959.120000000003"/>
    <n v="6352.62"/>
    <s v="2018-06-10"/>
    <s v="2018-06-16"/>
    <s v="Retail Partner"/>
    <x v="0"/>
    <x v="474"/>
    <x v="472"/>
  </r>
  <r>
    <s v="OP-20180619"/>
    <x v="2"/>
    <x v="9"/>
    <x v="1"/>
    <s v="OnePlus TV 43Y1 Full HD"/>
    <n v="22999"/>
    <n v="1"/>
    <n v="0.12"/>
    <n v="2759.88"/>
    <n v="20239.12"/>
    <n v="4477.2700000000004"/>
    <s v="2020-10-21"/>
    <s v="2020-10-26"/>
    <s v="Individual"/>
    <x v="0"/>
    <x v="475"/>
    <x v="473"/>
  </r>
  <r>
    <s v="OP-20180620"/>
    <x v="1"/>
    <x v="12"/>
    <x v="0"/>
    <s v="OnePlus Warp Charge 30 Wireless Charger"/>
    <n v="3990"/>
    <n v="1"/>
    <n v="0.1"/>
    <n v="399"/>
    <n v="3591"/>
    <n v="563.66999999999996"/>
    <s v="2019-09-11"/>
    <s v="2019-09-17"/>
    <s v="Individual"/>
    <x v="0"/>
    <x v="476"/>
    <x v="474"/>
  </r>
  <r>
    <s v="OP-20180621"/>
    <x v="1"/>
    <x v="11"/>
    <x v="1"/>
    <s v="OnePlus TV 43Y1 Full HD"/>
    <n v="22999"/>
    <n v="1"/>
    <n v="0.08"/>
    <n v="1839.92"/>
    <n v="21159.08"/>
    <n v="4326.46"/>
    <s v="2020-11-10"/>
    <s v="2020-11-15"/>
    <s v="Corporate"/>
    <x v="3"/>
    <x v="477"/>
    <x v="122"/>
  </r>
  <r>
    <s v="OP-20180622"/>
    <x v="1"/>
    <x v="15"/>
    <x v="1"/>
    <s v="OnePlus TV 32Y1 HD Ready"/>
    <n v="12999"/>
    <n v="1"/>
    <n v="0.05"/>
    <n v="649.95000000000005"/>
    <n v="12349.05"/>
    <n v="1937.21"/>
    <s v="2019-04-24"/>
    <s v="2019-05-01"/>
    <s v="Individual"/>
    <x v="0"/>
    <x v="394"/>
    <x v="370"/>
  </r>
  <r>
    <s v="OP-20180623"/>
    <x v="1"/>
    <x v="1"/>
    <x v="3"/>
    <s v="OnePlus 6"/>
    <n v="34999"/>
    <n v="5"/>
    <n v="0.08"/>
    <n v="13999.6"/>
    <n v="160995.4"/>
    <n v="27245.86"/>
    <s v="2020-01-25"/>
    <s v="2020-01-27"/>
    <s v="Corporate"/>
    <x v="4"/>
    <x v="478"/>
    <x v="475"/>
  </r>
  <r>
    <s v="OP-20180624"/>
    <x v="0"/>
    <x v="14"/>
    <x v="3"/>
    <s v="OnePlus 8"/>
    <n v="41999"/>
    <n v="1"/>
    <n v="0"/>
    <n v="0"/>
    <n v="41999"/>
    <n v="8769.89"/>
    <s v="2019-05-21"/>
    <s v="2019-05-24"/>
    <s v="Individual"/>
    <x v="4"/>
    <x v="479"/>
    <x v="476"/>
  </r>
  <r>
    <s v="OP-20180625"/>
    <x v="3"/>
    <x v="10"/>
    <x v="2"/>
    <s v="OnePlus Nord"/>
    <n v="24999"/>
    <n v="2"/>
    <n v="0.05"/>
    <n v="2499.9"/>
    <n v="47498.1"/>
    <n v="11640.94"/>
    <s v="2019-11-28"/>
    <s v="2019-12-04"/>
    <s v="Individual"/>
    <x v="3"/>
    <x v="439"/>
    <x v="51"/>
  </r>
  <r>
    <s v="OP-20180626"/>
    <x v="1"/>
    <x v="15"/>
    <x v="0"/>
    <s v="OnePlus Warp Charge 30 Power Adapter"/>
    <n v="1990"/>
    <n v="1"/>
    <n v="0.08"/>
    <n v="159.19999999999999"/>
    <n v="1830.8"/>
    <n v="288.41000000000003"/>
    <s v="2019-12-21"/>
    <s v="2019-12-25"/>
    <s v="Corporate"/>
    <x v="1"/>
    <x v="371"/>
    <x v="306"/>
  </r>
  <r>
    <s v="OP-20180627"/>
    <x v="0"/>
    <x v="0"/>
    <x v="2"/>
    <s v="OnePlus Nord N10"/>
    <n v="19999"/>
    <n v="3"/>
    <n v="0.05"/>
    <n v="2999.85"/>
    <n v="56997.15"/>
    <n v="13585.91"/>
    <s v="2020-09-11"/>
    <s v="2020-09-13"/>
    <s v="Individual"/>
    <x v="0"/>
    <x v="195"/>
    <x v="469"/>
  </r>
  <r>
    <s v="OP-20180628"/>
    <x v="2"/>
    <x v="9"/>
    <x v="1"/>
    <s v="OnePlus TV 43Y1 Full HD"/>
    <n v="22999"/>
    <n v="1"/>
    <n v="0.1"/>
    <n v="2299.9"/>
    <n v="20699.099999999999"/>
    <n v="3235.05"/>
    <s v="2020-07-15"/>
    <s v="2020-07-21"/>
    <s v="Retail Partner"/>
    <x v="0"/>
    <x v="480"/>
    <x v="327"/>
  </r>
  <r>
    <s v="OP-20180629"/>
    <x v="0"/>
    <x v="13"/>
    <x v="4"/>
    <s v="OnePlus Bullets Wireless Z"/>
    <n v="1999"/>
    <n v="2"/>
    <n v="0"/>
    <n v="0"/>
    <n v="3998"/>
    <n v="684.78"/>
    <s v="2020-06-23"/>
    <s v="2020-06-26"/>
    <s v="Individual"/>
    <x v="1"/>
    <x v="481"/>
    <x v="477"/>
  </r>
  <r>
    <s v="OP-20180630"/>
    <x v="0"/>
    <x v="3"/>
    <x v="4"/>
    <s v="OnePlus Buds"/>
    <n v="4990"/>
    <n v="3"/>
    <n v="0"/>
    <n v="0"/>
    <n v="14970"/>
    <n v="2193.4299999999998"/>
    <s v="2020-03-19"/>
    <s v="2020-03-24"/>
    <s v="Individual"/>
    <x v="3"/>
    <x v="482"/>
    <x v="429"/>
  </r>
  <r>
    <s v="OP-20180631"/>
    <x v="3"/>
    <x v="10"/>
    <x v="4"/>
    <s v="OnePlus Buds"/>
    <n v="4990"/>
    <n v="3"/>
    <n v="0.05"/>
    <n v="748.5"/>
    <n v="14221.5"/>
    <n v="3200.26"/>
    <s v="2020-02-07"/>
    <s v="2020-02-11"/>
    <s v="Individual"/>
    <x v="3"/>
    <x v="171"/>
    <x v="442"/>
  </r>
  <r>
    <s v="OP-20180632"/>
    <x v="0"/>
    <x v="3"/>
    <x v="4"/>
    <s v="OnePlus Buds"/>
    <n v="4990"/>
    <n v="1"/>
    <n v="0.08"/>
    <n v="399.2"/>
    <n v="4590.8"/>
    <n v="1115.8900000000001"/>
    <s v="2020-03-21"/>
    <s v="2020-03-26"/>
    <s v="Individual"/>
    <x v="5"/>
    <x v="483"/>
    <x v="478"/>
  </r>
  <r>
    <s v="OP-20180633"/>
    <x v="0"/>
    <x v="13"/>
    <x v="4"/>
    <s v="OnePlus Bullets Wireless 2"/>
    <n v="5990"/>
    <n v="2"/>
    <n v="0.05"/>
    <n v="599"/>
    <n v="11381"/>
    <n v="1790.43"/>
    <s v="2019-09-08"/>
    <s v="2019-09-13"/>
    <s v="Individual"/>
    <x v="5"/>
    <x v="75"/>
    <x v="479"/>
  </r>
  <r>
    <s v="OP-20180634"/>
    <x v="1"/>
    <x v="15"/>
    <x v="4"/>
    <s v="OnePlus Bullets Wireless 2"/>
    <n v="5990"/>
    <n v="2"/>
    <n v="0.05"/>
    <n v="599"/>
    <n v="11381"/>
    <n v="2284.46"/>
    <s v="2020-04-04"/>
    <s v="2020-04-06"/>
    <s v="Individual"/>
    <x v="3"/>
    <x v="484"/>
    <x v="295"/>
  </r>
  <r>
    <s v="OP-20180635"/>
    <x v="2"/>
    <x v="7"/>
    <x v="0"/>
    <s v="OnePlus Warp Charge 30 Power Adapter"/>
    <n v="1990"/>
    <n v="1"/>
    <n v="0.08"/>
    <n v="159.19999999999999"/>
    <n v="1830.8"/>
    <n v="464.03"/>
    <s v="2018-01-26"/>
    <s v="2018-01-30"/>
    <s v="Individual"/>
    <x v="1"/>
    <x v="485"/>
    <x v="399"/>
  </r>
  <r>
    <s v="OP-20180636"/>
    <x v="1"/>
    <x v="11"/>
    <x v="2"/>
    <s v="OnePlus Nord"/>
    <n v="24999"/>
    <n v="1"/>
    <n v="0.1"/>
    <n v="2499.9"/>
    <n v="22499.1"/>
    <n v="3876.66"/>
    <s v="2019-06-12"/>
    <s v="2019-06-15"/>
    <s v="Individual"/>
    <x v="1"/>
    <x v="304"/>
    <x v="480"/>
  </r>
  <r>
    <s v="OP-20180637"/>
    <x v="0"/>
    <x v="0"/>
    <x v="3"/>
    <s v="OnePlus 7T"/>
    <n v="37999"/>
    <n v="1"/>
    <n v="0.08"/>
    <n v="3039.92"/>
    <n v="34959.08"/>
    <n v="7994.15"/>
    <s v="2019-11-04"/>
    <s v="2019-11-08"/>
    <s v="Individual"/>
    <x v="1"/>
    <x v="486"/>
    <x v="481"/>
  </r>
  <r>
    <s v="OP-20180638"/>
    <x v="1"/>
    <x v="15"/>
    <x v="0"/>
    <s v="OnePlus Warp Charge 30 Wireless Charger"/>
    <n v="3990"/>
    <n v="2"/>
    <n v="0.05"/>
    <n v="399"/>
    <n v="7581"/>
    <n v="1462.98"/>
    <s v="2020-01-23"/>
    <s v="2020-01-30"/>
    <s v="Individual"/>
    <x v="5"/>
    <x v="276"/>
    <x v="482"/>
  </r>
  <r>
    <s v="OP-20180639"/>
    <x v="3"/>
    <x v="10"/>
    <x v="0"/>
    <s v="OnePlus Protective Case / Bumper"/>
    <n v="1290"/>
    <n v="1"/>
    <n v="0.05"/>
    <n v="64.5"/>
    <n v="1225.5"/>
    <n v="199.85"/>
    <s v="2019-03-22"/>
    <s v="2019-03-28"/>
    <s v="Individual"/>
    <x v="2"/>
    <x v="487"/>
    <x v="483"/>
  </r>
  <r>
    <s v="OP-20180640"/>
    <x v="0"/>
    <x v="13"/>
    <x v="3"/>
    <s v="OnePlus 8"/>
    <n v="41999"/>
    <n v="4"/>
    <n v="0.08"/>
    <n v="13439.68"/>
    <n v="154556.32"/>
    <n v="38305.26"/>
    <s v="2020-08-01"/>
    <s v="2020-08-04"/>
    <s v="Retail Partner"/>
    <x v="1"/>
    <x v="488"/>
    <x v="484"/>
  </r>
  <r>
    <s v="OP-20180641"/>
    <x v="1"/>
    <x v="1"/>
    <x v="2"/>
    <s v="OnePlus Nord"/>
    <n v="24999"/>
    <n v="1"/>
    <n v="0.05"/>
    <n v="1249.95"/>
    <n v="23749.05"/>
    <n v="5965.53"/>
    <s v="2020-12-10"/>
    <s v="2020-12-13"/>
    <s v="Individual"/>
    <x v="1"/>
    <x v="424"/>
    <x v="437"/>
  </r>
  <r>
    <s v="OP-20180642"/>
    <x v="1"/>
    <x v="1"/>
    <x v="3"/>
    <s v="OnePlus 7T Pro"/>
    <n v="53999"/>
    <n v="1"/>
    <n v="0.08"/>
    <n v="4319.92"/>
    <n v="49679.08"/>
    <n v="11216.93"/>
    <s v="2019-09-07"/>
    <s v="2019-09-09"/>
    <s v="Individual"/>
    <x v="3"/>
    <x v="269"/>
    <x v="485"/>
  </r>
  <r>
    <s v="OP-20180643"/>
    <x v="1"/>
    <x v="11"/>
    <x v="3"/>
    <s v="OnePlus 7T"/>
    <n v="37999"/>
    <n v="5"/>
    <n v="0"/>
    <n v="0"/>
    <n v="189995"/>
    <n v="36008.120000000003"/>
    <s v="2018-11-29"/>
    <s v="2018-12-01"/>
    <s v="Individual"/>
    <x v="0"/>
    <x v="489"/>
    <x v="486"/>
  </r>
  <r>
    <s v="OP-20180644"/>
    <x v="3"/>
    <x v="17"/>
    <x v="3"/>
    <s v="OnePlus 7 Pro"/>
    <n v="48999"/>
    <n v="5"/>
    <n v="0.1"/>
    <n v="24499.5"/>
    <n v="220495.5"/>
    <n v="53244.6"/>
    <s v="2019-05-11"/>
    <s v="2019-05-18"/>
    <s v="Individual"/>
    <x v="0"/>
    <x v="340"/>
    <x v="351"/>
  </r>
  <r>
    <s v="OP-20180645"/>
    <x v="3"/>
    <x v="10"/>
    <x v="0"/>
    <s v="OnePlus Type-C Bullets Earphones"/>
    <n v="1490"/>
    <n v="4"/>
    <n v="0.05"/>
    <n v="298"/>
    <n v="5662"/>
    <n v="1022.68"/>
    <s v="2020-04-13"/>
    <s v="2020-04-20"/>
    <s v="Student"/>
    <x v="1"/>
    <x v="490"/>
    <x v="487"/>
  </r>
  <r>
    <s v="OP-20180646"/>
    <x v="3"/>
    <x v="10"/>
    <x v="4"/>
    <s v="OnePlus Buds Z"/>
    <n v="2999"/>
    <n v="2"/>
    <n v="0"/>
    <n v="0"/>
    <n v="5998"/>
    <n v="927.25"/>
    <s v="2020-05-07"/>
    <s v="2020-05-10"/>
    <s v="Individual"/>
    <x v="3"/>
    <x v="491"/>
    <x v="488"/>
  </r>
  <r>
    <s v="OP-20180647"/>
    <x v="2"/>
    <x v="19"/>
    <x v="2"/>
    <s v="OnePlus Nord N10"/>
    <n v="19999"/>
    <n v="1"/>
    <n v="0.05"/>
    <n v="999.95"/>
    <n v="18999.05"/>
    <n v="2744.48"/>
    <s v="2020-11-06"/>
    <s v="2020-11-10"/>
    <s v="Individual"/>
    <x v="4"/>
    <x v="492"/>
    <x v="489"/>
  </r>
  <r>
    <s v="OP-20180648"/>
    <x v="2"/>
    <x v="9"/>
    <x v="3"/>
    <s v="OnePlus 6T"/>
    <n v="37999"/>
    <n v="1"/>
    <n v="0.1"/>
    <n v="3799.9"/>
    <n v="34199.1"/>
    <n v="8276.73"/>
    <s v="2019-01-28"/>
    <s v="2019-02-03"/>
    <s v="Retail Partner"/>
    <x v="0"/>
    <x v="449"/>
    <x v="490"/>
  </r>
  <r>
    <s v="OP-20180649"/>
    <x v="1"/>
    <x v="12"/>
    <x v="3"/>
    <s v="OnePlus 8"/>
    <n v="41999"/>
    <n v="2"/>
    <n v="0"/>
    <n v="0"/>
    <n v="83998"/>
    <n v="21439.99"/>
    <s v="2018-01-31"/>
    <s v="2018-02-04"/>
    <s v="Individual"/>
    <x v="0"/>
    <x v="493"/>
    <x v="45"/>
  </r>
  <r>
    <s v="OP-20180650"/>
    <x v="0"/>
    <x v="3"/>
    <x v="3"/>
    <s v="OnePlus 6T"/>
    <n v="37999"/>
    <n v="2"/>
    <n v="0.1"/>
    <n v="7599.8"/>
    <n v="68398.2"/>
    <n v="9684.76"/>
    <s v="2020-07-29"/>
    <s v="2020-08-04"/>
    <s v="Individual"/>
    <x v="1"/>
    <x v="494"/>
    <x v="484"/>
  </r>
  <r>
    <s v="OP-20180651"/>
    <x v="1"/>
    <x v="15"/>
    <x v="3"/>
    <s v="OnePlus 6T"/>
    <n v="37999"/>
    <n v="2"/>
    <n v="0"/>
    <n v="0"/>
    <n v="75998"/>
    <n v="13589.44"/>
    <s v="2020-01-07"/>
    <s v="2020-01-09"/>
    <s v="Individual"/>
    <x v="5"/>
    <x v="495"/>
    <x v="491"/>
  </r>
  <r>
    <s v="OP-20180652"/>
    <x v="2"/>
    <x v="16"/>
    <x v="1"/>
    <s v="OnePlus TV Q1 55-inch"/>
    <n v="69900"/>
    <n v="2"/>
    <n v="0.1"/>
    <n v="13980"/>
    <n v="125820"/>
    <n v="26446.32"/>
    <s v="2019-11-28"/>
    <s v="2019-12-05"/>
    <s v="Student"/>
    <x v="4"/>
    <x v="439"/>
    <x v="492"/>
  </r>
  <r>
    <s v="OP-20180653"/>
    <x v="0"/>
    <x v="2"/>
    <x v="3"/>
    <s v="OnePlus 8 Pro"/>
    <n v="54999"/>
    <n v="1"/>
    <n v="0.08"/>
    <n v="4399.92"/>
    <n v="50599.08"/>
    <n v="12032.55"/>
    <s v="2020-06-02"/>
    <s v="2020-06-07"/>
    <s v="Individual"/>
    <x v="0"/>
    <x v="202"/>
    <x v="110"/>
  </r>
  <r>
    <s v="OP-20180654"/>
    <x v="3"/>
    <x v="5"/>
    <x v="2"/>
    <s v="OnePlus Nord"/>
    <n v="24999"/>
    <n v="1"/>
    <n v="0"/>
    <n v="0"/>
    <n v="24999"/>
    <n v="5348.33"/>
    <s v="2019-12-01"/>
    <s v="2019-12-05"/>
    <s v="Student"/>
    <x v="3"/>
    <x v="496"/>
    <x v="492"/>
  </r>
  <r>
    <s v="OP-20180655"/>
    <x v="1"/>
    <x v="6"/>
    <x v="0"/>
    <s v="OnePlus Warp Charge 30 Wireless Charger"/>
    <n v="3990"/>
    <n v="2"/>
    <n v="0.1"/>
    <n v="798"/>
    <n v="7182"/>
    <n v="1114.76"/>
    <s v="2019-05-31"/>
    <s v="2019-06-03"/>
    <s v="Individual"/>
    <x v="0"/>
    <x v="37"/>
    <x v="29"/>
  </r>
  <r>
    <s v="OP-20180656"/>
    <x v="0"/>
    <x v="13"/>
    <x v="0"/>
    <s v="OnePlus Protective Case / Bumper"/>
    <n v="1290"/>
    <n v="1"/>
    <n v="0.1"/>
    <n v="129"/>
    <n v="1161"/>
    <n v="243.53"/>
    <s v="2019-02-05"/>
    <s v="2019-02-07"/>
    <s v="Individual"/>
    <x v="1"/>
    <x v="118"/>
    <x v="493"/>
  </r>
  <r>
    <s v="OP-20180657"/>
    <x v="0"/>
    <x v="3"/>
    <x v="1"/>
    <s v="OnePlus TV 32Y1 HD Ready"/>
    <n v="12999"/>
    <n v="1"/>
    <n v="0.05"/>
    <n v="649.95000000000005"/>
    <n v="12349.05"/>
    <n v="2455.4499999999998"/>
    <s v="2020-03-11"/>
    <s v="2020-03-14"/>
    <s v="Individual"/>
    <x v="4"/>
    <x v="497"/>
    <x v="494"/>
  </r>
  <r>
    <s v="OP-20180658"/>
    <x v="2"/>
    <x v="7"/>
    <x v="3"/>
    <s v="OnePlus 7T Pro"/>
    <n v="53999"/>
    <n v="2"/>
    <n v="0.05"/>
    <n v="5399.9"/>
    <n v="102598.1"/>
    <n v="18476.43"/>
    <s v="2020-04-21"/>
    <s v="2020-04-24"/>
    <s v="Corporate"/>
    <x v="0"/>
    <x v="200"/>
    <x v="495"/>
  </r>
  <r>
    <s v="OP-20180659"/>
    <x v="2"/>
    <x v="19"/>
    <x v="0"/>
    <s v="OnePlus Type-C Bullets Earphones"/>
    <n v="1490"/>
    <n v="1"/>
    <n v="0.05"/>
    <n v="74.5"/>
    <n v="1415.5"/>
    <n v="290.58999999999997"/>
    <s v="2019-06-08"/>
    <s v="2019-06-12"/>
    <s v="Individual"/>
    <x v="4"/>
    <x v="498"/>
    <x v="379"/>
  </r>
  <r>
    <s v="OP-20180660"/>
    <x v="0"/>
    <x v="2"/>
    <x v="2"/>
    <s v="OnePlus Nord"/>
    <n v="24999"/>
    <n v="1"/>
    <n v="0.05"/>
    <n v="1249.95"/>
    <n v="23749.05"/>
    <n v="5408.16"/>
    <s v="2019-03-13"/>
    <s v="2019-03-19"/>
    <s v="Individual"/>
    <x v="1"/>
    <x v="499"/>
    <x v="220"/>
  </r>
  <r>
    <s v="OP-20180661"/>
    <x v="0"/>
    <x v="2"/>
    <x v="3"/>
    <s v="OnePlus 7T"/>
    <n v="37999"/>
    <n v="1"/>
    <n v="0.08"/>
    <n v="3039.92"/>
    <n v="34959.08"/>
    <n v="5113.59"/>
    <s v="2020-11-15"/>
    <s v="2020-11-17"/>
    <s v="Individual"/>
    <x v="5"/>
    <x v="203"/>
    <x v="204"/>
  </r>
  <r>
    <s v="OP-20180662"/>
    <x v="0"/>
    <x v="13"/>
    <x v="2"/>
    <s v="OnePlus Nord N10"/>
    <n v="19999"/>
    <n v="1"/>
    <n v="0.05"/>
    <n v="999.95"/>
    <n v="18999.05"/>
    <n v="3194.2"/>
    <s v="2019-05-11"/>
    <s v="2019-05-17"/>
    <s v="Individual"/>
    <x v="3"/>
    <x v="340"/>
    <x v="180"/>
  </r>
  <r>
    <s v="OP-20180663"/>
    <x v="0"/>
    <x v="14"/>
    <x v="0"/>
    <s v="OnePlus Protective Case / Bumper"/>
    <n v="1290"/>
    <n v="1"/>
    <n v="0.12"/>
    <n v="154.80000000000001"/>
    <n v="1135.2"/>
    <n v="226.16"/>
    <s v="2018-08-15"/>
    <s v="2018-08-20"/>
    <s v="Corporate"/>
    <x v="1"/>
    <x v="253"/>
    <x v="254"/>
  </r>
  <r>
    <s v="OP-20180664"/>
    <x v="1"/>
    <x v="11"/>
    <x v="3"/>
    <s v="OnePlus 7"/>
    <n v="32999"/>
    <n v="1"/>
    <n v="0.1"/>
    <n v="3299.9"/>
    <n v="29699.1"/>
    <n v="7241.69"/>
    <s v="2020-09-25"/>
    <s v="2020-09-30"/>
    <s v="Corporate"/>
    <x v="0"/>
    <x v="351"/>
    <x v="496"/>
  </r>
  <r>
    <s v="OP-20180665"/>
    <x v="0"/>
    <x v="3"/>
    <x v="3"/>
    <s v="OnePlus 7T"/>
    <n v="37999"/>
    <n v="1"/>
    <n v="0.1"/>
    <n v="3799.9"/>
    <n v="34199.1"/>
    <n v="5588.12"/>
    <s v="2018-03-25"/>
    <s v="2018-03-30"/>
    <s v="Individual"/>
    <x v="4"/>
    <x v="500"/>
    <x v="298"/>
  </r>
  <r>
    <s v="OP-20180666"/>
    <x v="2"/>
    <x v="4"/>
    <x v="1"/>
    <s v="OnePlus TV Q1 55-inch"/>
    <n v="69900"/>
    <n v="1"/>
    <n v="0.05"/>
    <n v="3495"/>
    <n v="66405"/>
    <n v="10160.5"/>
    <s v="2019-03-15"/>
    <s v="2019-03-22"/>
    <s v="Individual"/>
    <x v="1"/>
    <x v="501"/>
    <x v="497"/>
  </r>
  <r>
    <s v="OP-20180667"/>
    <x v="2"/>
    <x v="7"/>
    <x v="4"/>
    <s v="OnePlus Bullets Wireless 2"/>
    <n v="5990"/>
    <n v="1"/>
    <n v="0.05"/>
    <n v="299.5"/>
    <n v="5690.5"/>
    <n v="831.03"/>
    <s v="2020-08-09"/>
    <s v="2020-08-14"/>
    <s v="Corporate"/>
    <x v="0"/>
    <x v="14"/>
    <x v="498"/>
  </r>
  <r>
    <s v="OP-20180668"/>
    <x v="2"/>
    <x v="7"/>
    <x v="0"/>
    <s v="OnePlus Warp Charge 30 Wireless Charger"/>
    <n v="3990"/>
    <n v="3"/>
    <n v="0"/>
    <n v="0"/>
    <n v="11970"/>
    <n v="2108.41"/>
    <s v="2020-03-28"/>
    <s v="2020-04-03"/>
    <s v="Student"/>
    <x v="0"/>
    <x v="502"/>
    <x v="499"/>
  </r>
  <r>
    <s v="OP-20180669"/>
    <x v="0"/>
    <x v="2"/>
    <x v="1"/>
    <s v="OnePlus TV Q1 55-inch"/>
    <n v="69900"/>
    <n v="1"/>
    <n v="0.08"/>
    <n v="5592"/>
    <n v="64308"/>
    <n v="11338.45"/>
    <s v="2020-08-25"/>
    <s v="2020-08-29"/>
    <s v="Individual"/>
    <x v="1"/>
    <x v="210"/>
    <x v="213"/>
  </r>
  <r>
    <s v="OP-20180670"/>
    <x v="1"/>
    <x v="1"/>
    <x v="4"/>
    <s v="OnePlus Bullets Wireless Z"/>
    <n v="1999"/>
    <n v="1"/>
    <n v="0"/>
    <n v="0"/>
    <n v="1999"/>
    <n v="356.34"/>
    <s v="2019-02-11"/>
    <s v="2019-02-17"/>
    <s v="Individual"/>
    <x v="0"/>
    <x v="237"/>
    <x v="500"/>
  </r>
  <r>
    <s v="OP-20180671"/>
    <x v="3"/>
    <x v="5"/>
    <x v="0"/>
    <s v="OnePlus Type-C Bullets Earphones"/>
    <n v="1490"/>
    <n v="1"/>
    <n v="0.05"/>
    <n v="74.5"/>
    <n v="1415.5"/>
    <n v="213.43"/>
    <s v="2020-04-29"/>
    <s v="2020-05-05"/>
    <s v="Individual"/>
    <x v="0"/>
    <x v="247"/>
    <x v="501"/>
  </r>
  <r>
    <s v="OP-20180672"/>
    <x v="3"/>
    <x v="17"/>
    <x v="3"/>
    <s v="OnePlus 6"/>
    <n v="34999"/>
    <n v="4"/>
    <n v="0"/>
    <n v="0"/>
    <n v="139996"/>
    <n v="35644.04"/>
    <s v="2020-09-26"/>
    <s v="2020-10-01"/>
    <s v="Individual"/>
    <x v="5"/>
    <x v="503"/>
    <x v="502"/>
  </r>
  <r>
    <s v="OP-20180673"/>
    <x v="0"/>
    <x v="13"/>
    <x v="3"/>
    <s v="OnePlus 7"/>
    <n v="32999"/>
    <n v="2"/>
    <n v="0.12"/>
    <n v="7919.76"/>
    <n v="58078.239999999998"/>
    <n v="11501.98"/>
    <s v="2019-04-11"/>
    <s v="2019-04-16"/>
    <s v="Individual"/>
    <x v="1"/>
    <x v="504"/>
    <x v="0"/>
  </r>
  <r>
    <s v="OP-20180674"/>
    <x v="1"/>
    <x v="11"/>
    <x v="3"/>
    <s v="OnePlus 7 Pro"/>
    <n v="48999"/>
    <n v="2"/>
    <n v="0.1"/>
    <n v="9799.7999999999993"/>
    <n v="88198.2"/>
    <n v="13971.44"/>
    <s v="2018-03-04"/>
    <s v="2018-03-07"/>
    <s v="Individual"/>
    <x v="3"/>
    <x v="292"/>
    <x v="503"/>
  </r>
  <r>
    <s v="OP-20180675"/>
    <x v="2"/>
    <x v="9"/>
    <x v="3"/>
    <s v="OnePlus 8"/>
    <n v="41999"/>
    <n v="1"/>
    <n v="0"/>
    <n v="0"/>
    <n v="41999"/>
    <n v="9045.9500000000007"/>
    <s v="2020-01-24"/>
    <s v="2020-01-31"/>
    <s v="Retail Partner"/>
    <x v="3"/>
    <x v="440"/>
    <x v="504"/>
  </r>
  <r>
    <s v="OP-20180676"/>
    <x v="0"/>
    <x v="14"/>
    <x v="3"/>
    <s v="OnePlus 7T"/>
    <n v="37999"/>
    <n v="1"/>
    <n v="0"/>
    <n v="0"/>
    <n v="37999"/>
    <n v="7046.7"/>
    <s v="2019-01-15"/>
    <s v="2019-01-19"/>
    <s v="Individual"/>
    <x v="1"/>
    <x v="505"/>
    <x v="505"/>
  </r>
  <r>
    <s v="OP-20180677"/>
    <x v="2"/>
    <x v="4"/>
    <x v="2"/>
    <s v="OnePlus Nord N10"/>
    <n v="19999"/>
    <n v="2"/>
    <n v="0.05"/>
    <n v="1999.9"/>
    <n v="37998.1"/>
    <n v="7212.75"/>
    <s v="2020-11-30"/>
    <s v="2020-12-06"/>
    <s v="Corporate"/>
    <x v="3"/>
    <x v="506"/>
    <x v="506"/>
  </r>
  <r>
    <s v="OP-20180678"/>
    <x v="1"/>
    <x v="1"/>
    <x v="3"/>
    <s v="OnePlus 8"/>
    <n v="41999"/>
    <n v="1"/>
    <n v="0.05"/>
    <n v="2099.9499999999998"/>
    <n v="39899.050000000003"/>
    <n v="5672.44"/>
    <s v="2018-11-20"/>
    <s v="2018-11-24"/>
    <s v="Individual"/>
    <x v="4"/>
    <x v="105"/>
    <x v="455"/>
  </r>
  <r>
    <s v="OP-20180679"/>
    <x v="2"/>
    <x v="16"/>
    <x v="0"/>
    <s v="OnePlus Warp Charge 30 Wireless Charger"/>
    <n v="3990"/>
    <n v="1"/>
    <n v="0.1"/>
    <n v="399"/>
    <n v="3591"/>
    <n v="570.23"/>
    <s v="2018-04-15"/>
    <s v="2018-04-18"/>
    <s v="Student"/>
    <x v="1"/>
    <x v="507"/>
    <x v="78"/>
  </r>
  <r>
    <s v="OP-20180680"/>
    <x v="3"/>
    <x v="17"/>
    <x v="3"/>
    <s v="OnePlus 8 Pro"/>
    <n v="54999"/>
    <n v="3"/>
    <n v="0.12"/>
    <n v="19799.64"/>
    <n v="145197.35999999999"/>
    <n v="32016.57"/>
    <s v="2018-08-13"/>
    <s v="2018-08-16"/>
    <s v="Individual"/>
    <x v="3"/>
    <x v="459"/>
    <x v="390"/>
  </r>
  <r>
    <s v="OP-20180681"/>
    <x v="1"/>
    <x v="11"/>
    <x v="3"/>
    <s v="OnePlus 6"/>
    <n v="34999"/>
    <n v="3"/>
    <n v="0"/>
    <n v="0"/>
    <n v="104997"/>
    <n v="25117.82"/>
    <s v="2018-06-04"/>
    <s v="2018-06-06"/>
    <s v="Corporate"/>
    <x v="0"/>
    <x v="508"/>
    <x v="507"/>
  </r>
  <r>
    <s v="OP-20180682"/>
    <x v="0"/>
    <x v="0"/>
    <x v="0"/>
    <s v="OnePlus Type-C Bullets Earphones"/>
    <n v="1490"/>
    <n v="1"/>
    <n v="0.12"/>
    <n v="178.8"/>
    <n v="1311.2"/>
    <n v="254.72"/>
    <s v="2019-01-11"/>
    <s v="2019-01-15"/>
    <s v="Retail Partner"/>
    <x v="3"/>
    <x v="73"/>
    <x v="75"/>
  </r>
  <r>
    <s v="OP-20180683"/>
    <x v="3"/>
    <x v="10"/>
    <x v="3"/>
    <s v="OnePlus 7"/>
    <n v="32999"/>
    <n v="1"/>
    <n v="0"/>
    <n v="0"/>
    <n v="32999"/>
    <n v="7489.02"/>
    <s v="2020-10-28"/>
    <s v="2020-11-01"/>
    <s v="Individual"/>
    <x v="0"/>
    <x v="89"/>
    <x v="404"/>
  </r>
  <r>
    <s v="OP-20180684"/>
    <x v="0"/>
    <x v="0"/>
    <x v="3"/>
    <s v="OnePlus 8 Pro"/>
    <n v="54999"/>
    <n v="1"/>
    <n v="0.08"/>
    <n v="4399.92"/>
    <n v="50599.08"/>
    <n v="12236.52"/>
    <s v="2018-11-04"/>
    <s v="2018-11-11"/>
    <s v="Individual"/>
    <x v="0"/>
    <x v="143"/>
    <x v="508"/>
  </r>
  <r>
    <s v="OP-20180685"/>
    <x v="3"/>
    <x v="8"/>
    <x v="4"/>
    <s v="OnePlus Buds"/>
    <n v="4990"/>
    <n v="1"/>
    <n v="0.08"/>
    <n v="399.2"/>
    <n v="4590.8"/>
    <n v="658.85"/>
    <s v="2018-04-25"/>
    <s v="2018-04-27"/>
    <s v="Individual"/>
    <x v="0"/>
    <x v="509"/>
    <x v="509"/>
  </r>
  <r>
    <s v="OP-20180686"/>
    <x v="0"/>
    <x v="13"/>
    <x v="2"/>
    <s v="OnePlus Nord"/>
    <n v="24999"/>
    <n v="4"/>
    <n v="0.05"/>
    <n v="4999.8"/>
    <n v="94996.2"/>
    <n v="18619.439999999999"/>
    <s v="2020-07-09"/>
    <s v="2020-07-11"/>
    <s v="Individual"/>
    <x v="3"/>
    <x v="510"/>
    <x v="319"/>
  </r>
  <r>
    <s v="OP-20180687"/>
    <x v="0"/>
    <x v="0"/>
    <x v="4"/>
    <s v="OnePlus Buds Z"/>
    <n v="2999"/>
    <n v="2"/>
    <n v="0"/>
    <n v="0"/>
    <n v="5998"/>
    <n v="976.43"/>
    <s v="2020-06-18"/>
    <s v="2020-06-24"/>
    <s v="Individual"/>
    <x v="0"/>
    <x v="130"/>
    <x v="510"/>
  </r>
  <r>
    <s v="OP-20180688"/>
    <x v="2"/>
    <x v="7"/>
    <x v="3"/>
    <s v="OnePlus 7 Pro"/>
    <n v="48999"/>
    <n v="3"/>
    <n v="0.1"/>
    <n v="14699.7"/>
    <n v="132297.29999999999"/>
    <n v="25096.240000000002"/>
    <s v="2018-07-11"/>
    <s v="2018-07-15"/>
    <s v="Individual"/>
    <x v="0"/>
    <x v="511"/>
    <x v="511"/>
  </r>
  <r>
    <s v="OP-20180689"/>
    <x v="1"/>
    <x v="15"/>
    <x v="0"/>
    <s v="OnePlus Warp Charge 30 Wireless Charger"/>
    <n v="3990"/>
    <n v="1"/>
    <n v="0.12"/>
    <n v="478.8"/>
    <n v="3511.2"/>
    <n v="879.05"/>
    <s v="2019-03-15"/>
    <s v="2019-03-20"/>
    <s v="Student"/>
    <x v="4"/>
    <x v="501"/>
    <x v="512"/>
  </r>
  <r>
    <s v="OP-20180690"/>
    <x v="0"/>
    <x v="0"/>
    <x v="0"/>
    <s v="OnePlus Protective Case / Bumper"/>
    <n v="1290"/>
    <n v="1"/>
    <n v="0.05"/>
    <n v="64.5"/>
    <n v="1225.5"/>
    <n v="195.73"/>
    <s v="2019-04-08"/>
    <s v="2019-04-10"/>
    <s v="Student"/>
    <x v="3"/>
    <x v="512"/>
    <x v="138"/>
  </r>
  <r>
    <s v="OP-20180691"/>
    <x v="0"/>
    <x v="3"/>
    <x v="4"/>
    <s v="OnePlus Buds"/>
    <n v="4990"/>
    <n v="2"/>
    <n v="0.08"/>
    <n v="798.4"/>
    <n v="9181.6"/>
    <n v="2329.67"/>
    <s v="2018-12-29"/>
    <s v="2019-01-05"/>
    <s v="Individual"/>
    <x v="1"/>
    <x v="231"/>
    <x v="446"/>
  </r>
  <r>
    <s v="OP-20180692"/>
    <x v="1"/>
    <x v="1"/>
    <x v="0"/>
    <s v="OnePlus Warp Charge 30 Power Adapter"/>
    <n v="1990"/>
    <n v="1"/>
    <n v="0.08"/>
    <n v="159.19999999999999"/>
    <n v="1830.8"/>
    <n v="378.74"/>
    <s v="2020-10-06"/>
    <s v="2020-10-13"/>
    <s v="Individual"/>
    <x v="1"/>
    <x v="146"/>
    <x v="145"/>
  </r>
  <r>
    <s v="OP-20180693"/>
    <x v="2"/>
    <x v="16"/>
    <x v="2"/>
    <s v="OnePlus Nord N10"/>
    <n v="19999"/>
    <n v="1"/>
    <n v="0.08"/>
    <n v="1599.92"/>
    <n v="18399.080000000002"/>
    <n v="4450.47"/>
    <s v="2020-05-30"/>
    <s v="2020-06-03"/>
    <s v="Corporate"/>
    <x v="3"/>
    <x v="19"/>
    <x v="513"/>
  </r>
  <r>
    <s v="OP-20180694"/>
    <x v="3"/>
    <x v="17"/>
    <x v="3"/>
    <s v="OnePlus 8 Pro"/>
    <n v="54999"/>
    <n v="1"/>
    <n v="0.05"/>
    <n v="2749.95"/>
    <n v="52249.05"/>
    <n v="13212.89"/>
    <s v="2019-05-18"/>
    <s v="2019-05-20"/>
    <s v="Individual"/>
    <x v="0"/>
    <x v="513"/>
    <x v="514"/>
  </r>
  <r>
    <s v="OP-20180695"/>
    <x v="3"/>
    <x v="18"/>
    <x v="3"/>
    <s v="OnePlus 8"/>
    <n v="41999"/>
    <n v="2"/>
    <n v="0.05"/>
    <n v="4199.8999999999996"/>
    <n v="79798.100000000006"/>
    <n v="20636.150000000001"/>
    <s v="2018-04-26"/>
    <s v="2018-04-30"/>
    <s v="Individual"/>
    <x v="3"/>
    <x v="514"/>
    <x v="86"/>
  </r>
  <r>
    <s v="OP-20180696"/>
    <x v="1"/>
    <x v="6"/>
    <x v="0"/>
    <s v="OnePlus Protective Case / Bumper"/>
    <n v="1290"/>
    <n v="1"/>
    <n v="0.1"/>
    <n v="129"/>
    <n v="1161"/>
    <n v="231.21"/>
    <s v="2020-01-26"/>
    <s v="2020-02-02"/>
    <s v="Corporate"/>
    <x v="0"/>
    <x v="515"/>
    <x v="515"/>
  </r>
  <r>
    <s v="OP-20180697"/>
    <x v="0"/>
    <x v="0"/>
    <x v="3"/>
    <s v="OnePlus 7T Pro"/>
    <n v="53999"/>
    <n v="1"/>
    <n v="0.08"/>
    <n v="4319.92"/>
    <n v="49679.08"/>
    <n v="7639.1"/>
    <s v="2018-08-09"/>
    <s v="2018-08-16"/>
    <s v="Individual"/>
    <x v="0"/>
    <x v="516"/>
    <x v="390"/>
  </r>
  <r>
    <s v="OP-20180698"/>
    <x v="2"/>
    <x v="7"/>
    <x v="4"/>
    <s v="OnePlus Buds Z"/>
    <n v="2999"/>
    <n v="1"/>
    <n v="0.05"/>
    <n v="149.94999999999999"/>
    <n v="2849.05"/>
    <n v="730.09"/>
    <s v="2018-06-10"/>
    <s v="2018-06-14"/>
    <s v="Individual"/>
    <x v="2"/>
    <x v="474"/>
    <x v="516"/>
  </r>
  <r>
    <s v="OP-20180699"/>
    <x v="3"/>
    <x v="18"/>
    <x v="4"/>
    <s v="OnePlus Buds Z"/>
    <n v="2999"/>
    <n v="2"/>
    <n v="0"/>
    <n v="0"/>
    <n v="5998"/>
    <n v="1358.83"/>
    <s v="2020-10-15"/>
    <s v="2020-10-22"/>
    <s v="Corporate"/>
    <x v="4"/>
    <x v="284"/>
    <x v="517"/>
  </r>
  <r>
    <s v="OP-20180700"/>
    <x v="2"/>
    <x v="16"/>
    <x v="2"/>
    <s v="OnePlus Nord N10"/>
    <n v="19999"/>
    <n v="1"/>
    <n v="0.08"/>
    <n v="1599.92"/>
    <n v="18399.080000000002"/>
    <n v="4456.93"/>
    <s v="2018-08-07"/>
    <s v="2018-08-11"/>
    <s v="Individual"/>
    <x v="4"/>
    <x v="285"/>
    <x v="518"/>
  </r>
  <r>
    <s v="OP-20180701"/>
    <x v="2"/>
    <x v="4"/>
    <x v="4"/>
    <s v="OnePlus Bullets Wireless 2"/>
    <n v="5990"/>
    <n v="2"/>
    <n v="0.12"/>
    <n v="1437.6"/>
    <n v="10542.4"/>
    <n v="2379.16"/>
    <s v="2020-09-22"/>
    <s v="2020-09-28"/>
    <s v="Individual"/>
    <x v="1"/>
    <x v="517"/>
    <x v="519"/>
  </r>
  <r>
    <s v="OP-20180702"/>
    <x v="2"/>
    <x v="7"/>
    <x v="3"/>
    <s v="OnePlus 7"/>
    <n v="32999"/>
    <n v="1"/>
    <n v="0.08"/>
    <n v="2639.92"/>
    <n v="30359.08"/>
    <n v="4286.87"/>
    <s v="2018-09-19"/>
    <s v="2018-09-22"/>
    <s v="Individual"/>
    <x v="2"/>
    <x v="163"/>
    <x v="520"/>
  </r>
  <r>
    <s v="OP-20180703"/>
    <x v="1"/>
    <x v="12"/>
    <x v="4"/>
    <s v="OnePlus Bullets Wireless Z"/>
    <n v="1999"/>
    <n v="1"/>
    <n v="0.08"/>
    <n v="159.91999999999999"/>
    <n v="1839.08"/>
    <n v="310.04000000000002"/>
    <s v="2018-02-18"/>
    <s v="2018-02-23"/>
    <s v="Individual"/>
    <x v="5"/>
    <x v="255"/>
    <x v="521"/>
  </r>
  <r>
    <s v="OP-20180704"/>
    <x v="0"/>
    <x v="13"/>
    <x v="0"/>
    <s v="OnePlus Type-C Bullets Earphones"/>
    <n v="1490"/>
    <n v="4"/>
    <n v="0.08"/>
    <n v="476.8"/>
    <n v="5483.2"/>
    <n v="1414.7"/>
    <s v="2018-01-11"/>
    <s v="2018-01-13"/>
    <s v="Individual"/>
    <x v="2"/>
    <x v="435"/>
    <x v="522"/>
  </r>
  <r>
    <s v="OP-20180705"/>
    <x v="2"/>
    <x v="16"/>
    <x v="4"/>
    <s v="OnePlus Buds"/>
    <n v="4990"/>
    <n v="3"/>
    <n v="0.08"/>
    <n v="1197.5999999999999"/>
    <n v="13772.4"/>
    <n v="2014.63"/>
    <s v="2020-09-15"/>
    <s v="2020-09-22"/>
    <s v="Student"/>
    <x v="3"/>
    <x v="518"/>
    <x v="154"/>
  </r>
  <r>
    <s v="OP-20180706"/>
    <x v="3"/>
    <x v="17"/>
    <x v="3"/>
    <s v="OnePlus 6T"/>
    <n v="37999"/>
    <n v="1"/>
    <n v="0"/>
    <n v="0"/>
    <n v="37999"/>
    <n v="8933.75"/>
    <s v="2018-01-16"/>
    <s v="2018-01-22"/>
    <s v="Student"/>
    <x v="3"/>
    <x v="519"/>
    <x v="523"/>
  </r>
  <r>
    <s v="OP-20180707"/>
    <x v="2"/>
    <x v="19"/>
    <x v="3"/>
    <s v="OnePlus 7T"/>
    <n v="37999"/>
    <n v="1"/>
    <n v="0.12"/>
    <n v="4559.88"/>
    <n v="33439.120000000003"/>
    <n v="8398.01"/>
    <s v="2019-07-27"/>
    <s v="2019-07-30"/>
    <s v="Individual"/>
    <x v="0"/>
    <x v="199"/>
    <x v="200"/>
  </r>
  <r>
    <s v="OP-20180708"/>
    <x v="2"/>
    <x v="19"/>
    <x v="4"/>
    <s v="OnePlus Bullets Wireless 2"/>
    <n v="5990"/>
    <n v="1"/>
    <n v="0.08"/>
    <n v="479.2"/>
    <n v="5510.8"/>
    <n v="896.17"/>
    <s v="2018-06-14"/>
    <s v="2018-06-20"/>
    <s v="Individual"/>
    <x v="1"/>
    <x v="197"/>
    <x v="524"/>
  </r>
  <r>
    <s v="OP-20180709"/>
    <x v="1"/>
    <x v="12"/>
    <x v="1"/>
    <s v="OnePlus TV Q1 55-inch"/>
    <n v="69900"/>
    <n v="1"/>
    <n v="0.08"/>
    <n v="5592"/>
    <n v="64308"/>
    <n v="14792.94"/>
    <s v="2019-03-25"/>
    <s v="2019-03-31"/>
    <s v="Individual"/>
    <x v="0"/>
    <x v="520"/>
    <x v="525"/>
  </r>
  <r>
    <s v="OP-20180710"/>
    <x v="1"/>
    <x v="12"/>
    <x v="4"/>
    <s v="OnePlus Buds Z"/>
    <n v="2999"/>
    <n v="1"/>
    <n v="0.08"/>
    <n v="239.92"/>
    <n v="2759.08"/>
    <n v="386.8"/>
    <s v="2020-07-20"/>
    <s v="2020-07-26"/>
    <s v="Student"/>
    <x v="3"/>
    <x v="521"/>
    <x v="216"/>
  </r>
  <r>
    <s v="OP-20180711"/>
    <x v="2"/>
    <x v="4"/>
    <x v="3"/>
    <s v="OnePlus 7T"/>
    <n v="37999"/>
    <n v="1"/>
    <n v="0.1"/>
    <n v="3799.9"/>
    <n v="34199.1"/>
    <n v="5266.75"/>
    <s v="2019-08-24"/>
    <s v="2019-08-27"/>
    <s v="Individual"/>
    <x v="0"/>
    <x v="204"/>
    <x v="526"/>
  </r>
  <r>
    <s v="OP-20180712"/>
    <x v="1"/>
    <x v="11"/>
    <x v="0"/>
    <s v="OnePlus Type-C Bullets Earphones"/>
    <n v="1490"/>
    <n v="1"/>
    <n v="0.08"/>
    <n v="119.2"/>
    <n v="1370.8"/>
    <n v="343.25"/>
    <s v="2019-02-17"/>
    <s v="2019-02-22"/>
    <s v="Retail Partner"/>
    <x v="1"/>
    <x v="522"/>
    <x v="527"/>
  </r>
  <r>
    <s v="OP-20180713"/>
    <x v="2"/>
    <x v="4"/>
    <x v="0"/>
    <s v="OnePlus Warp Charge 30 Power Adapter"/>
    <n v="1990"/>
    <n v="3"/>
    <n v="0.05"/>
    <n v="298.5"/>
    <n v="5671.5"/>
    <n v="1091.8599999999999"/>
    <s v="2018-04-23"/>
    <s v="2018-04-27"/>
    <s v="Corporate"/>
    <x v="0"/>
    <x v="280"/>
    <x v="509"/>
  </r>
  <r>
    <s v="OP-20180714"/>
    <x v="1"/>
    <x v="12"/>
    <x v="4"/>
    <s v="OnePlus Buds Z"/>
    <n v="2999"/>
    <n v="1"/>
    <n v="0.05"/>
    <n v="149.94999999999999"/>
    <n v="2849.05"/>
    <n v="690.97"/>
    <s v="2020-09-21"/>
    <s v="2020-09-28"/>
    <s v="Individual"/>
    <x v="3"/>
    <x v="102"/>
    <x v="519"/>
  </r>
  <r>
    <s v="OP-20180715"/>
    <x v="3"/>
    <x v="18"/>
    <x v="1"/>
    <s v="OnePlus TV 32Y1 HD Ready"/>
    <n v="12999"/>
    <n v="1"/>
    <n v="0.05"/>
    <n v="649.95000000000005"/>
    <n v="12349.05"/>
    <n v="2924.91"/>
    <s v="2020-01-08"/>
    <s v="2020-01-11"/>
    <s v="Individual"/>
    <x v="2"/>
    <x v="120"/>
    <x v="528"/>
  </r>
  <r>
    <s v="OP-20180716"/>
    <x v="3"/>
    <x v="5"/>
    <x v="4"/>
    <s v="OnePlus Bullets Wireless 2"/>
    <n v="5990"/>
    <n v="1"/>
    <n v="0"/>
    <n v="0"/>
    <n v="5990"/>
    <n v="1273.79"/>
    <s v="2020-03-15"/>
    <s v="2020-03-22"/>
    <s v="Corporate"/>
    <x v="1"/>
    <x v="523"/>
    <x v="355"/>
  </r>
  <r>
    <s v="OP-20180717"/>
    <x v="2"/>
    <x v="16"/>
    <x v="0"/>
    <s v="OnePlus Warp Charge 30 Power Adapter"/>
    <n v="1990"/>
    <n v="1"/>
    <n v="0.08"/>
    <n v="159.19999999999999"/>
    <n v="1830.8"/>
    <n v="281.19"/>
    <s v="2018-09-10"/>
    <s v="2018-09-17"/>
    <s v="Individual"/>
    <x v="1"/>
    <x v="524"/>
    <x v="529"/>
  </r>
  <r>
    <s v="OP-20180718"/>
    <x v="2"/>
    <x v="9"/>
    <x v="4"/>
    <s v="OnePlus Bullets Wireless Z"/>
    <n v="1999"/>
    <n v="1"/>
    <n v="0.05"/>
    <n v="99.95"/>
    <n v="1899.05"/>
    <n v="435.25"/>
    <s v="2018-11-10"/>
    <s v="2018-11-12"/>
    <s v="Student"/>
    <x v="3"/>
    <x v="452"/>
    <x v="530"/>
  </r>
  <r>
    <s v="OP-20180719"/>
    <x v="1"/>
    <x v="11"/>
    <x v="3"/>
    <s v="OnePlus 6T"/>
    <n v="37999"/>
    <n v="2"/>
    <n v="0.1"/>
    <n v="7599.8"/>
    <n v="68398.2"/>
    <n v="13635.29"/>
    <s v="2020-12-15"/>
    <s v="2020-12-19"/>
    <s v="Individual"/>
    <x v="5"/>
    <x v="525"/>
    <x v="531"/>
  </r>
  <r>
    <s v="OP-20180720"/>
    <x v="3"/>
    <x v="18"/>
    <x v="0"/>
    <s v="OnePlus Protective Case / Bumper"/>
    <n v="1290"/>
    <n v="1"/>
    <n v="0"/>
    <n v="0"/>
    <n v="1290"/>
    <n v="248.41"/>
    <s v="2019-08-23"/>
    <s v="2019-08-26"/>
    <s v="Individual"/>
    <x v="1"/>
    <x v="526"/>
    <x v="532"/>
  </r>
  <r>
    <s v="OP-20180721"/>
    <x v="1"/>
    <x v="15"/>
    <x v="3"/>
    <s v="OnePlus 7T"/>
    <n v="37999"/>
    <n v="1"/>
    <n v="0.08"/>
    <n v="3039.92"/>
    <n v="34959.08"/>
    <n v="6747.89"/>
    <s v="2019-04-16"/>
    <s v="2019-04-22"/>
    <s v="Corporate"/>
    <x v="0"/>
    <x v="461"/>
    <x v="23"/>
  </r>
  <r>
    <s v="OP-20180722"/>
    <x v="2"/>
    <x v="4"/>
    <x v="3"/>
    <s v="OnePlus 6"/>
    <n v="34999"/>
    <n v="1"/>
    <n v="0.05"/>
    <n v="1749.95"/>
    <n v="33249.050000000003"/>
    <n v="7877.51"/>
    <s v="2018-01-24"/>
    <s v="2018-01-29"/>
    <s v="Individual"/>
    <x v="5"/>
    <x v="527"/>
    <x v="439"/>
  </r>
  <r>
    <s v="OP-20180723"/>
    <x v="2"/>
    <x v="4"/>
    <x v="3"/>
    <s v="OnePlus 6T"/>
    <n v="37999"/>
    <n v="1"/>
    <n v="0.08"/>
    <n v="3039.92"/>
    <n v="34959.08"/>
    <n v="5872.51"/>
    <s v="2020-08-04"/>
    <s v="2020-08-08"/>
    <s v="Individual"/>
    <x v="3"/>
    <x v="528"/>
    <x v="533"/>
  </r>
  <r>
    <s v="OP-20180724"/>
    <x v="1"/>
    <x v="15"/>
    <x v="4"/>
    <s v="OnePlus Bullets Wireless 2"/>
    <n v="5990"/>
    <n v="1"/>
    <n v="0.1"/>
    <n v="599"/>
    <n v="5391"/>
    <n v="1274.24"/>
    <s v="2019-12-17"/>
    <s v="2019-12-20"/>
    <s v="Student"/>
    <x v="3"/>
    <x v="529"/>
    <x v="534"/>
  </r>
  <r>
    <s v="OP-20180725"/>
    <x v="2"/>
    <x v="7"/>
    <x v="3"/>
    <s v="OnePlus 6"/>
    <n v="34999"/>
    <n v="1"/>
    <n v="0.1"/>
    <n v="3499.9"/>
    <n v="31499.1"/>
    <n v="5523.81"/>
    <s v="2019-11-01"/>
    <s v="2019-11-06"/>
    <s v="Individual"/>
    <x v="1"/>
    <x v="530"/>
    <x v="535"/>
  </r>
  <r>
    <s v="OP-20180726"/>
    <x v="3"/>
    <x v="18"/>
    <x v="2"/>
    <s v="OnePlus Nord"/>
    <n v="24999"/>
    <n v="1"/>
    <n v="0"/>
    <n v="0"/>
    <n v="24999"/>
    <n v="4181.8"/>
    <s v="2019-07-11"/>
    <s v="2019-07-16"/>
    <s v="Individual"/>
    <x v="1"/>
    <x v="531"/>
    <x v="536"/>
  </r>
  <r>
    <s v="OP-20180727"/>
    <x v="1"/>
    <x v="15"/>
    <x v="4"/>
    <s v="OnePlus Bullets Wireless 2"/>
    <n v="5990"/>
    <n v="1"/>
    <n v="0"/>
    <n v="0"/>
    <n v="5990"/>
    <n v="1345.61"/>
    <s v="2018-08-27"/>
    <s v="2018-09-02"/>
    <s v="Individual"/>
    <x v="5"/>
    <x v="532"/>
    <x v="174"/>
  </r>
  <r>
    <s v="OP-20180728"/>
    <x v="3"/>
    <x v="8"/>
    <x v="0"/>
    <s v="OnePlus Type-C Bullets Earphones"/>
    <n v="1490"/>
    <n v="1"/>
    <n v="0.1"/>
    <n v="149"/>
    <n v="1341"/>
    <n v="190.52"/>
    <s v="2019-01-16"/>
    <s v="2019-01-18"/>
    <s v="Student"/>
    <x v="1"/>
    <x v="137"/>
    <x v="537"/>
  </r>
  <r>
    <s v="OP-20180729"/>
    <x v="1"/>
    <x v="1"/>
    <x v="2"/>
    <s v="OnePlus Nord N10"/>
    <n v="19999"/>
    <n v="1"/>
    <n v="0"/>
    <n v="0"/>
    <n v="19999"/>
    <n v="4151.3900000000003"/>
    <s v="2020-02-04"/>
    <s v="2020-02-08"/>
    <s v="Individual"/>
    <x v="0"/>
    <x v="533"/>
    <x v="538"/>
  </r>
  <r>
    <s v="OP-20180730"/>
    <x v="2"/>
    <x v="16"/>
    <x v="3"/>
    <s v="OnePlus 7"/>
    <n v="32999"/>
    <n v="3"/>
    <n v="0.05"/>
    <n v="4949.8500000000004"/>
    <n v="94047.15"/>
    <n v="24390.91"/>
    <s v="2019-08-20"/>
    <s v="2019-08-22"/>
    <s v="Individual"/>
    <x v="4"/>
    <x v="382"/>
    <x v="539"/>
  </r>
  <r>
    <s v="OP-20180731"/>
    <x v="0"/>
    <x v="2"/>
    <x v="2"/>
    <s v="OnePlus Nord"/>
    <n v="24999"/>
    <n v="1"/>
    <n v="0"/>
    <n v="0"/>
    <n v="24999"/>
    <n v="6388.42"/>
    <s v="2020-09-13"/>
    <s v="2020-09-15"/>
    <s v="Individual"/>
    <x v="4"/>
    <x v="534"/>
    <x v="114"/>
  </r>
  <r>
    <s v="OP-20180732"/>
    <x v="0"/>
    <x v="0"/>
    <x v="0"/>
    <s v="OnePlus Type-C Bullets Earphones"/>
    <n v="1490"/>
    <n v="1"/>
    <n v="0.08"/>
    <n v="119.2"/>
    <n v="1370.8"/>
    <n v="202.52"/>
    <s v="2020-09-20"/>
    <s v="2020-09-22"/>
    <s v="Individual"/>
    <x v="3"/>
    <x v="535"/>
    <x v="154"/>
  </r>
  <r>
    <s v="OP-20180733"/>
    <x v="0"/>
    <x v="0"/>
    <x v="0"/>
    <s v="OnePlus Warp Charge 30 Power Adapter"/>
    <n v="1990"/>
    <n v="1"/>
    <n v="0.05"/>
    <n v="99.5"/>
    <n v="1890.5"/>
    <n v="380.67"/>
    <s v="2019-03-22"/>
    <s v="2019-03-29"/>
    <s v="Individual"/>
    <x v="2"/>
    <x v="487"/>
    <x v="540"/>
  </r>
  <r>
    <s v="OP-20180734"/>
    <x v="1"/>
    <x v="6"/>
    <x v="0"/>
    <s v="OnePlus Protective Case / Bumper"/>
    <n v="1290"/>
    <n v="1"/>
    <n v="0"/>
    <n v="0"/>
    <n v="1290"/>
    <n v="246.56"/>
    <s v="2018-10-04"/>
    <s v="2018-10-06"/>
    <s v="Individual"/>
    <x v="0"/>
    <x v="1"/>
    <x v="1"/>
  </r>
  <r>
    <s v="OP-20180735"/>
    <x v="0"/>
    <x v="2"/>
    <x v="3"/>
    <s v="OnePlus 6T"/>
    <n v="37999"/>
    <n v="2"/>
    <n v="0.1"/>
    <n v="7599.8"/>
    <n v="68398.2"/>
    <n v="14094.5"/>
    <s v="2018-11-13"/>
    <s v="2018-11-16"/>
    <s v="Individual"/>
    <x v="1"/>
    <x v="536"/>
    <x v="450"/>
  </r>
  <r>
    <s v="OP-20180736"/>
    <x v="0"/>
    <x v="2"/>
    <x v="0"/>
    <s v="OnePlus Warp Charge 30 Wireless Charger"/>
    <n v="3990"/>
    <n v="1"/>
    <n v="0"/>
    <n v="0"/>
    <n v="3990"/>
    <n v="605.85"/>
    <s v="2020-09-18"/>
    <s v="2020-09-22"/>
    <s v="Individual"/>
    <x v="3"/>
    <x v="385"/>
    <x v="154"/>
  </r>
  <r>
    <s v="OP-20180737"/>
    <x v="2"/>
    <x v="16"/>
    <x v="2"/>
    <s v="OnePlus Nord N10"/>
    <n v="19999"/>
    <n v="3"/>
    <n v="0.08"/>
    <n v="4799.76"/>
    <n v="55197.24"/>
    <n v="8917.6"/>
    <s v="2019-12-11"/>
    <s v="2019-12-18"/>
    <s v="Individual"/>
    <x v="3"/>
    <x v="342"/>
    <x v="541"/>
  </r>
  <r>
    <s v="OP-20180738"/>
    <x v="2"/>
    <x v="4"/>
    <x v="3"/>
    <s v="OnePlus 7T"/>
    <n v="37999"/>
    <n v="1"/>
    <n v="0.05"/>
    <n v="1899.95"/>
    <n v="36099.050000000003"/>
    <n v="9107.43"/>
    <s v="2018-09-22"/>
    <s v="2018-09-29"/>
    <s v="Individual"/>
    <x v="1"/>
    <x v="537"/>
    <x v="226"/>
  </r>
  <r>
    <s v="OP-20180739"/>
    <x v="3"/>
    <x v="10"/>
    <x v="3"/>
    <s v="OnePlus 6T"/>
    <n v="37999"/>
    <n v="1"/>
    <n v="0.05"/>
    <n v="1899.95"/>
    <n v="36099.050000000003"/>
    <n v="5592.9"/>
    <s v="2018-01-01"/>
    <s v="2018-01-07"/>
    <s v="Individual"/>
    <x v="5"/>
    <x v="538"/>
    <x v="112"/>
  </r>
  <r>
    <s v="OP-20180740"/>
    <x v="0"/>
    <x v="14"/>
    <x v="3"/>
    <s v="OnePlus 8 Pro"/>
    <n v="54999"/>
    <n v="4"/>
    <n v="0.05"/>
    <n v="10999.8"/>
    <n v="208996.2"/>
    <n v="39047.71"/>
    <s v="2019-09-21"/>
    <s v="2019-09-25"/>
    <s v="Retail Partner"/>
    <x v="4"/>
    <x v="539"/>
    <x v="325"/>
  </r>
  <r>
    <s v="OP-20180741"/>
    <x v="1"/>
    <x v="15"/>
    <x v="3"/>
    <s v="OnePlus 6T"/>
    <n v="37999"/>
    <n v="1"/>
    <n v="0.12"/>
    <n v="4559.88"/>
    <n v="33439.120000000003"/>
    <n v="5458.43"/>
    <s v="2020-01-29"/>
    <s v="2020-02-03"/>
    <s v="Individual"/>
    <x v="1"/>
    <x v="28"/>
    <x v="234"/>
  </r>
  <r>
    <s v="OP-20180742"/>
    <x v="3"/>
    <x v="18"/>
    <x v="1"/>
    <s v="OnePlus TV Q1 55-inch"/>
    <n v="69900"/>
    <n v="2"/>
    <n v="0"/>
    <n v="0"/>
    <n v="139800"/>
    <n v="25057.87"/>
    <s v="2019-10-28"/>
    <s v="2019-11-04"/>
    <s v="Student"/>
    <x v="2"/>
    <x v="540"/>
    <x v="62"/>
  </r>
  <r>
    <s v="OP-20180743"/>
    <x v="1"/>
    <x v="11"/>
    <x v="0"/>
    <s v="OnePlus Warp Charge 30 Power Adapter"/>
    <n v="1990"/>
    <n v="1"/>
    <n v="0"/>
    <n v="0"/>
    <n v="1990"/>
    <n v="416.64"/>
    <s v="2019-10-30"/>
    <s v="2019-11-05"/>
    <s v="Individual"/>
    <x v="0"/>
    <x v="541"/>
    <x v="542"/>
  </r>
  <r>
    <s v="OP-20180744"/>
    <x v="2"/>
    <x v="4"/>
    <x v="3"/>
    <s v="OnePlus 8 Pro"/>
    <n v="54999"/>
    <n v="1"/>
    <n v="0.05"/>
    <n v="2749.95"/>
    <n v="52249.05"/>
    <n v="8447.44"/>
    <s v="2020-08-07"/>
    <s v="2020-08-10"/>
    <s v="Individual"/>
    <x v="3"/>
    <x v="542"/>
    <x v="543"/>
  </r>
  <r>
    <s v="OP-20180745"/>
    <x v="1"/>
    <x v="11"/>
    <x v="3"/>
    <s v="OnePlus 7"/>
    <n v="32999"/>
    <n v="3"/>
    <n v="0"/>
    <n v="0"/>
    <n v="98997"/>
    <n v="24986.78"/>
    <s v="2019-01-31"/>
    <s v="2019-02-06"/>
    <s v="Student"/>
    <x v="1"/>
    <x v="543"/>
    <x v="544"/>
  </r>
  <r>
    <s v="OP-20180746"/>
    <x v="2"/>
    <x v="16"/>
    <x v="3"/>
    <s v="OnePlus 7"/>
    <n v="32999"/>
    <n v="1"/>
    <n v="0.1"/>
    <n v="3299.9"/>
    <n v="29699.1"/>
    <n v="6851.77"/>
    <s v="2020-11-20"/>
    <s v="2020-11-23"/>
    <s v="Individual"/>
    <x v="2"/>
    <x v="374"/>
    <x v="246"/>
  </r>
  <r>
    <s v="OP-20180747"/>
    <x v="0"/>
    <x v="2"/>
    <x v="1"/>
    <s v="OnePlus TV Q1 55-inch"/>
    <n v="69900"/>
    <n v="1"/>
    <n v="0.1"/>
    <n v="6990"/>
    <n v="62910"/>
    <n v="14584.58"/>
    <s v="2020-05-03"/>
    <s v="2020-05-05"/>
    <s v="Individual"/>
    <x v="2"/>
    <x v="27"/>
    <x v="501"/>
  </r>
  <r>
    <s v="OP-20180748"/>
    <x v="0"/>
    <x v="0"/>
    <x v="4"/>
    <s v="OnePlus Bullets Wireless Z"/>
    <n v="1999"/>
    <n v="5"/>
    <n v="0"/>
    <n v="0"/>
    <n v="9995"/>
    <n v="1657.6"/>
    <s v="2019-12-16"/>
    <s v="2019-12-21"/>
    <s v="Individual"/>
    <x v="4"/>
    <x v="544"/>
    <x v="269"/>
  </r>
  <r>
    <s v="OP-20180749"/>
    <x v="2"/>
    <x v="9"/>
    <x v="0"/>
    <s v="OnePlus Warp Charge 30 Wireless Charger"/>
    <n v="3990"/>
    <n v="1"/>
    <n v="0"/>
    <n v="0"/>
    <n v="3990"/>
    <n v="829.55"/>
    <s v="2020-04-15"/>
    <s v="2020-04-19"/>
    <s v="Individual"/>
    <x v="1"/>
    <x v="418"/>
    <x v="63"/>
  </r>
  <r>
    <s v="OP-20180750"/>
    <x v="2"/>
    <x v="19"/>
    <x v="0"/>
    <s v="OnePlus Warp Charge 30 Wireless Charger"/>
    <n v="3990"/>
    <n v="2"/>
    <n v="0.05"/>
    <n v="399"/>
    <n v="7581"/>
    <n v="1146.42"/>
    <s v="2020-04-05"/>
    <s v="2020-04-09"/>
    <s v="Individual"/>
    <x v="1"/>
    <x v="545"/>
    <x v="545"/>
  </r>
  <r>
    <s v="OP-20180751"/>
    <x v="1"/>
    <x v="11"/>
    <x v="1"/>
    <s v="OnePlus TV 32Y1 HD Ready"/>
    <n v="12999"/>
    <n v="1"/>
    <n v="0.1"/>
    <n v="1299.9000000000001"/>
    <n v="11699.1"/>
    <n v="2066.9699999999998"/>
    <s v="2018-05-22"/>
    <s v="2018-05-28"/>
    <s v="Individual"/>
    <x v="0"/>
    <x v="546"/>
    <x v="546"/>
  </r>
  <r>
    <s v="OP-20180752"/>
    <x v="0"/>
    <x v="0"/>
    <x v="0"/>
    <s v="OnePlus Warp Charge 30 Power Adapter"/>
    <n v="1990"/>
    <n v="1"/>
    <n v="0.1"/>
    <n v="199"/>
    <n v="1791"/>
    <n v="352.56"/>
    <s v="2018-09-21"/>
    <s v="2018-09-26"/>
    <s v="Individual"/>
    <x v="2"/>
    <x v="547"/>
    <x v="547"/>
  </r>
  <r>
    <s v="OP-20180753"/>
    <x v="0"/>
    <x v="3"/>
    <x v="1"/>
    <s v="OnePlus TV 32Y1 HD Ready"/>
    <n v="12999"/>
    <n v="1"/>
    <n v="0.05"/>
    <n v="649.95000000000005"/>
    <n v="12349.05"/>
    <n v="2483.06"/>
    <s v="2020-08-12"/>
    <s v="2020-08-17"/>
    <s v="Individual"/>
    <x v="0"/>
    <x v="548"/>
    <x v="548"/>
  </r>
  <r>
    <s v="OP-20180754"/>
    <x v="1"/>
    <x v="12"/>
    <x v="4"/>
    <s v="OnePlus Buds"/>
    <n v="4990"/>
    <n v="2"/>
    <n v="0.05"/>
    <n v="499"/>
    <n v="9481"/>
    <n v="1553.67"/>
    <s v="2019-07-12"/>
    <s v="2019-07-19"/>
    <s v="Individual"/>
    <x v="2"/>
    <x v="236"/>
    <x v="549"/>
  </r>
  <r>
    <s v="OP-20180755"/>
    <x v="0"/>
    <x v="0"/>
    <x v="1"/>
    <s v="OnePlus TV 43Y1 Full HD"/>
    <n v="22999"/>
    <n v="2"/>
    <n v="0"/>
    <n v="0"/>
    <n v="45998"/>
    <n v="7511.26"/>
    <s v="2020-11-09"/>
    <s v="2020-11-11"/>
    <s v="Retail Partner"/>
    <x v="2"/>
    <x v="549"/>
    <x v="218"/>
  </r>
  <r>
    <s v="OP-20180756"/>
    <x v="2"/>
    <x v="19"/>
    <x v="3"/>
    <s v="OnePlus 8 Pro"/>
    <n v="54999"/>
    <n v="1"/>
    <n v="0"/>
    <n v="0"/>
    <n v="54999"/>
    <n v="13949.31"/>
    <s v="2019-12-06"/>
    <s v="2019-12-13"/>
    <s v="Corporate"/>
    <x v="0"/>
    <x v="550"/>
    <x v="409"/>
  </r>
  <r>
    <s v="OP-20180757"/>
    <x v="3"/>
    <x v="18"/>
    <x v="0"/>
    <s v="OnePlus Protective Case / Bumper"/>
    <n v="1290"/>
    <n v="3"/>
    <n v="0.05"/>
    <n v="193.5"/>
    <n v="3676.5"/>
    <n v="788.91"/>
    <s v="2020-01-01"/>
    <s v="2020-01-03"/>
    <s v="Individual"/>
    <x v="2"/>
    <x v="551"/>
    <x v="550"/>
  </r>
  <r>
    <s v="OP-20180758"/>
    <x v="2"/>
    <x v="16"/>
    <x v="0"/>
    <s v="OnePlus Warp Charge 30 Power Adapter"/>
    <n v="1990"/>
    <n v="1"/>
    <n v="0"/>
    <n v="0"/>
    <n v="1990"/>
    <n v="336.21"/>
    <s v="2018-11-25"/>
    <s v="2018-11-28"/>
    <s v="Individual"/>
    <x v="3"/>
    <x v="552"/>
    <x v="551"/>
  </r>
  <r>
    <s v="OP-20180759"/>
    <x v="2"/>
    <x v="7"/>
    <x v="1"/>
    <s v="OnePlus TV 32Y1 HD Ready"/>
    <n v="12999"/>
    <n v="1"/>
    <n v="0.12"/>
    <n v="1559.88"/>
    <n v="11439.12"/>
    <n v="1702.1"/>
    <s v="2020-12-11"/>
    <s v="2020-12-13"/>
    <s v="Individual"/>
    <x v="2"/>
    <x v="553"/>
    <x v="437"/>
  </r>
  <r>
    <s v="OP-20180760"/>
    <x v="3"/>
    <x v="18"/>
    <x v="4"/>
    <s v="OnePlus Buds"/>
    <n v="4990"/>
    <n v="2"/>
    <n v="0.05"/>
    <n v="499"/>
    <n v="9481"/>
    <n v="1372.93"/>
    <s v="2018-07-15"/>
    <s v="2018-07-17"/>
    <s v="Individual"/>
    <x v="0"/>
    <x v="447"/>
    <x v="323"/>
  </r>
  <r>
    <s v="OP-20180761"/>
    <x v="2"/>
    <x v="9"/>
    <x v="1"/>
    <s v="OnePlus TV 43Y1 Full HD"/>
    <n v="22999"/>
    <n v="2"/>
    <n v="0.05"/>
    <n v="2299.9"/>
    <n v="43698.1"/>
    <n v="10645.36"/>
    <s v="2019-02-06"/>
    <s v="2019-02-13"/>
    <s v="Individual"/>
    <x v="1"/>
    <x v="5"/>
    <x v="315"/>
  </r>
  <r>
    <s v="OP-20180762"/>
    <x v="2"/>
    <x v="9"/>
    <x v="1"/>
    <s v="OnePlus TV 32Y1 HD Ready"/>
    <n v="12999"/>
    <n v="1"/>
    <n v="0.08"/>
    <n v="1039.92"/>
    <n v="11959.08"/>
    <n v="1890.41"/>
    <s v="2019-09-20"/>
    <s v="2019-09-22"/>
    <s v="Corporate"/>
    <x v="0"/>
    <x v="554"/>
    <x v="552"/>
  </r>
  <r>
    <s v="OP-20180763"/>
    <x v="0"/>
    <x v="0"/>
    <x v="3"/>
    <s v="OnePlus 7T"/>
    <n v="37999"/>
    <n v="1"/>
    <n v="0.05"/>
    <n v="1899.95"/>
    <n v="36099.050000000003"/>
    <n v="6235.58"/>
    <s v="2019-03-10"/>
    <s v="2019-03-12"/>
    <s v="Individual"/>
    <x v="3"/>
    <x v="555"/>
    <x v="553"/>
  </r>
  <r>
    <s v="OP-20180764"/>
    <x v="0"/>
    <x v="2"/>
    <x v="0"/>
    <s v="OnePlus Warp Charge 30 Wireless Charger"/>
    <n v="3990"/>
    <n v="1"/>
    <n v="0.05"/>
    <n v="199.5"/>
    <n v="3790.5"/>
    <n v="729.25"/>
    <s v="2019-09-15"/>
    <s v="2019-09-19"/>
    <s v="Individual"/>
    <x v="0"/>
    <x v="556"/>
    <x v="554"/>
  </r>
  <r>
    <s v="OP-20180765"/>
    <x v="3"/>
    <x v="18"/>
    <x v="3"/>
    <s v="OnePlus 8 Pro"/>
    <n v="54999"/>
    <n v="1"/>
    <n v="0.08"/>
    <n v="4399.92"/>
    <n v="50599.08"/>
    <n v="7535.79"/>
    <s v="2018-12-28"/>
    <s v="2019-01-03"/>
    <s v="Individual"/>
    <x v="3"/>
    <x v="220"/>
    <x v="149"/>
  </r>
  <r>
    <s v="OP-20180766"/>
    <x v="2"/>
    <x v="16"/>
    <x v="0"/>
    <s v="OnePlus Type-C Bullets Earphones"/>
    <n v="1490"/>
    <n v="1"/>
    <n v="0.05"/>
    <n v="74.5"/>
    <n v="1415.5"/>
    <n v="267.27"/>
    <s v="2020-02-20"/>
    <s v="2020-02-25"/>
    <s v="Individual"/>
    <x v="0"/>
    <x v="557"/>
    <x v="555"/>
  </r>
  <r>
    <s v="OP-20180767"/>
    <x v="0"/>
    <x v="3"/>
    <x v="0"/>
    <s v="OnePlus Warp Charge 30 Power Adapter"/>
    <n v="1990"/>
    <n v="1"/>
    <n v="0.15"/>
    <n v="298.5"/>
    <n v="1691.5"/>
    <n v="334.64"/>
    <s v="2020-11-17"/>
    <s v="2020-11-19"/>
    <s v="Individual"/>
    <x v="1"/>
    <x v="254"/>
    <x v="556"/>
  </r>
  <r>
    <s v="OP-20180768"/>
    <x v="0"/>
    <x v="0"/>
    <x v="0"/>
    <s v="OnePlus Protective Case / Bumper"/>
    <n v="1290"/>
    <n v="2"/>
    <n v="0.05"/>
    <n v="129"/>
    <n v="2451"/>
    <n v="627.77"/>
    <s v="2018-07-23"/>
    <s v="2018-07-29"/>
    <s v="Retail Partner"/>
    <x v="4"/>
    <x v="558"/>
    <x v="181"/>
  </r>
  <r>
    <s v="OP-20180769"/>
    <x v="1"/>
    <x v="15"/>
    <x v="2"/>
    <s v="OnePlus Nord"/>
    <n v="24999"/>
    <n v="1"/>
    <n v="0.1"/>
    <n v="2499.9"/>
    <n v="22499.1"/>
    <n v="4272.8"/>
    <s v="2019-07-03"/>
    <s v="2019-07-07"/>
    <s v="Individual"/>
    <x v="0"/>
    <x v="559"/>
    <x v="557"/>
  </r>
  <r>
    <s v="OP-20180770"/>
    <x v="0"/>
    <x v="14"/>
    <x v="3"/>
    <s v="OnePlus 7 Pro"/>
    <n v="48999"/>
    <n v="1"/>
    <n v="0"/>
    <n v="0"/>
    <n v="48999"/>
    <n v="10981.72"/>
    <s v="2019-03-23"/>
    <s v="2019-03-29"/>
    <s v="Individual"/>
    <x v="1"/>
    <x v="560"/>
    <x v="540"/>
  </r>
  <r>
    <s v="OP-20180771"/>
    <x v="3"/>
    <x v="10"/>
    <x v="3"/>
    <s v="OnePlus 6"/>
    <n v="34999"/>
    <n v="1"/>
    <n v="0.05"/>
    <n v="1749.95"/>
    <n v="33249.050000000003"/>
    <n v="5949.61"/>
    <s v="2020-05-24"/>
    <s v="2020-05-27"/>
    <s v="Individual"/>
    <x v="1"/>
    <x v="335"/>
    <x v="558"/>
  </r>
  <r>
    <s v="OP-20180772"/>
    <x v="2"/>
    <x v="4"/>
    <x v="4"/>
    <s v="OnePlus Bullets Wireless 2"/>
    <n v="5990"/>
    <n v="3"/>
    <n v="0.08"/>
    <n v="1437.6"/>
    <n v="16532.400000000001"/>
    <n v="3641.86"/>
    <s v="2019-11-29"/>
    <s v="2019-12-03"/>
    <s v="Corporate"/>
    <x v="1"/>
    <x v="50"/>
    <x v="559"/>
  </r>
  <r>
    <s v="OP-20180773"/>
    <x v="0"/>
    <x v="13"/>
    <x v="3"/>
    <s v="OnePlus 7"/>
    <n v="32999"/>
    <n v="2"/>
    <n v="0.1"/>
    <n v="6599.8"/>
    <n v="59398.2"/>
    <n v="11919.96"/>
    <s v="2020-09-07"/>
    <s v="2020-09-09"/>
    <s v="Individual"/>
    <x v="3"/>
    <x v="561"/>
    <x v="560"/>
  </r>
  <r>
    <s v="OP-20180774"/>
    <x v="1"/>
    <x v="6"/>
    <x v="3"/>
    <s v="OnePlus 6T"/>
    <n v="37999"/>
    <n v="1"/>
    <n v="0.1"/>
    <n v="3799.9"/>
    <n v="34199.1"/>
    <n v="6915.02"/>
    <s v="2020-02-22"/>
    <s v="2020-02-29"/>
    <s v="Individual"/>
    <x v="3"/>
    <x v="562"/>
    <x v="561"/>
  </r>
  <r>
    <s v="OP-20180775"/>
    <x v="2"/>
    <x v="4"/>
    <x v="0"/>
    <s v="OnePlus Protective Case / Bumper"/>
    <n v="1290"/>
    <n v="2"/>
    <n v="0.08"/>
    <n v="206.4"/>
    <n v="2373.6"/>
    <n v="534.85"/>
    <s v="2020-05-09"/>
    <s v="2020-05-12"/>
    <s v="Individual"/>
    <x v="1"/>
    <x v="563"/>
    <x v="59"/>
  </r>
  <r>
    <s v="OP-20180776"/>
    <x v="3"/>
    <x v="17"/>
    <x v="1"/>
    <s v="OnePlus TV 32Y1 HD Ready"/>
    <n v="12999"/>
    <n v="2"/>
    <n v="0"/>
    <n v="0"/>
    <n v="25998"/>
    <n v="5124.8999999999996"/>
    <s v="2019-01-11"/>
    <s v="2019-01-14"/>
    <s v="Individual"/>
    <x v="1"/>
    <x v="73"/>
    <x v="411"/>
  </r>
  <r>
    <s v="OP-20180777"/>
    <x v="1"/>
    <x v="11"/>
    <x v="4"/>
    <s v="OnePlus Buds"/>
    <n v="4990"/>
    <n v="2"/>
    <n v="0.1"/>
    <n v="998"/>
    <n v="8982"/>
    <n v="1503.34"/>
    <s v="2020-09-17"/>
    <s v="2020-09-21"/>
    <s v="Individual"/>
    <x v="1"/>
    <x v="564"/>
    <x v="562"/>
  </r>
  <r>
    <s v="OP-20180778"/>
    <x v="0"/>
    <x v="13"/>
    <x v="3"/>
    <s v="OnePlus 8 Pro"/>
    <n v="54999"/>
    <n v="1"/>
    <n v="0.05"/>
    <n v="2749.95"/>
    <n v="52249.05"/>
    <n v="10480.74"/>
    <s v="2020-05-20"/>
    <s v="2020-05-24"/>
    <s v="Individual"/>
    <x v="0"/>
    <x v="330"/>
    <x v="257"/>
  </r>
  <r>
    <s v="OP-20180779"/>
    <x v="2"/>
    <x v="4"/>
    <x v="1"/>
    <s v="OnePlus TV Q1 55-inch"/>
    <n v="69900"/>
    <n v="1"/>
    <n v="0"/>
    <n v="0"/>
    <n v="69900"/>
    <n v="14134.34"/>
    <s v="2020-03-08"/>
    <s v="2020-03-14"/>
    <s v="Individual"/>
    <x v="1"/>
    <x v="345"/>
    <x v="494"/>
  </r>
  <r>
    <s v="OP-20180780"/>
    <x v="0"/>
    <x v="13"/>
    <x v="3"/>
    <s v="OnePlus 8"/>
    <n v="41999"/>
    <n v="1"/>
    <n v="0"/>
    <n v="0"/>
    <n v="41999"/>
    <n v="7226.57"/>
    <s v="2018-10-23"/>
    <s v="2018-10-30"/>
    <s v="Individual"/>
    <x v="3"/>
    <x v="565"/>
    <x v="563"/>
  </r>
  <r>
    <s v="OP-20180781"/>
    <x v="0"/>
    <x v="2"/>
    <x v="0"/>
    <s v="OnePlus Type-C Bullets Earphones"/>
    <n v="1490"/>
    <n v="4"/>
    <n v="0.12"/>
    <n v="715.2"/>
    <n v="5244.8"/>
    <n v="1329.71"/>
    <s v="2020-11-02"/>
    <s v="2020-11-06"/>
    <s v="Individual"/>
    <x v="4"/>
    <x v="566"/>
    <x v="165"/>
  </r>
  <r>
    <s v="OP-20180782"/>
    <x v="1"/>
    <x v="6"/>
    <x v="2"/>
    <s v="OnePlus Nord"/>
    <n v="24999"/>
    <n v="1"/>
    <n v="0.08"/>
    <n v="1999.92"/>
    <n v="22999.08"/>
    <n v="4166.99"/>
    <s v="2018-07-27"/>
    <s v="2018-07-29"/>
    <s v="Individual"/>
    <x v="0"/>
    <x v="567"/>
    <x v="181"/>
  </r>
  <r>
    <s v="OP-20180783"/>
    <x v="0"/>
    <x v="14"/>
    <x v="3"/>
    <s v="OnePlus 7"/>
    <n v="32999"/>
    <n v="2"/>
    <n v="0"/>
    <n v="0"/>
    <n v="65998"/>
    <n v="15208.69"/>
    <s v="2020-10-22"/>
    <s v="2020-10-29"/>
    <s v="Student"/>
    <x v="0"/>
    <x v="568"/>
    <x v="564"/>
  </r>
  <r>
    <s v="OP-20180784"/>
    <x v="0"/>
    <x v="3"/>
    <x v="3"/>
    <s v="OnePlus 7T"/>
    <n v="37999"/>
    <n v="1"/>
    <n v="0.08"/>
    <n v="3039.92"/>
    <n v="34959.08"/>
    <n v="8513.67"/>
    <s v="2020-12-24"/>
    <s v="2020-12-29"/>
    <s v="Student"/>
    <x v="4"/>
    <x v="318"/>
    <x v="565"/>
  </r>
  <r>
    <s v="OP-20180785"/>
    <x v="1"/>
    <x v="1"/>
    <x v="2"/>
    <s v="OnePlus Nord N10"/>
    <n v="19999"/>
    <n v="1"/>
    <n v="0.05"/>
    <n v="999.95"/>
    <n v="18999.05"/>
    <n v="4899.0200000000004"/>
    <s v="2019-12-31"/>
    <s v="2020-01-06"/>
    <s v="Individual"/>
    <x v="0"/>
    <x v="15"/>
    <x v="41"/>
  </r>
  <r>
    <s v="OP-20180786"/>
    <x v="1"/>
    <x v="6"/>
    <x v="3"/>
    <s v="OnePlus 7T"/>
    <n v="37999"/>
    <n v="1"/>
    <n v="0.05"/>
    <n v="1899.95"/>
    <n v="36099.050000000003"/>
    <n v="7154.22"/>
    <s v="2018-11-21"/>
    <s v="2018-11-24"/>
    <s v="Retail Partner"/>
    <x v="3"/>
    <x v="454"/>
    <x v="455"/>
  </r>
  <r>
    <s v="OP-20180787"/>
    <x v="1"/>
    <x v="15"/>
    <x v="0"/>
    <s v="OnePlus Protective Case / Bumper"/>
    <n v="1290"/>
    <n v="2"/>
    <n v="0.05"/>
    <n v="129"/>
    <n v="2451"/>
    <n v="567.73"/>
    <s v="2019-07-31"/>
    <s v="2019-08-02"/>
    <s v="Individual"/>
    <x v="0"/>
    <x v="249"/>
    <x v="119"/>
  </r>
  <r>
    <s v="OP-20180788"/>
    <x v="1"/>
    <x v="12"/>
    <x v="3"/>
    <s v="OnePlus 7T"/>
    <n v="37999"/>
    <n v="1"/>
    <n v="0.05"/>
    <n v="1899.95"/>
    <n v="36099.050000000003"/>
    <n v="7414.23"/>
    <s v="2019-03-09"/>
    <s v="2019-03-11"/>
    <s v="Individual"/>
    <x v="4"/>
    <x v="569"/>
    <x v="391"/>
  </r>
  <r>
    <s v="OP-20180789"/>
    <x v="0"/>
    <x v="2"/>
    <x v="3"/>
    <s v="OnePlus 6"/>
    <n v="34999"/>
    <n v="1"/>
    <n v="0.15"/>
    <n v="5249.85"/>
    <n v="29749.15"/>
    <n v="4730.78"/>
    <s v="2018-11-12"/>
    <s v="2018-11-16"/>
    <s v="Individual"/>
    <x v="3"/>
    <x v="570"/>
    <x v="450"/>
  </r>
  <r>
    <s v="OP-20180790"/>
    <x v="1"/>
    <x v="11"/>
    <x v="4"/>
    <s v="OnePlus Buds Z"/>
    <n v="2999"/>
    <n v="1"/>
    <n v="0.1"/>
    <n v="299.89999999999998"/>
    <n v="2699.1"/>
    <n v="391.02"/>
    <s v="2020-07-04"/>
    <s v="2020-07-07"/>
    <s v="Student"/>
    <x v="0"/>
    <x v="571"/>
    <x v="230"/>
  </r>
  <r>
    <s v="OP-20180791"/>
    <x v="2"/>
    <x v="4"/>
    <x v="3"/>
    <s v="OnePlus 7T"/>
    <n v="37999"/>
    <n v="4"/>
    <n v="0.05"/>
    <n v="7599.8"/>
    <n v="144396.20000000001"/>
    <n v="25470.58"/>
    <s v="2018-09-04"/>
    <s v="2018-09-09"/>
    <s v="Individual"/>
    <x v="4"/>
    <x v="395"/>
    <x v="566"/>
  </r>
  <r>
    <s v="OP-20180792"/>
    <x v="1"/>
    <x v="15"/>
    <x v="3"/>
    <s v="OnePlus 6"/>
    <n v="34999"/>
    <n v="1"/>
    <n v="0.1"/>
    <n v="3499.9"/>
    <n v="31499.1"/>
    <n v="5288.96"/>
    <s v="2019-08-24"/>
    <s v="2019-08-29"/>
    <s v="Corporate"/>
    <x v="0"/>
    <x v="204"/>
    <x v="357"/>
  </r>
  <r>
    <s v="OP-20180793"/>
    <x v="1"/>
    <x v="15"/>
    <x v="4"/>
    <s v="OnePlus Bullets Wireless Z"/>
    <n v="1999"/>
    <n v="1"/>
    <n v="0"/>
    <n v="0"/>
    <n v="1999"/>
    <n v="486.55"/>
    <s v="2018-08-25"/>
    <s v="2018-08-29"/>
    <s v="Individual"/>
    <x v="1"/>
    <x v="160"/>
    <x v="567"/>
  </r>
  <r>
    <s v="OP-20180794"/>
    <x v="1"/>
    <x v="11"/>
    <x v="1"/>
    <s v="OnePlus TV 43Y1 Full HD"/>
    <n v="22999"/>
    <n v="2"/>
    <n v="0.05"/>
    <n v="2299.9"/>
    <n v="43698.1"/>
    <n v="11068.07"/>
    <s v="2019-01-18"/>
    <s v="2019-01-20"/>
    <s v="Individual"/>
    <x v="0"/>
    <x v="572"/>
    <x v="568"/>
  </r>
  <r>
    <s v="OP-20180795"/>
    <x v="0"/>
    <x v="0"/>
    <x v="4"/>
    <s v="OnePlus Bullets Wireless 2"/>
    <n v="5990"/>
    <n v="2"/>
    <n v="0.08"/>
    <n v="958.4"/>
    <n v="11021.6"/>
    <n v="2397.1"/>
    <s v="2019-10-06"/>
    <s v="2019-10-12"/>
    <s v="Individual"/>
    <x v="3"/>
    <x v="573"/>
    <x v="99"/>
  </r>
  <r>
    <s v="OP-20180796"/>
    <x v="3"/>
    <x v="8"/>
    <x v="3"/>
    <s v="OnePlus 6"/>
    <n v="34999"/>
    <n v="2"/>
    <n v="0.05"/>
    <n v="3499.9"/>
    <n v="66498.100000000006"/>
    <n v="10862.18"/>
    <s v="2019-11-11"/>
    <s v="2019-11-18"/>
    <s v="Individual"/>
    <x v="5"/>
    <x v="574"/>
    <x v="569"/>
  </r>
  <r>
    <s v="OP-20180797"/>
    <x v="0"/>
    <x v="3"/>
    <x v="3"/>
    <s v="OnePlus 6T"/>
    <n v="37999"/>
    <n v="1"/>
    <n v="0.05"/>
    <n v="1899.95"/>
    <n v="36099.050000000003"/>
    <n v="6884.26"/>
    <s v="2018-12-03"/>
    <s v="2018-12-07"/>
    <s v="Individual"/>
    <x v="0"/>
    <x v="575"/>
    <x v="320"/>
  </r>
  <r>
    <s v="OP-20180798"/>
    <x v="2"/>
    <x v="7"/>
    <x v="4"/>
    <s v="OnePlus Buds"/>
    <n v="4990"/>
    <n v="1"/>
    <n v="0.1"/>
    <n v="499"/>
    <n v="4491"/>
    <n v="1082.1500000000001"/>
    <s v="2020-02-09"/>
    <s v="2020-02-12"/>
    <s v="Individual"/>
    <x v="0"/>
    <x v="576"/>
    <x v="570"/>
  </r>
  <r>
    <s v="OP-20180799"/>
    <x v="3"/>
    <x v="17"/>
    <x v="3"/>
    <s v="OnePlus 6"/>
    <n v="34999"/>
    <n v="1"/>
    <n v="0.08"/>
    <n v="2799.92"/>
    <n v="32199.08"/>
    <n v="4817.33"/>
    <s v="2019-11-19"/>
    <s v="2019-11-26"/>
    <s v="Individual"/>
    <x v="3"/>
    <x v="101"/>
    <x v="571"/>
  </r>
  <r>
    <s v="OP-20180800"/>
    <x v="2"/>
    <x v="7"/>
    <x v="0"/>
    <s v="OnePlus Type-C Bullets Earphones"/>
    <n v="1490"/>
    <n v="3"/>
    <n v="0.08"/>
    <n v="357.6"/>
    <n v="4112.3999999999996"/>
    <n v="699.06"/>
    <s v="2020-04-28"/>
    <s v="2020-05-03"/>
    <s v="Individual"/>
    <x v="1"/>
    <x v="577"/>
    <x v="572"/>
  </r>
  <r>
    <s v="OP-20180801"/>
    <x v="0"/>
    <x v="14"/>
    <x v="3"/>
    <s v="OnePlus 7 Pro"/>
    <n v="48999"/>
    <n v="1"/>
    <n v="0.05"/>
    <n v="2449.9499999999998"/>
    <n v="46549.05"/>
    <n v="6914.47"/>
    <s v="2020-07-23"/>
    <s v="2020-07-26"/>
    <s v="Individual"/>
    <x v="1"/>
    <x v="578"/>
    <x v="216"/>
  </r>
  <r>
    <s v="OP-20180802"/>
    <x v="0"/>
    <x v="3"/>
    <x v="1"/>
    <s v="OnePlus TV 32Y1 HD Ready"/>
    <n v="12999"/>
    <n v="2"/>
    <n v="0.1"/>
    <n v="2599.8000000000002"/>
    <n v="23398.2"/>
    <n v="4114.8900000000003"/>
    <s v="2018-10-27"/>
    <s v="2018-10-30"/>
    <s v="Individual"/>
    <x v="1"/>
    <x v="579"/>
    <x v="563"/>
  </r>
  <r>
    <s v="OP-20180803"/>
    <x v="1"/>
    <x v="11"/>
    <x v="1"/>
    <s v="OnePlus TV 32Y1 HD Ready"/>
    <n v="12999"/>
    <n v="1"/>
    <n v="0.08"/>
    <n v="1039.92"/>
    <n v="11959.08"/>
    <n v="2430.7800000000002"/>
    <s v="2019-09-12"/>
    <s v="2019-09-16"/>
    <s v="Individual"/>
    <x v="5"/>
    <x v="580"/>
    <x v="381"/>
  </r>
  <r>
    <s v="OP-20180804"/>
    <x v="2"/>
    <x v="16"/>
    <x v="3"/>
    <s v="OnePlus 7"/>
    <n v="32999"/>
    <n v="1"/>
    <n v="0.05"/>
    <n v="1649.95"/>
    <n v="31349.05"/>
    <n v="7464.45"/>
    <s v="2019-05-28"/>
    <s v="2019-06-01"/>
    <s v="Individual"/>
    <x v="5"/>
    <x v="581"/>
    <x v="312"/>
  </r>
  <r>
    <s v="OP-20180805"/>
    <x v="1"/>
    <x v="11"/>
    <x v="3"/>
    <s v="OnePlus 7 Pro"/>
    <n v="48999"/>
    <n v="1"/>
    <n v="0.1"/>
    <n v="4899.8999999999996"/>
    <n v="44099.1"/>
    <n v="11231.01"/>
    <s v="2018-06-25"/>
    <s v="2018-06-29"/>
    <s v="Student"/>
    <x v="3"/>
    <x v="582"/>
    <x v="573"/>
  </r>
  <r>
    <s v="OP-20180806"/>
    <x v="1"/>
    <x v="6"/>
    <x v="4"/>
    <s v="OnePlus Bullets Wireless 2"/>
    <n v="5990"/>
    <n v="1"/>
    <n v="0.1"/>
    <n v="599"/>
    <n v="5391"/>
    <n v="1051.45"/>
    <s v="2018-10-21"/>
    <s v="2018-10-25"/>
    <s v="Student"/>
    <x v="4"/>
    <x v="248"/>
    <x v="135"/>
  </r>
  <r>
    <s v="OP-20180807"/>
    <x v="2"/>
    <x v="16"/>
    <x v="1"/>
    <s v="OnePlus TV 43Y1 Full HD"/>
    <n v="22999"/>
    <n v="1"/>
    <n v="0.05"/>
    <n v="1149.95"/>
    <n v="21849.05"/>
    <n v="4315.9399999999996"/>
    <s v="2018-11-30"/>
    <s v="2018-12-02"/>
    <s v="Student"/>
    <x v="1"/>
    <x v="583"/>
    <x v="574"/>
  </r>
  <r>
    <s v="OP-20180808"/>
    <x v="0"/>
    <x v="0"/>
    <x v="3"/>
    <s v="OnePlus 7T Pro"/>
    <n v="53999"/>
    <n v="3"/>
    <n v="0.08"/>
    <n v="12959.76"/>
    <n v="149037.24"/>
    <n v="31849.3"/>
    <s v="2020-03-07"/>
    <s v="2020-03-13"/>
    <s v="Individual"/>
    <x v="5"/>
    <x v="584"/>
    <x v="317"/>
  </r>
  <r>
    <s v="OP-20180809"/>
    <x v="0"/>
    <x v="2"/>
    <x v="4"/>
    <s v="OnePlus Buds"/>
    <n v="4990"/>
    <n v="3"/>
    <n v="0"/>
    <n v="0"/>
    <n v="14970"/>
    <n v="3073.37"/>
    <s v="2019-08-12"/>
    <s v="2019-08-16"/>
    <s v="Individual"/>
    <x v="0"/>
    <x v="585"/>
    <x v="210"/>
  </r>
  <r>
    <s v="OP-20180810"/>
    <x v="2"/>
    <x v="7"/>
    <x v="4"/>
    <s v="OnePlus Buds"/>
    <n v="4990"/>
    <n v="1"/>
    <n v="0.08"/>
    <n v="399.2"/>
    <n v="4590.8"/>
    <n v="874.58"/>
    <s v="2018-03-08"/>
    <s v="2018-03-14"/>
    <s v="Student"/>
    <x v="0"/>
    <x v="470"/>
    <x v="575"/>
  </r>
  <r>
    <s v="OP-20180811"/>
    <x v="0"/>
    <x v="0"/>
    <x v="0"/>
    <s v="OnePlus Protective Case / Bumper"/>
    <n v="1290"/>
    <n v="1"/>
    <n v="0.08"/>
    <n v="103.2"/>
    <n v="1186.8"/>
    <n v="237.88"/>
    <s v="2019-04-01"/>
    <s v="2019-04-06"/>
    <s v="Individual"/>
    <x v="4"/>
    <x v="586"/>
    <x v="167"/>
  </r>
  <r>
    <s v="OP-20180812"/>
    <x v="1"/>
    <x v="15"/>
    <x v="3"/>
    <s v="OnePlus 6"/>
    <n v="34999"/>
    <n v="1"/>
    <n v="0.05"/>
    <n v="1749.95"/>
    <n v="33249.050000000003"/>
    <n v="7075.49"/>
    <s v="2018-10-16"/>
    <s v="2018-10-21"/>
    <s v="Individual"/>
    <x v="1"/>
    <x v="209"/>
    <x v="212"/>
  </r>
  <r>
    <s v="OP-20180813"/>
    <x v="3"/>
    <x v="10"/>
    <x v="0"/>
    <s v="OnePlus Protective Case / Bumper"/>
    <n v="1290"/>
    <n v="3"/>
    <n v="0.05"/>
    <n v="193.5"/>
    <n v="3676.5"/>
    <n v="620.25"/>
    <s v="2020-04-20"/>
    <s v="2020-04-24"/>
    <s v="Individual"/>
    <x v="3"/>
    <x v="393"/>
    <x v="495"/>
  </r>
  <r>
    <s v="OP-20180814"/>
    <x v="2"/>
    <x v="4"/>
    <x v="4"/>
    <s v="OnePlus Buds Z"/>
    <n v="2999"/>
    <n v="2"/>
    <n v="0.08"/>
    <n v="479.84"/>
    <n v="5518.16"/>
    <n v="954.01"/>
    <s v="2020-06-16"/>
    <s v="2020-06-22"/>
    <s v="Individual"/>
    <x v="0"/>
    <x v="587"/>
    <x v="576"/>
  </r>
  <r>
    <s v="OP-20180815"/>
    <x v="0"/>
    <x v="0"/>
    <x v="3"/>
    <s v="OnePlus 8"/>
    <n v="41999"/>
    <n v="1"/>
    <n v="0.1"/>
    <n v="4199.8999999999996"/>
    <n v="37799.1"/>
    <n v="9060.15"/>
    <s v="2019-04-18"/>
    <s v="2019-04-20"/>
    <s v="Individual"/>
    <x v="3"/>
    <x v="185"/>
    <x v="343"/>
  </r>
  <r>
    <s v="OP-20180816"/>
    <x v="3"/>
    <x v="10"/>
    <x v="3"/>
    <s v="OnePlus 7T Pro"/>
    <n v="53999"/>
    <n v="1"/>
    <n v="0"/>
    <n v="0"/>
    <n v="53999"/>
    <n v="13662.72"/>
    <s v="2019-01-22"/>
    <s v="2019-01-26"/>
    <s v="Individual"/>
    <x v="1"/>
    <x v="588"/>
    <x v="577"/>
  </r>
  <r>
    <s v="OP-20180817"/>
    <x v="3"/>
    <x v="18"/>
    <x v="3"/>
    <s v="OnePlus 7T"/>
    <n v="37999"/>
    <n v="1"/>
    <n v="0"/>
    <n v="0"/>
    <n v="37999"/>
    <n v="7635.81"/>
    <s v="2020-05-03"/>
    <s v="2020-05-06"/>
    <s v="Student"/>
    <x v="0"/>
    <x v="27"/>
    <x v="27"/>
  </r>
  <r>
    <s v="OP-20180818"/>
    <x v="2"/>
    <x v="16"/>
    <x v="4"/>
    <s v="OnePlus Bullets Wireless Z"/>
    <n v="1999"/>
    <n v="1"/>
    <n v="0.1"/>
    <n v="199.9"/>
    <n v="1799.1"/>
    <n v="311.2"/>
    <s v="2019-12-01"/>
    <s v="2019-12-08"/>
    <s v="Individual"/>
    <x v="4"/>
    <x v="496"/>
    <x v="578"/>
  </r>
  <r>
    <s v="OP-20180819"/>
    <x v="2"/>
    <x v="16"/>
    <x v="2"/>
    <s v="OnePlus Nord N10"/>
    <n v="19999"/>
    <n v="1"/>
    <n v="0.05"/>
    <n v="999.95"/>
    <n v="18999.05"/>
    <n v="3170.06"/>
    <s v="2019-09-29"/>
    <s v="2019-10-03"/>
    <s v="Student"/>
    <x v="3"/>
    <x v="156"/>
    <x v="194"/>
  </r>
  <r>
    <s v="OP-20180820"/>
    <x v="2"/>
    <x v="19"/>
    <x v="2"/>
    <s v="OnePlus Nord"/>
    <n v="24999"/>
    <n v="2"/>
    <n v="0.08"/>
    <n v="3999.84"/>
    <n v="45998.16"/>
    <n v="9140.18"/>
    <s v="2020-10-28"/>
    <s v="2020-10-31"/>
    <s v="Student"/>
    <x v="3"/>
    <x v="89"/>
    <x v="579"/>
  </r>
  <r>
    <s v="OP-20180821"/>
    <x v="0"/>
    <x v="2"/>
    <x v="3"/>
    <s v="OnePlus 7T"/>
    <n v="37999"/>
    <n v="2"/>
    <n v="0.1"/>
    <n v="7599.8"/>
    <n v="68398.2"/>
    <n v="10540.63"/>
    <s v="2018-12-05"/>
    <s v="2018-12-12"/>
    <s v="Individual"/>
    <x v="0"/>
    <x v="308"/>
    <x v="413"/>
  </r>
  <r>
    <s v="OP-20180822"/>
    <x v="3"/>
    <x v="8"/>
    <x v="3"/>
    <s v="OnePlus 8 Pro"/>
    <n v="54999"/>
    <n v="1"/>
    <n v="0.1"/>
    <n v="5499.9"/>
    <n v="49499.1"/>
    <n v="8786.35"/>
    <s v="2019-09-15"/>
    <s v="2019-09-18"/>
    <s v="Student"/>
    <x v="2"/>
    <x v="556"/>
    <x v="580"/>
  </r>
  <r>
    <s v="OP-20180823"/>
    <x v="2"/>
    <x v="16"/>
    <x v="3"/>
    <s v="OnePlus 8"/>
    <n v="41999"/>
    <n v="2"/>
    <n v="0.05"/>
    <n v="4199.8999999999996"/>
    <n v="79798.100000000006"/>
    <n v="19677.02"/>
    <s v="2019-07-04"/>
    <s v="2019-07-11"/>
    <s v="Individual"/>
    <x v="1"/>
    <x v="589"/>
    <x v="581"/>
  </r>
  <r>
    <s v="OP-20180824"/>
    <x v="0"/>
    <x v="2"/>
    <x v="3"/>
    <s v="OnePlus 7T"/>
    <n v="37999"/>
    <n v="5"/>
    <n v="0.05"/>
    <n v="9499.75"/>
    <n v="180495.25"/>
    <n v="43918.83"/>
    <s v="2018-09-25"/>
    <s v="2018-09-27"/>
    <s v="Corporate"/>
    <x v="0"/>
    <x v="226"/>
    <x v="582"/>
  </r>
  <r>
    <s v="OP-20180825"/>
    <x v="2"/>
    <x v="9"/>
    <x v="2"/>
    <s v="OnePlus Nord"/>
    <n v="24999"/>
    <n v="1"/>
    <n v="0.12"/>
    <n v="2999.88"/>
    <n v="21999.119999999999"/>
    <n v="5061.5600000000004"/>
    <s v="2020-11-06"/>
    <s v="2020-11-09"/>
    <s v="Student"/>
    <x v="2"/>
    <x v="492"/>
    <x v="583"/>
  </r>
  <r>
    <s v="OP-20180826"/>
    <x v="3"/>
    <x v="10"/>
    <x v="4"/>
    <s v="OnePlus Buds"/>
    <n v="4990"/>
    <n v="1"/>
    <n v="0.08"/>
    <n v="399.2"/>
    <n v="4590.8"/>
    <n v="1135.2"/>
    <s v="2019-07-07"/>
    <s v="2019-07-10"/>
    <s v="Individual"/>
    <x v="0"/>
    <x v="590"/>
    <x v="584"/>
  </r>
  <r>
    <s v="OP-20180827"/>
    <x v="2"/>
    <x v="16"/>
    <x v="3"/>
    <s v="OnePlus 7 Pro"/>
    <n v="48999"/>
    <n v="1"/>
    <n v="0.08"/>
    <n v="3919.92"/>
    <n v="45079.08"/>
    <n v="10525.09"/>
    <s v="2020-01-27"/>
    <s v="2020-01-31"/>
    <s v="Individual"/>
    <x v="2"/>
    <x v="591"/>
    <x v="504"/>
  </r>
  <r>
    <s v="OP-20180828"/>
    <x v="2"/>
    <x v="16"/>
    <x v="4"/>
    <s v="OnePlus Bullets Wireless Z"/>
    <n v="1999"/>
    <n v="2"/>
    <n v="0.08"/>
    <n v="319.83999999999997"/>
    <n v="3678.16"/>
    <n v="725.48"/>
    <s v="2018-09-11"/>
    <s v="2018-09-17"/>
    <s v="Individual"/>
    <x v="0"/>
    <x v="592"/>
    <x v="529"/>
  </r>
  <r>
    <s v="OP-20180829"/>
    <x v="2"/>
    <x v="7"/>
    <x v="0"/>
    <s v="OnePlus Warp Charge 30 Wireless Charger"/>
    <n v="3990"/>
    <n v="2"/>
    <n v="0.1"/>
    <n v="798"/>
    <n v="7182"/>
    <n v="1363.28"/>
    <s v="2018-11-29"/>
    <s v="2018-12-05"/>
    <s v="Individual"/>
    <x v="0"/>
    <x v="489"/>
    <x v="188"/>
  </r>
  <r>
    <s v="OP-20180830"/>
    <x v="3"/>
    <x v="10"/>
    <x v="3"/>
    <s v="OnePlus 7 Pro"/>
    <n v="48999"/>
    <n v="1"/>
    <n v="0.08"/>
    <n v="3919.92"/>
    <n v="45079.08"/>
    <n v="11529.55"/>
    <s v="2020-02-08"/>
    <s v="2020-02-12"/>
    <s v="Individual"/>
    <x v="3"/>
    <x v="593"/>
    <x v="570"/>
  </r>
  <r>
    <s v="OP-20180831"/>
    <x v="0"/>
    <x v="3"/>
    <x v="3"/>
    <s v="OnePlus 8"/>
    <n v="41999"/>
    <n v="1"/>
    <n v="0"/>
    <n v="0"/>
    <n v="41999"/>
    <n v="9008.7099999999991"/>
    <s v="2018-11-26"/>
    <s v="2018-12-01"/>
    <s v="Student"/>
    <x v="0"/>
    <x v="297"/>
    <x v="486"/>
  </r>
  <r>
    <s v="OP-20180832"/>
    <x v="0"/>
    <x v="2"/>
    <x v="2"/>
    <s v="OnePlus Nord"/>
    <n v="24999"/>
    <n v="1"/>
    <n v="0.1"/>
    <n v="2499.9"/>
    <n v="22499.1"/>
    <n v="5573.19"/>
    <s v="2019-04-26"/>
    <s v="2019-05-01"/>
    <s v="Corporate"/>
    <x v="0"/>
    <x v="594"/>
    <x v="370"/>
  </r>
  <r>
    <s v="OP-20180833"/>
    <x v="1"/>
    <x v="11"/>
    <x v="3"/>
    <s v="OnePlus 8"/>
    <n v="41999"/>
    <n v="1"/>
    <n v="0.08"/>
    <n v="3359.92"/>
    <n v="38639.08"/>
    <n v="8942.7800000000007"/>
    <s v="2019-08-30"/>
    <s v="2019-09-01"/>
    <s v="Individual"/>
    <x v="1"/>
    <x v="595"/>
    <x v="585"/>
  </r>
  <r>
    <s v="OP-20180834"/>
    <x v="1"/>
    <x v="15"/>
    <x v="0"/>
    <s v="OnePlus Warp Charge 30 Wireless Charger"/>
    <n v="3990"/>
    <n v="1"/>
    <n v="0"/>
    <n v="0"/>
    <n v="3990"/>
    <n v="891.49"/>
    <s v="2018-01-19"/>
    <s v="2018-01-21"/>
    <s v="Individual"/>
    <x v="3"/>
    <x v="222"/>
    <x v="586"/>
  </r>
  <r>
    <s v="OP-20180835"/>
    <x v="3"/>
    <x v="17"/>
    <x v="0"/>
    <s v="OnePlus Type-C Bullets Earphones"/>
    <n v="1490"/>
    <n v="4"/>
    <n v="0.05"/>
    <n v="298"/>
    <n v="5662"/>
    <n v="1151.06"/>
    <s v="2020-06-16"/>
    <s v="2020-06-23"/>
    <s v="Individual"/>
    <x v="1"/>
    <x v="587"/>
    <x v="359"/>
  </r>
  <r>
    <s v="OP-20180836"/>
    <x v="2"/>
    <x v="9"/>
    <x v="3"/>
    <s v="OnePlus 7T"/>
    <n v="37999"/>
    <n v="1"/>
    <n v="0.1"/>
    <n v="3799.9"/>
    <n v="34199.1"/>
    <n v="8849.65"/>
    <s v="2019-03-10"/>
    <s v="2019-03-12"/>
    <s v="Individual"/>
    <x v="0"/>
    <x v="555"/>
    <x v="553"/>
  </r>
  <r>
    <s v="OP-20180837"/>
    <x v="1"/>
    <x v="15"/>
    <x v="3"/>
    <s v="OnePlus 6"/>
    <n v="34999"/>
    <n v="1"/>
    <n v="0.05"/>
    <n v="1749.95"/>
    <n v="33249.050000000003"/>
    <n v="7908.04"/>
    <s v="2019-04-21"/>
    <s v="2019-04-28"/>
    <s v="Individual"/>
    <x v="3"/>
    <x v="596"/>
    <x v="587"/>
  </r>
  <r>
    <s v="OP-20180838"/>
    <x v="1"/>
    <x v="6"/>
    <x v="0"/>
    <s v="OnePlus Protective Case / Bumper"/>
    <n v="1290"/>
    <n v="3"/>
    <n v="0"/>
    <n v="0"/>
    <n v="3870"/>
    <n v="826.87"/>
    <s v="2019-04-01"/>
    <s v="2019-04-07"/>
    <s v="Individual"/>
    <x v="3"/>
    <x v="586"/>
    <x v="214"/>
  </r>
  <r>
    <s v="OP-20180839"/>
    <x v="2"/>
    <x v="16"/>
    <x v="0"/>
    <s v="OnePlus Protective Case / Bumper"/>
    <n v="1290"/>
    <n v="1"/>
    <n v="0.05"/>
    <n v="64.5"/>
    <n v="1225.5"/>
    <n v="186.71"/>
    <s v="2018-10-30"/>
    <s v="2018-11-06"/>
    <s v="Individual"/>
    <x v="5"/>
    <x v="597"/>
    <x v="334"/>
  </r>
  <r>
    <s v="OP-20180840"/>
    <x v="0"/>
    <x v="0"/>
    <x v="3"/>
    <s v="OnePlus 7"/>
    <n v="32999"/>
    <n v="1"/>
    <n v="0.05"/>
    <n v="1649.95"/>
    <n v="31349.05"/>
    <n v="7410.81"/>
    <s v="2019-11-06"/>
    <s v="2019-11-12"/>
    <s v="Individual"/>
    <x v="1"/>
    <x v="598"/>
    <x v="452"/>
  </r>
  <r>
    <s v="OP-20180841"/>
    <x v="1"/>
    <x v="12"/>
    <x v="4"/>
    <s v="OnePlus Bullets Wireless Z"/>
    <n v="1999"/>
    <n v="1"/>
    <n v="0.12"/>
    <n v="239.88"/>
    <n v="1759.12"/>
    <n v="349.55"/>
    <s v="2018-10-29"/>
    <s v="2018-11-05"/>
    <s v="Individual"/>
    <x v="3"/>
    <x v="599"/>
    <x v="588"/>
  </r>
  <r>
    <s v="OP-20180842"/>
    <x v="0"/>
    <x v="0"/>
    <x v="3"/>
    <s v="OnePlus 6"/>
    <n v="34999"/>
    <n v="1"/>
    <n v="0.08"/>
    <n v="2799.92"/>
    <n v="32199.08"/>
    <n v="7317.43"/>
    <s v="2020-01-09"/>
    <s v="2020-01-14"/>
    <s v="Retail Partner"/>
    <x v="0"/>
    <x v="600"/>
    <x v="121"/>
  </r>
  <r>
    <s v="OP-20180843"/>
    <x v="1"/>
    <x v="12"/>
    <x v="0"/>
    <s v="OnePlus Warp Charge 30 Wireless Charger"/>
    <n v="3990"/>
    <n v="2"/>
    <n v="0.05"/>
    <n v="399"/>
    <n v="7581"/>
    <n v="1671.34"/>
    <s v="2018-11-21"/>
    <s v="2018-11-27"/>
    <s v="Retail Partner"/>
    <x v="0"/>
    <x v="454"/>
    <x v="589"/>
  </r>
  <r>
    <s v="OP-20180844"/>
    <x v="0"/>
    <x v="3"/>
    <x v="3"/>
    <s v="OnePlus 7"/>
    <n v="32999"/>
    <n v="1"/>
    <n v="0.05"/>
    <n v="1649.95"/>
    <n v="31349.05"/>
    <n v="6702.77"/>
    <s v="2018-08-13"/>
    <s v="2018-08-15"/>
    <s v="Individual"/>
    <x v="1"/>
    <x v="459"/>
    <x v="590"/>
  </r>
  <r>
    <s v="OP-20180845"/>
    <x v="1"/>
    <x v="12"/>
    <x v="3"/>
    <s v="OnePlus 8"/>
    <n v="41999"/>
    <n v="3"/>
    <n v="0.08"/>
    <n v="10079.76"/>
    <n v="115917.24"/>
    <n v="21158.48"/>
    <s v="2020-01-08"/>
    <s v="2020-01-11"/>
    <s v="Individual"/>
    <x v="5"/>
    <x v="120"/>
    <x v="528"/>
  </r>
  <r>
    <s v="OP-20180846"/>
    <x v="3"/>
    <x v="17"/>
    <x v="4"/>
    <s v="OnePlus Bullets Wireless Z"/>
    <n v="1999"/>
    <n v="1"/>
    <n v="0"/>
    <n v="0"/>
    <n v="1999"/>
    <n v="327.95"/>
    <s v="2020-06-18"/>
    <s v="2020-06-25"/>
    <s v="Student"/>
    <x v="0"/>
    <x v="130"/>
    <x v="130"/>
  </r>
  <r>
    <s v="OP-20180847"/>
    <x v="0"/>
    <x v="0"/>
    <x v="0"/>
    <s v="OnePlus Type-C Bullets Earphones"/>
    <n v="1490"/>
    <n v="1"/>
    <n v="0.05"/>
    <n v="74.5"/>
    <n v="1415.5"/>
    <n v="238.35"/>
    <s v="2020-06-16"/>
    <s v="2020-06-22"/>
    <s v="Individual"/>
    <x v="2"/>
    <x v="587"/>
    <x v="576"/>
  </r>
  <r>
    <s v="OP-20180848"/>
    <x v="0"/>
    <x v="0"/>
    <x v="3"/>
    <s v="OnePlus 7 Pro"/>
    <n v="48999"/>
    <n v="1"/>
    <n v="0.08"/>
    <n v="3919.92"/>
    <n v="45079.08"/>
    <n v="7663.89"/>
    <s v="2020-12-19"/>
    <s v="2020-12-23"/>
    <s v="Individual"/>
    <x v="1"/>
    <x v="123"/>
    <x v="591"/>
  </r>
  <r>
    <s v="OP-20180849"/>
    <x v="0"/>
    <x v="0"/>
    <x v="3"/>
    <s v="OnePlus 8 Pro"/>
    <n v="54999"/>
    <n v="1"/>
    <n v="0"/>
    <n v="0"/>
    <n v="54999"/>
    <n v="8065.05"/>
    <s v="2019-08-15"/>
    <s v="2019-08-18"/>
    <s v="Individual"/>
    <x v="3"/>
    <x v="601"/>
    <x v="202"/>
  </r>
  <r>
    <s v="OP-20180850"/>
    <x v="0"/>
    <x v="14"/>
    <x v="2"/>
    <s v="OnePlus Nord N10"/>
    <n v="19999"/>
    <n v="1"/>
    <n v="0.15"/>
    <n v="2999.85"/>
    <n v="16999.150000000001"/>
    <n v="2987.27"/>
    <s v="2019-09-18"/>
    <s v="2019-09-22"/>
    <s v="Corporate"/>
    <x v="0"/>
    <x v="602"/>
    <x v="552"/>
  </r>
  <r>
    <s v="OP-20180851"/>
    <x v="2"/>
    <x v="19"/>
    <x v="0"/>
    <s v="OnePlus Protective Case / Bumper"/>
    <n v="1290"/>
    <n v="1"/>
    <n v="0"/>
    <n v="0"/>
    <n v="1290"/>
    <n v="240.76"/>
    <s v="2020-06-20"/>
    <s v="2020-06-27"/>
    <s v="Corporate"/>
    <x v="0"/>
    <x v="369"/>
    <x v="376"/>
  </r>
  <r>
    <s v="OP-20180852"/>
    <x v="0"/>
    <x v="3"/>
    <x v="4"/>
    <s v="OnePlus Buds"/>
    <n v="4990"/>
    <n v="3"/>
    <n v="0"/>
    <n v="0"/>
    <n v="14970"/>
    <n v="2803.73"/>
    <s v="2020-05-28"/>
    <s v="2020-06-03"/>
    <s v="Individual"/>
    <x v="0"/>
    <x v="603"/>
    <x v="513"/>
  </r>
  <r>
    <s v="OP-20180853"/>
    <x v="0"/>
    <x v="3"/>
    <x v="1"/>
    <s v="OnePlus TV 43Y1 Full HD"/>
    <n v="22999"/>
    <n v="2"/>
    <n v="0.05"/>
    <n v="2299.9"/>
    <n v="43698.1"/>
    <n v="10818.8"/>
    <s v="2020-05-19"/>
    <s v="2020-05-21"/>
    <s v="Individual"/>
    <x v="1"/>
    <x v="337"/>
    <x v="80"/>
  </r>
  <r>
    <s v="OP-20180854"/>
    <x v="0"/>
    <x v="2"/>
    <x v="1"/>
    <s v="OnePlus TV Q1 55-inch"/>
    <n v="69900"/>
    <n v="2"/>
    <n v="0.1"/>
    <n v="13980"/>
    <n v="125820"/>
    <n v="24841.57"/>
    <s v="2019-12-06"/>
    <s v="2019-12-10"/>
    <s v="Individual"/>
    <x v="0"/>
    <x v="550"/>
    <x v="592"/>
  </r>
  <r>
    <s v="OP-20180855"/>
    <x v="2"/>
    <x v="9"/>
    <x v="0"/>
    <s v="OnePlus Warp Charge 30 Power Adapter"/>
    <n v="1990"/>
    <n v="2"/>
    <n v="0.08"/>
    <n v="318.39999999999998"/>
    <n v="3661.6"/>
    <n v="834.45"/>
    <s v="2019-10-09"/>
    <s v="2019-10-11"/>
    <s v="Individual"/>
    <x v="3"/>
    <x v="604"/>
    <x v="593"/>
  </r>
  <r>
    <s v="OP-20180856"/>
    <x v="0"/>
    <x v="0"/>
    <x v="4"/>
    <s v="OnePlus Bullets Wireless 2"/>
    <n v="5990"/>
    <n v="2"/>
    <n v="0"/>
    <n v="0"/>
    <n v="11980"/>
    <n v="2304.35"/>
    <s v="2019-02-20"/>
    <s v="2019-02-27"/>
    <s v="Individual"/>
    <x v="4"/>
    <x v="458"/>
    <x v="594"/>
  </r>
  <r>
    <s v="OP-20180857"/>
    <x v="1"/>
    <x v="12"/>
    <x v="0"/>
    <s v="OnePlus Protective Case / Bumper"/>
    <n v="1290"/>
    <n v="3"/>
    <n v="0.1"/>
    <n v="387"/>
    <n v="3483"/>
    <n v="558.19000000000005"/>
    <s v="2018-12-22"/>
    <s v="2018-12-28"/>
    <s v="Individual"/>
    <x v="4"/>
    <x v="605"/>
    <x v="177"/>
  </r>
  <r>
    <s v="OP-20180858"/>
    <x v="1"/>
    <x v="12"/>
    <x v="1"/>
    <s v="OnePlus TV Q1 55-inch"/>
    <n v="69900"/>
    <n v="1"/>
    <n v="0.08"/>
    <n v="5592"/>
    <n v="64308"/>
    <n v="11776.12"/>
    <s v="2019-04-09"/>
    <s v="2019-04-12"/>
    <s v="Individual"/>
    <x v="0"/>
    <x v="606"/>
    <x v="595"/>
  </r>
  <r>
    <s v="OP-20180859"/>
    <x v="1"/>
    <x v="11"/>
    <x v="4"/>
    <s v="OnePlus Buds"/>
    <n v="4990"/>
    <n v="2"/>
    <n v="0.08"/>
    <n v="798.4"/>
    <n v="9181.6"/>
    <n v="2312.1999999999998"/>
    <s v="2019-11-07"/>
    <s v="2019-11-11"/>
    <s v="Individual"/>
    <x v="3"/>
    <x v="469"/>
    <x v="596"/>
  </r>
  <r>
    <s v="OP-20180860"/>
    <x v="1"/>
    <x v="1"/>
    <x v="3"/>
    <s v="OnePlus 7T Pro"/>
    <n v="53999"/>
    <n v="1"/>
    <n v="0.08"/>
    <n v="4319.92"/>
    <n v="49679.08"/>
    <n v="11912.49"/>
    <s v="2019-04-23"/>
    <s v="2019-04-27"/>
    <s v="Individual"/>
    <x v="5"/>
    <x v="77"/>
    <x v="79"/>
  </r>
  <r>
    <s v="OP-20180861"/>
    <x v="0"/>
    <x v="14"/>
    <x v="3"/>
    <s v="OnePlus 8"/>
    <n v="41999"/>
    <n v="1"/>
    <n v="0.08"/>
    <n v="3359.92"/>
    <n v="38639.08"/>
    <n v="5553.07"/>
    <s v="2019-05-25"/>
    <s v="2019-06-01"/>
    <s v="Individual"/>
    <x v="4"/>
    <x v="173"/>
    <x v="312"/>
  </r>
  <r>
    <s v="OP-20180862"/>
    <x v="1"/>
    <x v="1"/>
    <x v="1"/>
    <s v="OnePlus TV 32Y1 HD Ready"/>
    <n v="12999"/>
    <n v="1"/>
    <n v="0.12"/>
    <n v="1559.88"/>
    <n v="11439.12"/>
    <n v="2310.13"/>
    <s v="2019-07-15"/>
    <s v="2019-07-17"/>
    <s v="Individual"/>
    <x v="0"/>
    <x v="302"/>
    <x v="152"/>
  </r>
  <r>
    <s v="OP-20180863"/>
    <x v="1"/>
    <x v="6"/>
    <x v="3"/>
    <s v="OnePlus 7"/>
    <n v="32999"/>
    <n v="2"/>
    <n v="0"/>
    <n v="0"/>
    <n v="65998"/>
    <n v="12713.89"/>
    <s v="2018-09-26"/>
    <s v="2018-10-02"/>
    <s v="Individual"/>
    <x v="3"/>
    <x v="607"/>
    <x v="345"/>
  </r>
  <r>
    <s v="OP-20180864"/>
    <x v="2"/>
    <x v="16"/>
    <x v="1"/>
    <s v="OnePlus TV 32Y1 HD Ready"/>
    <n v="12999"/>
    <n v="1"/>
    <n v="0.05"/>
    <n v="649.95000000000005"/>
    <n v="12349.05"/>
    <n v="1901.96"/>
    <s v="2019-04-27"/>
    <s v="2019-05-01"/>
    <s v="Individual"/>
    <x v="1"/>
    <x v="608"/>
    <x v="370"/>
  </r>
  <r>
    <s v="OP-20180865"/>
    <x v="3"/>
    <x v="5"/>
    <x v="0"/>
    <s v="OnePlus Protective Case / Bumper"/>
    <n v="1290"/>
    <n v="2"/>
    <n v="0"/>
    <n v="0"/>
    <n v="2580"/>
    <n v="646.83000000000004"/>
    <s v="2018-10-06"/>
    <s v="2018-10-11"/>
    <s v="Corporate"/>
    <x v="0"/>
    <x v="271"/>
    <x v="227"/>
  </r>
  <r>
    <s v="OP-20180866"/>
    <x v="2"/>
    <x v="7"/>
    <x v="3"/>
    <s v="OnePlus 6T"/>
    <n v="37999"/>
    <n v="3"/>
    <n v="0.05"/>
    <n v="5699.85"/>
    <n v="108297.15"/>
    <n v="23435.84"/>
    <s v="2019-11-06"/>
    <s v="2019-11-11"/>
    <s v="Corporate"/>
    <x v="3"/>
    <x v="598"/>
    <x v="596"/>
  </r>
  <r>
    <s v="OP-20180867"/>
    <x v="0"/>
    <x v="13"/>
    <x v="4"/>
    <s v="OnePlus Bullets Wireless Z"/>
    <n v="1999"/>
    <n v="3"/>
    <n v="0.05"/>
    <n v="299.85000000000002"/>
    <n v="5697.15"/>
    <n v="1373.11"/>
    <s v="2018-05-28"/>
    <s v="2018-05-31"/>
    <s v="Individual"/>
    <x v="0"/>
    <x v="609"/>
    <x v="387"/>
  </r>
  <r>
    <s v="OP-20180868"/>
    <x v="0"/>
    <x v="0"/>
    <x v="1"/>
    <s v="OnePlus TV 43Y1 Full HD"/>
    <n v="22999"/>
    <n v="1"/>
    <n v="0.05"/>
    <n v="1149.95"/>
    <n v="21849.05"/>
    <n v="5172.3599999999997"/>
    <s v="2019-04-11"/>
    <s v="2019-04-15"/>
    <s v="Individual"/>
    <x v="0"/>
    <x v="504"/>
    <x v="361"/>
  </r>
  <r>
    <s v="OP-20180869"/>
    <x v="2"/>
    <x v="7"/>
    <x v="0"/>
    <s v="OnePlus Protective Case / Bumper"/>
    <n v="1290"/>
    <n v="1"/>
    <n v="0.1"/>
    <n v="129"/>
    <n v="1161"/>
    <n v="236.86"/>
    <s v="2019-03-25"/>
    <s v="2019-03-28"/>
    <s v="Individual"/>
    <x v="3"/>
    <x v="520"/>
    <x v="483"/>
  </r>
  <r>
    <s v="OP-20180870"/>
    <x v="0"/>
    <x v="0"/>
    <x v="0"/>
    <s v="OnePlus Warp Charge 30 Power Adapter"/>
    <n v="1990"/>
    <n v="1"/>
    <n v="0.05"/>
    <n v="99.5"/>
    <n v="1890.5"/>
    <n v="425.96"/>
    <s v="2020-01-31"/>
    <s v="2020-02-04"/>
    <s v="Individual"/>
    <x v="4"/>
    <x v="610"/>
    <x v="108"/>
  </r>
  <r>
    <s v="OP-20180871"/>
    <x v="2"/>
    <x v="19"/>
    <x v="3"/>
    <s v="OnePlus 6"/>
    <n v="34999"/>
    <n v="1"/>
    <n v="0"/>
    <n v="0"/>
    <n v="34999"/>
    <n v="7599.43"/>
    <s v="2018-03-27"/>
    <s v="2018-04-01"/>
    <s v="Student"/>
    <x v="0"/>
    <x v="611"/>
    <x v="597"/>
  </r>
  <r>
    <s v="OP-20180872"/>
    <x v="0"/>
    <x v="3"/>
    <x v="1"/>
    <s v="OnePlus TV 32Y1 HD Ready"/>
    <n v="12999"/>
    <n v="1"/>
    <n v="0.05"/>
    <n v="649.95000000000005"/>
    <n v="12349.05"/>
    <n v="2222.88"/>
    <s v="2018-05-25"/>
    <s v="2018-05-30"/>
    <s v="Individual"/>
    <x v="1"/>
    <x v="612"/>
    <x v="598"/>
  </r>
  <r>
    <s v="OP-20180873"/>
    <x v="0"/>
    <x v="13"/>
    <x v="3"/>
    <s v="OnePlus 6T"/>
    <n v="37999"/>
    <n v="2"/>
    <n v="0.1"/>
    <n v="7599.8"/>
    <n v="68398.2"/>
    <n v="11627.36"/>
    <s v="2020-04-26"/>
    <s v="2020-04-29"/>
    <s v="Individual"/>
    <x v="1"/>
    <x v="613"/>
    <x v="81"/>
  </r>
  <r>
    <s v="OP-20180874"/>
    <x v="0"/>
    <x v="2"/>
    <x v="2"/>
    <s v="OnePlus Nord"/>
    <n v="24999"/>
    <n v="2"/>
    <n v="0.1"/>
    <n v="4999.8"/>
    <n v="44998.2"/>
    <n v="8718.5499999999993"/>
    <s v="2018-04-07"/>
    <s v="2018-04-14"/>
    <s v="Individual"/>
    <x v="5"/>
    <x v="614"/>
    <x v="599"/>
  </r>
  <r>
    <s v="OP-20180875"/>
    <x v="3"/>
    <x v="5"/>
    <x v="3"/>
    <s v="OnePlus 7T Pro"/>
    <n v="53999"/>
    <n v="1"/>
    <n v="0.05"/>
    <n v="2699.95"/>
    <n v="51299.05"/>
    <n v="12804.93"/>
    <s v="2018-03-15"/>
    <s v="2018-03-21"/>
    <s v="Corporate"/>
    <x v="0"/>
    <x v="453"/>
    <x v="600"/>
  </r>
  <r>
    <s v="OP-20180876"/>
    <x v="1"/>
    <x v="15"/>
    <x v="4"/>
    <s v="OnePlus Bullets Wireless Z"/>
    <n v="1999"/>
    <n v="1"/>
    <n v="0"/>
    <n v="0"/>
    <n v="1999"/>
    <n v="472.05"/>
    <s v="2019-03-31"/>
    <s v="2019-04-03"/>
    <s v="Individual"/>
    <x v="1"/>
    <x v="615"/>
    <x v="24"/>
  </r>
  <r>
    <s v="OP-20180877"/>
    <x v="2"/>
    <x v="19"/>
    <x v="0"/>
    <s v="OnePlus Protective Case / Bumper"/>
    <n v="1290"/>
    <n v="1"/>
    <n v="0.05"/>
    <n v="64.5"/>
    <n v="1225.5"/>
    <n v="314.77"/>
    <s v="2019-04-10"/>
    <s v="2019-04-17"/>
    <s v="Individual"/>
    <x v="0"/>
    <x v="352"/>
    <x v="601"/>
  </r>
  <r>
    <s v="OP-20180878"/>
    <x v="2"/>
    <x v="9"/>
    <x v="1"/>
    <s v="OnePlus TV Q1 55-inch"/>
    <n v="69900"/>
    <n v="1"/>
    <n v="0.05"/>
    <n v="3495"/>
    <n v="66405"/>
    <n v="11607.49"/>
    <s v="2019-08-20"/>
    <s v="2019-08-24"/>
    <s v="Retail Partner"/>
    <x v="0"/>
    <x v="382"/>
    <x v="389"/>
  </r>
  <r>
    <s v="OP-20180879"/>
    <x v="0"/>
    <x v="0"/>
    <x v="3"/>
    <s v="OnePlus 7 Pro"/>
    <n v="48999"/>
    <n v="1"/>
    <n v="0.1"/>
    <n v="4899.8999999999996"/>
    <n v="44099.1"/>
    <n v="9394.3700000000008"/>
    <s v="2019-03-22"/>
    <s v="2019-03-28"/>
    <s v="Corporate"/>
    <x v="0"/>
    <x v="487"/>
    <x v="483"/>
  </r>
  <r>
    <s v="OP-20180880"/>
    <x v="0"/>
    <x v="0"/>
    <x v="2"/>
    <s v="OnePlus Nord"/>
    <n v="24999"/>
    <n v="2"/>
    <n v="0.05"/>
    <n v="2499.9"/>
    <n v="47498.1"/>
    <n v="11639.15"/>
    <s v="2018-11-03"/>
    <s v="2018-11-06"/>
    <s v="Individual"/>
    <x v="4"/>
    <x v="132"/>
    <x v="334"/>
  </r>
  <r>
    <s v="OP-20180881"/>
    <x v="1"/>
    <x v="1"/>
    <x v="0"/>
    <s v="OnePlus Warp Charge 30 Power Adapter"/>
    <n v="1990"/>
    <n v="1"/>
    <n v="0.05"/>
    <n v="99.5"/>
    <n v="1890.5"/>
    <n v="451.56"/>
    <s v="2020-05-21"/>
    <s v="2020-05-25"/>
    <s v="Retail Partner"/>
    <x v="3"/>
    <x v="80"/>
    <x v="341"/>
  </r>
  <r>
    <s v="OP-20180882"/>
    <x v="1"/>
    <x v="15"/>
    <x v="3"/>
    <s v="OnePlus 6T"/>
    <n v="37999"/>
    <n v="1"/>
    <n v="0.05"/>
    <n v="1899.95"/>
    <n v="36099.050000000003"/>
    <n v="8446.99"/>
    <s v="2018-06-30"/>
    <s v="2018-07-04"/>
    <s v="Individual"/>
    <x v="1"/>
    <x v="616"/>
    <x v="190"/>
  </r>
  <r>
    <s v="OP-20180883"/>
    <x v="0"/>
    <x v="3"/>
    <x v="3"/>
    <s v="OnePlus 7"/>
    <n v="32999"/>
    <n v="5"/>
    <n v="0.08"/>
    <n v="13199.6"/>
    <n v="151795.4"/>
    <n v="33107.18"/>
    <s v="2018-10-09"/>
    <s v="2018-10-13"/>
    <s v="Individual"/>
    <x v="3"/>
    <x v="617"/>
    <x v="358"/>
  </r>
  <r>
    <s v="OP-20180884"/>
    <x v="0"/>
    <x v="2"/>
    <x v="1"/>
    <s v="OnePlus TV Q1 55-inch"/>
    <n v="69900"/>
    <n v="1"/>
    <n v="0"/>
    <n v="0"/>
    <n v="69900"/>
    <n v="17069.28"/>
    <s v="2018-09-06"/>
    <s v="2018-09-10"/>
    <s v="Individual"/>
    <x v="4"/>
    <x v="618"/>
    <x v="170"/>
  </r>
  <r>
    <s v="OP-20180885"/>
    <x v="0"/>
    <x v="2"/>
    <x v="3"/>
    <s v="OnePlus 8"/>
    <n v="41999"/>
    <n v="1"/>
    <n v="0.05"/>
    <n v="2099.9499999999998"/>
    <n v="39899.050000000003"/>
    <n v="7167.34"/>
    <s v="2020-04-17"/>
    <s v="2020-04-19"/>
    <s v="Corporate"/>
    <x v="0"/>
    <x v="61"/>
    <x v="63"/>
  </r>
  <r>
    <s v="OP-20180886"/>
    <x v="1"/>
    <x v="6"/>
    <x v="0"/>
    <s v="OnePlus Warp Charge 30 Wireless Charger"/>
    <n v="3990"/>
    <n v="1"/>
    <n v="0"/>
    <n v="0"/>
    <n v="3990"/>
    <n v="753.67"/>
    <s v="2018-01-18"/>
    <s v="2018-01-24"/>
    <s v="Individual"/>
    <x v="3"/>
    <x v="619"/>
    <x v="224"/>
  </r>
  <r>
    <s v="OP-20180887"/>
    <x v="1"/>
    <x v="12"/>
    <x v="3"/>
    <s v="OnePlus 6T"/>
    <n v="37999"/>
    <n v="3"/>
    <n v="0.1"/>
    <n v="11399.7"/>
    <n v="102597.3"/>
    <n v="26441.21"/>
    <s v="2019-02-17"/>
    <s v="2019-02-22"/>
    <s v="Corporate"/>
    <x v="1"/>
    <x v="522"/>
    <x v="527"/>
  </r>
  <r>
    <s v="OP-20180888"/>
    <x v="1"/>
    <x v="1"/>
    <x v="0"/>
    <s v="OnePlus Warp Charge 30 Power Adapter"/>
    <n v="1990"/>
    <n v="1"/>
    <n v="0.08"/>
    <n v="159.19999999999999"/>
    <n v="1830.8"/>
    <n v="447.73"/>
    <s v="2019-06-30"/>
    <s v="2019-07-06"/>
    <s v="Student"/>
    <x v="0"/>
    <x v="620"/>
    <x v="602"/>
  </r>
  <r>
    <s v="OP-20180889"/>
    <x v="0"/>
    <x v="13"/>
    <x v="0"/>
    <s v="OnePlus Warp Charge 30 Power Adapter"/>
    <n v="1990"/>
    <n v="1"/>
    <n v="0.05"/>
    <n v="99.5"/>
    <n v="1890.5"/>
    <n v="310.72000000000003"/>
    <s v="2018-05-29"/>
    <s v="2018-05-31"/>
    <s v="Individual"/>
    <x v="0"/>
    <x v="621"/>
    <x v="387"/>
  </r>
  <r>
    <s v="OP-20180890"/>
    <x v="0"/>
    <x v="0"/>
    <x v="3"/>
    <s v="OnePlus 7T"/>
    <n v="37999"/>
    <n v="1"/>
    <n v="0"/>
    <n v="0"/>
    <n v="37999"/>
    <n v="5344.09"/>
    <s v="2020-06-27"/>
    <s v="2020-07-04"/>
    <s v="Individual"/>
    <x v="3"/>
    <x v="131"/>
    <x v="603"/>
  </r>
  <r>
    <s v="OP-20180891"/>
    <x v="1"/>
    <x v="6"/>
    <x v="3"/>
    <s v="OnePlus 7"/>
    <n v="32999"/>
    <n v="3"/>
    <n v="0.1"/>
    <n v="9899.7000000000007"/>
    <n v="89097.3"/>
    <n v="22325.55"/>
    <s v="2020-06-08"/>
    <s v="2020-06-13"/>
    <s v="Individual"/>
    <x v="4"/>
    <x v="622"/>
    <x v="179"/>
  </r>
  <r>
    <s v="OP-20180892"/>
    <x v="1"/>
    <x v="12"/>
    <x v="3"/>
    <s v="OnePlus 8 Pro"/>
    <n v="54999"/>
    <n v="1"/>
    <n v="0.05"/>
    <n v="2749.95"/>
    <n v="52249.05"/>
    <n v="8632.65"/>
    <s v="2019-09-30"/>
    <s v="2019-10-04"/>
    <s v="Corporate"/>
    <x v="0"/>
    <x v="194"/>
    <x v="300"/>
  </r>
  <r>
    <s v="OP-20180893"/>
    <x v="2"/>
    <x v="4"/>
    <x v="3"/>
    <s v="OnePlus 8"/>
    <n v="41999"/>
    <n v="2"/>
    <n v="0.05"/>
    <n v="4199.8999999999996"/>
    <n v="79798.100000000006"/>
    <n v="18982.36"/>
    <s v="2020-11-18"/>
    <s v="2020-11-21"/>
    <s v="Student"/>
    <x v="3"/>
    <x v="623"/>
    <x v="604"/>
  </r>
  <r>
    <s v="OP-20180894"/>
    <x v="1"/>
    <x v="12"/>
    <x v="2"/>
    <s v="OnePlus Nord"/>
    <n v="24999"/>
    <n v="2"/>
    <n v="0"/>
    <n v="0"/>
    <n v="49998"/>
    <n v="8354.24"/>
    <s v="2020-11-08"/>
    <s v="2020-11-15"/>
    <s v="Individual"/>
    <x v="2"/>
    <x v="624"/>
    <x v="122"/>
  </r>
  <r>
    <s v="OP-20180895"/>
    <x v="0"/>
    <x v="13"/>
    <x v="2"/>
    <s v="OnePlus Nord N10"/>
    <n v="19999"/>
    <n v="1"/>
    <n v="0.05"/>
    <n v="999.95"/>
    <n v="18999.05"/>
    <n v="4870.08"/>
    <s v="2019-11-07"/>
    <s v="2019-11-12"/>
    <s v="Individual"/>
    <x v="1"/>
    <x v="469"/>
    <x v="452"/>
  </r>
  <r>
    <s v="OP-20180896"/>
    <x v="2"/>
    <x v="4"/>
    <x v="3"/>
    <s v="OnePlus 7"/>
    <n v="32999"/>
    <n v="4"/>
    <n v="0.08"/>
    <n v="10559.68"/>
    <n v="121436.32"/>
    <n v="20028.79"/>
    <s v="2018-05-17"/>
    <s v="2018-05-24"/>
    <s v="Corporate"/>
    <x v="0"/>
    <x v="368"/>
    <x v="73"/>
  </r>
  <r>
    <s v="OP-20180897"/>
    <x v="1"/>
    <x v="11"/>
    <x v="3"/>
    <s v="OnePlus 7T Pro"/>
    <n v="53999"/>
    <n v="5"/>
    <n v="0.1"/>
    <n v="26999.5"/>
    <n v="242995.5"/>
    <n v="57161.26"/>
    <s v="2018-12-09"/>
    <s v="2018-12-12"/>
    <s v="Retail Partner"/>
    <x v="3"/>
    <x v="625"/>
    <x v="413"/>
  </r>
  <r>
    <s v="OP-20180898"/>
    <x v="3"/>
    <x v="17"/>
    <x v="3"/>
    <s v="OnePlus 7"/>
    <n v="32999"/>
    <n v="3"/>
    <n v="0.08"/>
    <n v="7919.76"/>
    <n v="91077.24"/>
    <n v="22125.56"/>
    <s v="2018-12-13"/>
    <s v="2018-12-18"/>
    <s v="Individual"/>
    <x v="3"/>
    <x v="219"/>
    <x v="70"/>
  </r>
  <r>
    <s v="OP-20180899"/>
    <x v="1"/>
    <x v="6"/>
    <x v="1"/>
    <s v="OnePlus TV 32Y1 HD Ready"/>
    <n v="12999"/>
    <n v="1"/>
    <n v="0.12"/>
    <n v="1559.88"/>
    <n v="11439.12"/>
    <n v="2787.8"/>
    <s v="2019-07-28"/>
    <s v="2019-08-04"/>
    <s v="Individual"/>
    <x v="2"/>
    <x v="626"/>
    <x v="11"/>
  </r>
  <r>
    <s v="OP-20180900"/>
    <x v="0"/>
    <x v="13"/>
    <x v="3"/>
    <s v="OnePlus 7 Pro"/>
    <n v="48999"/>
    <n v="4"/>
    <n v="0.05"/>
    <n v="9799.7999999999993"/>
    <n v="186196.2"/>
    <n v="36404.019999999997"/>
    <s v="2018-02-26"/>
    <s v="2018-03-01"/>
    <s v="Student"/>
    <x v="3"/>
    <x v="432"/>
    <x v="605"/>
  </r>
  <r>
    <s v="OP-20180901"/>
    <x v="1"/>
    <x v="15"/>
    <x v="1"/>
    <s v="OnePlus TV 32Y1 HD Ready"/>
    <n v="12999"/>
    <n v="1"/>
    <n v="0.08"/>
    <n v="1039.92"/>
    <n v="11959.08"/>
    <n v="2925.65"/>
    <s v="2019-02-22"/>
    <s v="2019-02-27"/>
    <s v="Individual"/>
    <x v="4"/>
    <x v="627"/>
    <x v="594"/>
  </r>
  <r>
    <s v="OP-20180902"/>
    <x v="2"/>
    <x v="4"/>
    <x v="0"/>
    <s v="OnePlus Type-C Bullets Earphones"/>
    <n v="1490"/>
    <n v="1"/>
    <n v="0.05"/>
    <n v="74.5"/>
    <n v="1415.5"/>
    <n v="246.06"/>
    <s v="2018-06-30"/>
    <s v="2018-07-06"/>
    <s v="Individual"/>
    <x v="0"/>
    <x v="616"/>
    <x v="606"/>
  </r>
  <r>
    <s v="OP-20180903"/>
    <x v="2"/>
    <x v="16"/>
    <x v="0"/>
    <s v="OnePlus Warp Charge 30 Wireless Charger"/>
    <n v="3990"/>
    <n v="1"/>
    <n v="0.05"/>
    <n v="199.5"/>
    <n v="3790.5"/>
    <n v="765.89"/>
    <s v="2019-04-27"/>
    <s v="2019-05-02"/>
    <s v="Individual"/>
    <x v="3"/>
    <x v="608"/>
    <x v="607"/>
  </r>
  <r>
    <s v="OP-20180904"/>
    <x v="2"/>
    <x v="7"/>
    <x v="3"/>
    <s v="OnePlus 6"/>
    <n v="34999"/>
    <n v="1"/>
    <n v="0.08"/>
    <n v="2799.92"/>
    <n v="32199.08"/>
    <n v="6855.99"/>
    <s v="2019-04-11"/>
    <s v="2019-04-15"/>
    <s v="Individual"/>
    <x v="0"/>
    <x v="504"/>
    <x v="361"/>
  </r>
  <r>
    <s v="OP-20180905"/>
    <x v="1"/>
    <x v="1"/>
    <x v="3"/>
    <s v="OnePlus 8"/>
    <n v="41999"/>
    <n v="1"/>
    <n v="0.05"/>
    <n v="2099.9499999999998"/>
    <n v="39899.050000000003"/>
    <n v="6403.05"/>
    <s v="2019-01-06"/>
    <s v="2019-01-11"/>
    <s v="Student"/>
    <x v="3"/>
    <x v="628"/>
    <x v="372"/>
  </r>
  <r>
    <s v="OP-20180906"/>
    <x v="2"/>
    <x v="9"/>
    <x v="4"/>
    <s v="OnePlus Buds"/>
    <n v="4990"/>
    <n v="1"/>
    <n v="0"/>
    <n v="0"/>
    <n v="4990"/>
    <n v="1061.48"/>
    <s v="2020-06-20"/>
    <s v="2020-06-24"/>
    <s v="Corporate"/>
    <x v="0"/>
    <x v="369"/>
    <x v="510"/>
  </r>
  <r>
    <s v="OP-20180907"/>
    <x v="1"/>
    <x v="11"/>
    <x v="3"/>
    <s v="OnePlus 7T Pro"/>
    <n v="53999"/>
    <n v="1"/>
    <n v="0.05"/>
    <n v="2699.95"/>
    <n v="51299.05"/>
    <n v="12150.97"/>
    <s v="2019-03-14"/>
    <s v="2019-03-17"/>
    <s v="Student"/>
    <x v="2"/>
    <x v="217"/>
    <x v="608"/>
  </r>
  <r>
    <s v="OP-20180908"/>
    <x v="0"/>
    <x v="0"/>
    <x v="1"/>
    <s v="OnePlus TV 43Y1 Full HD"/>
    <n v="22999"/>
    <n v="1"/>
    <n v="0"/>
    <n v="0"/>
    <n v="22999"/>
    <n v="3224.23"/>
    <s v="2020-01-25"/>
    <s v="2020-01-30"/>
    <s v="Individual"/>
    <x v="1"/>
    <x v="478"/>
    <x v="482"/>
  </r>
  <r>
    <s v="OP-20180909"/>
    <x v="1"/>
    <x v="11"/>
    <x v="3"/>
    <s v="OnePlus 8 Pro"/>
    <n v="54999"/>
    <n v="1"/>
    <n v="0.1"/>
    <n v="5499.9"/>
    <n v="49499.1"/>
    <n v="7820.04"/>
    <s v="2019-08-31"/>
    <s v="2019-09-03"/>
    <s v="Individual"/>
    <x v="0"/>
    <x v="629"/>
    <x v="609"/>
  </r>
  <r>
    <s v="OP-20180910"/>
    <x v="0"/>
    <x v="3"/>
    <x v="3"/>
    <s v="OnePlus 7T"/>
    <n v="37999"/>
    <n v="1"/>
    <n v="0.1"/>
    <n v="3799.9"/>
    <n v="34199.1"/>
    <n v="4912.55"/>
    <s v="2018-01-11"/>
    <s v="2018-01-17"/>
    <s v="Individual"/>
    <x v="5"/>
    <x v="435"/>
    <x v="610"/>
  </r>
  <r>
    <s v="OP-20180911"/>
    <x v="3"/>
    <x v="8"/>
    <x v="3"/>
    <s v="OnePlus 7"/>
    <n v="32999"/>
    <n v="1"/>
    <n v="0.08"/>
    <n v="2639.92"/>
    <n v="30359.08"/>
    <n v="6688.43"/>
    <s v="2018-07-26"/>
    <s v="2018-08-02"/>
    <s v="Corporate"/>
    <x v="0"/>
    <x v="312"/>
    <x v="423"/>
  </r>
  <r>
    <s v="OP-20180912"/>
    <x v="0"/>
    <x v="13"/>
    <x v="4"/>
    <s v="OnePlus Bullets Wireless Z"/>
    <n v="1999"/>
    <n v="2"/>
    <n v="0.08"/>
    <n v="319.83999999999997"/>
    <n v="3678.16"/>
    <n v="893.94"/>
    <s v="2019-03-25"/>
    <s v="2019-03-28"/>
    <s v="Corporate"/>
    <x v="0"/>
    <x v="520"/>
    <x v="483"/>
  </r>
  <r>
    <s v="OP-20180913"/>
    <x v="2"/>
    <x v="19"/>
    <x v="2"/>
    <s v="OnePlus Nord"/>
    <n v="24999"/>
    <n v="3"/>
    <n v="0.08"/>
    <n v="5999.76"/>
    <n v="68997.240000000005"/>
    <n v="11297.53"/>
    <s v="2018-03-29"/>
    <s v="2018-03-31"/>
    <s v="Individual"/>
    <x v="3"/>
    <x v="183"/>
    <x v="611"/>
  </r>
  <r>
    <s v="OP-20180914"/>
    <x v="2"/>
    <x v="16"/>
    <x v="4"/>
    <s v="OnePlus Buds Z"/>
    <n v="2999"/>
    <n v="5"/>
    <n v="0.05"/>
    <n v="749.75"/>
    <n v="14245.25"/>
    <n v="2740.97"/>
    <s v="2018-06-04"/>
    <s v="2018-06-08"/>
    <s v="Individual"/>
    <x v="0"/>
    <x v="508"/>
    <x v="400"/>
  </r>
  <r>
    <s v="OP-20180915"/>
    <x v="0"/>
    <x v="14"/>
    <x v="1"/>
    <s v="OnePlus TV 43Y1 Full HD"/>
    <n v="22999"/>
    <n v="1"/>
    <n v="0.1"/>
    <n v="2299.9"/>
    <n v="20699.099999999999"/>
    <n v="4648.8"/>
    <s v="2019-12-31"/>
    <s v="2020-01-07"/>
    <s v="Corporate"/>
    <x v="3"/>
    <x v="15"/>
    <x v="15"/>
  </r>
  <r>
    <s v="OP-20180916"/>
    <x v="3"/>
    <x v="8"/>
    <x v="4"/>
    <s v="OnePlus Buds"/>
    <n v="4990"/>
    <n v="1"/>
    <n v="0.05"/>
    <n v="249.5"/>
    <n v="4740.5"/>
    <n v="843.72"/>
    <s v="2018-12-13"/>
    <s v="2018-12-18"/>
    <s v="Individual"/>
    <x v="3"/>
    <x v="219"/>
    <x v="70"/>
  </r>
  <r>
    <s v="OP-20180917"/>
    <x v="1"/>
    <x v="15"/>
    <x v="4"/>
    <s v="OnePlus Bullets Wireless Z"/>
    <n v="1999"/>
    <n v="1"/>
    <n v="0.1"/>
    <n v="199.9"/>
    <n v="1799.1"/>
    <n v="445.88"/>
    <s v="2020-01-27"/>
    <s v="2020-02-02"/>
    <s v="Student"/>
    <x v="0"/>
    <x v="591"/>
    <x v="515"/>
  </r>
  <r>
    <s v="OP-20180918"/>
    <x v="0"/>
    <x v="0"/>
    <x v="3"/>
    <s v="OnePlus 6"/>
    <n v="34999"/>
    <n v="1"/>
    <n v="0.05"/>
    <n v="1749.95"/>
    <n v="33249.050000000003"/>
    <n v="6348.55"/>
    <s v="2020-08-07"/>
    <s v="2020-08-10"/>
    <s v="Corporate"/>
    <x v="3"/>
    <x v="542"/>
    <x v="543"/>
  </r>
  <r>
    <s v="OP-20180919"/>
    <x v="2"/>
    <x v="16"/>
    <x v="1"/>
    <s v="OnePlus TV 32Y1 HD Ready"/>
    <n v="12999"/>
    <n v="1"/>
    <n v="0.12"/>
    <n v="1559.88"/>
    <n v="11439.12"/>
    <n v="2868.38"/>
    <s v="2019-07-17"/>
    <s v="2019-07-20"/>
    <s v="Individual"/>
    <x v="5"/>
    <x v="630"/>
    <x v="612"/>
  </r>
  <r>
    <s v="OP-20180920"/>
    <x v="1"/>
    <x v="11"/>
    <x v="0"/>
    <s v="OnePlus Warp Charge 30 Wireless Charger"/>
    <n v="3990"/>
    <n v="1"/>
    <n v="0.05"/>
    <n v="199.5"/>
    <n v="3790.5"/>
    <n v="650.53"/>
    <s v="2018-11-21"/>
    <s v="2018-11-27"/>
    <s v="Individual"/>
    <x v="1"/>
    <x v="454"/>
    <x v="589"/>
  </r>
  <r>
    <s v="OP-20180921"/>
    <x v="1"/>
    <x v="15"/>
    <x v="2"/>
    <s v="OnePlus Nord N10"/>
    <n v="19999"/>
    <n v="1"/>
    <n v="0.05"/>
    <n v="999.95"/>
    <n v="18999.05"/>
    <n v="4441.2700000000004"/>
    <s v="2018-05-29"/>
    <s v="2018-05-31"/>
    <s v="Student"/>
    <x v="0"/>
    <x v="621"/>
    <x v="387"/>
  </r>
  <r>
    <s v="OP-20180922"/>
    <x v="0"/>
    <x v="2"/>
    <x v="3"/>
    <s v="OnePlus 7T"/>
    <n v="37999"/>
    <n v="1"/>
    <n v="0.05"/>
    <n v="1899.95"/>
    <n v="36099.050000000003"/>
    <n v="5644.09"/>
    <s v="2019-08-19"/>
    <s v="2019-08-22"/>
    <s v="Student"/>
    <x v="3"/>
    <x v="631"/>
    <x v="539"/>
  </r>
  <r>
    <s v="OP-20180923"/>
    <x v="2"/>
    <x v="7"/>
    <x v="3"/>
    <s v="OnePlus 8 Pro"/>
    <n v="54999"/>
    <n v="1"/>
    <n v="0.05"/>
    <n v="2749.95"/>
    <n v="52249.05"/>
    <n v="12349.87"/>
    <s v="2020-07-30"/>
    <s v="2020-08-04"/>
    <s v="Individual"/>
    <x v="4"/>
    <x v="632"/>
    <x v="484"/>
  </r>
  <r>
    <s v="OP-20180924"/>
    <x v="3"/>
    <x v="17"/>
    <x v="0"/>
    <s v="OnePlus Type-C Bullets Earphones"/>
    <n v="1490"/>
    <n v="1"/>
    <n v="0.05"/>
    <n v="74.5"/>
    <n v="1415.5"/>
    <n v="313.60000000000002"/>
    <s v="2018-08-22"/>
    <s v="2018-08-27"/>
    <s v="Corporate"/>
    <x v="2"/>
    <x v="186"/>
    <x v="68"/>
  </r>
  <r>
    <s v="OP-20180925"/>
    <x v="1"/>
    <x v="12"/>
    <x v="1"/>
    <s v="OnePlus TV 32Y1 HD Ready"/>
    <n v="12999"/>
    <n v="2"/>
    <n v="0.1"/>
    <n v="2599.8000000000002"/>
    <n v="23398.2"/>
    <n v="4097.7"/>
    <s v="2018-07-16"/>
    <s v="2018-07-22"/>
    <s v="Individual"/>
    <x v="0"/>
    <x v="380"/>
    <x v="613"/>
  </r>
  <r>
    <s v="OP-20180926"/>
    <x v="0"/>
    <x v="14"/>
    <x v="3"/>
    <s v="OnePlus 6T"/>
    <n v="37999"/>
    <n v="1"/>
    <n v="0.15"/>
    <n v="5699.85"/>
    <n v="32299.15"/>
    <n v="5560.67"/>
    <s v="2020-01-27"/>
    <s v="2020-01-30"/>
    <s v="Corporate"/>
    <x v="0"/>
    <x v="591"/>
    <x v="482"/>
  </r>
  <r>
    <s v="OP-20180927"/>
    <x v="1"/>
    <x v="15"/>
    <x v="1"/>
    <s v="OnePlus TV Q1 55-inch"/>
    <n v="69900"/>
    <n v="1"/>
    <n v="0"/>
    <n v="0"/>
    <n v="69900"/>
    <n v="9942.41"/>
    <s v="2018-03-04"/>
    <s v="2018-03-07"/>
    <s v="Corporate"/>
    <x v="1"/>
    <x v="292"/>
    <x v="503"/>
  </r>
  <r>
    <s v="OP-20180928"/>
    <x v="2"/>
    <x v="7"/>
    <x v="3"/>
    <s v="OnePlus 7"/>
    <n v="32999"/>
    <n v="2"/>
    <n v="0.08"/>
    <n v="5279.84"/>
    <n v="60718.16"/>
    <n v="13276.29"/>
    <s v="2020-03-23"/>
    <s v="2020-03-27"/>
    <s v="Retail Partner"/>
    <x v="0"/>
    <x v="633"/>
    <x v="326"/>
  </r>
  <r>
    <s v="OP-20180929"/>
    <x v="0"/>
    <x v="2"/>
    <x v="3"/>
    <s v="OnePlus 7"/>
    <n v="32999"/>
    <n v="1"/>
    <n v="0.05"/>
    <n v="1649.95"/>
    <n v="31349.05"/>
    <n v="7220.85"/>
    <s v="2020-11-19"/>
    <s v="2020-11-22"/>
    <s v="Student"/>
    <x v="1"/>
    <x v="355"/>
    <x v="614"/>
  </r>
  <r>
    <s v="OP-20180930"/>
    <x v="2"/>
    <x v="7"/>
    <x v="2"/>
    <s v="OnePlus Nord"/>
    <n v="24999"/>
    <n v="1"/>
    <n v="0"/>
    <n v="0"/>
    <n v="24999"/>
    <n v="4608.74"/>
    <s v="2019-08-22"/>
    <s v="2019-08-28"/>
    <s v="Individual"/>
    <x v="3"/>
    <x v="348"/>
    <x v="205"/>
  </r>
  <r>
    <s v="OP-20180931"/>
    <x v="3"/>
    <x v="5"/>
    <x v="0"/>
    <s v="OnePlus Warp Charge 30 Power Adapter"/>
    <n v="1990"/>
    <n v="2"/>
    <n v="0"/>
    <n v="0"/>
    <n v="3980"/>
    <n v="960.54"/>
    <s v="2018-08-08"/>
    <s v="2018-08-10"/>
    <s v="Retail Partner"/>
    <x v="3"/>
    <x v="634"/>
    <x v="615"/>
  </r>
  <r>
    <s v="OP-20180932"/>
    <x v="2"/>
    <x v="19"/>
    <x v="3"/>
    <s v="OnePlus 8"/>
    <n v="41999"/>
    <n v="1"/>
    <n v="0.05"/>
    <n v="2099.9499999999998"/>
    <n v="39899.050000000003"/>
    <n v="6735.37"/>
    <s v="2019-02-21"/>
    <s v="2019-02-28"/>
    <s v="Individual"/>
    <x v="0"/>
    <x v="635"/>
    <x v="616"/>
  </r>
  <r>
    <s v="OP-20180933"/>
    <x v="2"/>
    <x v="7"/>
    <x v="1"/>
    <s v="OnePlus TV Q1 55-inch"/>
    <n v="69900"/>
    <n v="1"/>
    <n v="0.08"/>
    <n v="5592"/>
    <n v="64308"/>
    <n v="13666.17"/>
    <s v="2020-02-02"/>
    <s v="2020-02-08"/>
    <s v="Individual"/>
    <x v="1"/>
    <x v="119"/>
    <x v="538"/>
  </r>
  <r>
    <s v="OP-20180934"/>
    <x v="0"/>
    <x v="2"/>
    <x v="3"/>
    <s v="OnePlus 6T"/>
    <n v="37999"/>
    <n v="1"/>
    <n v="0.12"/>
    <n v="4559.88"/>
    <n v="33439.120000000003"/>
    <n v="7043.29"/>
    <s v="2018-09-07"/>
    <s v="2018-09-12"/>
    <s v="Corporate"/>
    <x v="3"/>
    <x v="636"/>
    <x v="617"/>
  </r>
  <r>
    <s v="OP-20180935"/>
    <x v="3"/>
    <x v="5"/>
    <x v="4"/>
    <s v="OnePlus Buds Z"/>
    <n v="2999"/>
    <n v="1"/>
    <n v="0.05"/>
    <n v="149.94999999999999"/>
    <n v="2849.05"/>
    <n v="562.62"/>
    <s v="2019-04-19"/>
    <s v="2019-04-22"/>
    <s v="Student"/>
    <x v="1"/>
    <x v="637"/>
    <x v="23"/>
  </r>
  <r>
    <s v="OP-20180936"/>
    <x v="0"/>
    <x v="3"/>
    <x v="1"/>
    <s v="OnePlus TV 32Y1 HD Ready"/>
    <n v="12999"/>
    <n v="1"/>
    <n v="0.08"/>
    <n v="1039.92"/>
    <n v="11959.08"/>
    <n v="2476.2600000000002"/>
    <s v="2020-02-22"/>
    <s v="2020-02-25"/>
    <s v="Student"/>
    <x v="4"/>
    <x v="562"/>
    <x v="555"/>
  </r>
  <r>
    <s v="OP-20180937"/>
    <x v="1"/>
    <x v="11"/>
    <x v="3"/>
    <s v="OnePlus 6T"/>
    <n v="37999"/>
    <n v="1"/>
    <n v="0"/>
    <n v="0"/>
    <n v="37999"/>
    <n v="7598.46"/>
    <s v="2019-10-30"/>
    <s v="2019-11-03"/>
    <s v="Individual"/>
    <x v="0"/>
    <x v="541"/>
    <x v="618"/>
  </r>
  <r>
    <s v="OP-20180938"/>
    <x v="2"/>
    <x v="7"/>
    <x v="0"/>
    <s v="OnePlus Warp Charge 30 Wireless Charger"/>
    <n v="3990"/>
    <n v="2"/>
    <n v="0.05"/>
    <n v="399"/>
    <n v="7581"/>
    <n v="1593.97"/>
    <s v="2020-09-08"/>
    <s v="2020-09-14"/>
    <s v="Individual"/>
    <x v="1"/>
    <x v="103"/>
    <x v="619"/>
  </r>
  <r>
    <s v="OP-20180939"/>
    <x v="1"/>
    <x v="12"/>
    <x v="4"/>
    <s v="OnePlus Bullets Wireless Z"/>
    <n v="1999"/>
    <n v="1"/>
    <n v="0.05"/>
    <n v="99.95"/>
    <n v="1899.05"/>
    <n v="267.22000000000003"/>
    <s v="2019-03-31"/>
    <s v="2019-04-05"/>
    <s v="Student"/>
    <x v="1"/>
    <x v="615"/>
    <x v="620"/>
  </r>
  <r>
    <s v="OP-20180940"/>
    <x v="0"/>
    <x v="2"/>
    <x v="2"/>
    <s v="OnePlus Nord N10"/>
    <n v="19999"/>
    <n v="2"/>
    <n v="0.1"/>
    <n v="3999.8"/>
    <n v="35998.199999999997"/>
    <n v="7839.6"/>
    <s v="2018-04-18"/>
    <s v="2018-04-24"/>
    <s v="Student"/>
    <x v="5"/>
    <x v="638"/>
    <x v="621"/>
  </r>
  <r>
    <s v="OP-20180941"/>
    <x v="2"/>
    <x v="7"/>
    <x v="3"/>
    <s v="OnePlus 8 Pro"/>
    <n v="54999"/>
    <n v="2"/>
    <n v="0.05"/>
    <n v="5499.9"/>
    <n v="104498.1"/>
    <n v="23623.5"/>
    <s v="2019-07-14"/>
    <s v="2019-07-20"/>
    <s v="Corporate"/>
    <x v="2"/>
    <x v="639"/>
    <x v="612"/>
  </r>
  <r>
    <s v="OP-20180942"/>
    <x v="1"/>
    <x v="11"/>
    <x v="3"/>
    <s v="OnePlus 7T"/>
    <n v="37999"/>
    <n v="3"/>
    <n v="0.1"/>
    <n v="11399.7"/>
    <n v="102597.3"/>
    <n v="22769.14"/>
    <s v="2020-06-16"/>
    <s v="2020-06-21"/>
    <s v="Individual"/>
    <x v="5"/>
    <x v="587"/>
    <x v="622"/>
  </r>
  <r>
    <s v="OP-20180943"/>
    <x v="2"/>
    <x v="16"/>
    <x v="0"/>
    <s v="OnePlus Type-C Bullets Earphones"/>
    <n v="1490"/>
    <n v="1"/>
    <n v="0.05"/>
    <n v="74.5"/>
    <n v="1415.5"/>
    <n v="246.43"/>
    <s v="2018-01-13"/>
    <s v="2018-01-17"/>
    <s v="Corporate"/>
    <x v="0"/>
    <x v="417"/>
    <x v="610"/>
  </r>
  <r>
    <s v="OP-20180944"/>
    <x v="0"/>
    <x v="2"/>
    <x v="3"/>
    <s v="OnePlus 8"/>
    <n v="41999"/>
    <n v="1"/>
    <n v="0.05"/>
    <n v="2099.9499999999998"/>
    <n v="39899.050000000003"/>
    <n v="6164.15"/>
    <s v="2020-11-02"/>
    <s v="2020-11-08"/>
    <s v="Individual"/>
    <x v="0"/>
    <x v="566"/>
    <x v="623"/>
  </r>
  <r>
    <s v="OP-20180945"/>
    <x v="0"/>
    <x v="13"/>
    <x v="1"/>
    <s v="OnePlus TV Q1 55-inch"/>
    <n v="69900"/>
    <n v="1"/>
    <n v="0.08"/>
    <n v="5592"/>
    <n v="64308"/>
    <n v="14873.11"/>
    <s v="2018-11-21"/>
    <s v="2018-11-25"/>
    <s v="Retail Partner"/>
    <x v="3"/>
    <x v="454"/>
    <x v="72"/>
  </r>
  <r>
    <s v="OP-20180946"/>
    <x v="2"/>
    <x v="16"/>
    <x v="4"/>
    <s v="OnePlus Buds Z"/>
    <n v="2999"/>
    <n v="3"/>
    <n v="0.05"/>
    <n v="449.85"/>
    <n v="8547.15"/>
    <n v="1415.44"/>
    <s v="2019-09-24"/>
    <s v="2019-09-26"/>
    <s v="Individual"/>
    <x v="3"/>
    <x v="640"/>
    <x v="624"/>
  </r>
  <r>
    <s v="OP-20180947"/>
    <x v="1"/>
    <x v="11"/>
    <x v="1"/>
    <s v="OnePlus TV 43Y1 Full HD"/>
    <n v="22999"/>
    <n v="1"/>
    <n v="0.1"/>
    <n v="2299.9"/>
    <n v="20699.099999999999"/>
    <n v="4865.0200000000004"/>
    <s v="2019-08-12"/>
    <s v="2019-08-18"/>
    <s v="Individual"/>
    <x v="0"/>
    <x v="585"/>
    <x v="202"/>
  </r>
  <r>
    <s v="OP-20180948"/>
    <x v="1"/>
    <x v="1"/>
    <x v="4"/>
    <s v="OnePlus Bullets Wireless Z"/>
    <n v="1999"/>
    <n v="1"/>
    <n v="0.08"/>
    <n v="159.91999999999999"/>
    <n v="1839.08"/>
    <n v="332.32"/>
    <s v="2019-08-08"/>
    <s v="2019-08-15"/>
    <s v="Corporate"/>
    <x v="0"/>
    <x v="641"/>
    <x v="428"/>
  </r>
  <r>
    <s v="OP-20180949"/>
    <x v="1"/>
    <x v="11"/>
    <x v="1"/>
    <s v="OnePlus TV 43Y1 Full HD"/>
    <n v="22999"/>
    <n v="1"/>
    <n v="0.08"/>
    <n v="1839.92"/>
    <n v="21159.08"/>
    <n v="4400.5200000000004"/>
    <s v="2020-03-01"/>
    <s v="2020-03-07"/>
    <s v="Individual"/>
    <x v="0"/>
    <x v="642"/>
    <x v="54"/>
  </r>
  <r>
    <s v="OP-20180950"/>
    <x v="1"/>
    <x v="15"/>
    <x v="3"/>
    <s v="OnePlus 7T"/>
    <n v="37999"/>
    <n v="4"/>
    <n v="0.05"/>
    <n v="7599.8"/>
    <n v="144396.20000000001"/>
    <n v="31089.47"/>
    <s v="2018-06-29"/>
    <s v="2018-07-04"/>
    <s v="Individual"/>
    <x v="0"/>
    <x v="643"/>
    <x v="190"/>
  </r>
  <r>
    <s v="OP-20180951"/>
    <x v="0"/>
    <x v="2"/>
    <x v="1"/>
    <s v="OnePlus TV Q1 55-inch"/>
    <n v="69900"/>
    <n v="1"/>
    <n v="0.05"/>
    <n v="3495"/>
    <n v="66405"/>
    <n v="10467.36"/>
    <s v="2019-01-09"/>
    <s v="2019-01-16"/>
    <s v="Corporate"/>
    <x v="0"/>
    <x v="644"/>
    <x v="625"/>
  </r>
  <r>
    <s v="OP-20180952"/>
    <x v="1"/>
    <x v="12"/>
    <x v="3"/>
    <s v="OnePlus 8 Pro"/>
    <n v="54999"/>
    <n v="1"/>
    <n v="0.08"/>
    <n v="4399.92"/>
    <n v="50599.08"/>
    <n v="10759.45"/>
    <s v="2019-08-06"/>
    <s v="2019-08-10"/>
    <s v="Individual"/>
    <x v="3"/>
    <x v="645"/>
    <x v="626"/>
  </r>
  <r>
    <s v="OP-20180953"/>
    <x v="0"/>
    <x v="14"/>
    <x v="1"/>
    <s v="OnePlus TV 32Y1 HD Ready"/>
    <n v="12999"/>
    <n v="2"/>
    <n v="0.05"/>
    <n v="1299.9000000000001"/>
    <n v="24698.1"/>
    <n v="4819.88"/>
    <s v="2019-06-20"/>
    <s v="2019-06-27"/>
    <s v="Individual"/>
    <x v="4"/>
    <x v="471"/>
    <x v="627"/>
  </r>
  <r>
    <s v="OP-20180954"/>
    <x v="2"/>
    <x v="4"/>
    <x v="0"/>
    <s v="OnePlus Warp Charge 30 Wireless Charger"/>
    <n v="3990"/>
    <n v="2"/>
    <n v="0.05"/>
    <n v="399"/>
    <n v="7581"/>
    <n v="1417.45"/>
    <s v="2020-06-14"/>
    <s v="2020-06-18"/>
    <s v="Individual"/>
    <x v="3"/>
    <x v="646"/>
    <x v="435"/>
  </r>
  <r>
    <s v="OP-20180955"/>
    <x v="0"/>
    <x v="0"/>
    <x v="3"/>
    <s v="OnePlus 8"/>
    <n v="41999"/>
    <n v="1"/>
    <n v="0.05"/>
    <n v="2099.9499999999998"/>
    <n v="39899.050000000003"/>
    <n v="9407.91"/>
    <s v="2018-09-02"/>
    <s v="2018-09-04"/>
    <s v="Individual"/>
    <x v="0"/>
    <x v="277"/>
    <x v="628"/>
  </r>
  <r>
    <s v="OP-20180956"/>
    <x v="0"/>
    <x v="0"/>
    <x v="3"/>
    <s v="OnePlus 6T"/>
    <n v="37999"/>
    <n v="1"/>
    <n v="0.08"/>
    <n v="3039.92"/>
    <n v="34959.08"/>
    <n v="8808.76"/>
    <s v="2020-02-25"/>
    <s v="2020-03-03"/>
    <s v="Individual"/>
    <x v="0"/>
    <x v="647"/>
    <x v="629"/>
  </r>
  <r>
    <s v="OP-20180957"/>
    <x v="3"/>
    <x v="8"/>
    <x v="0"/>
    <s v="OnePlus Type-C Bullets Earphones"/>
    <n v="1490"/>
    <n v="2"/>
    <n v="0.05"/>
    <n v="149"/>
    <n v="2831"/>
    <n v="438.58"/>
    <s v="2020-07-21"/>
    <s v="2020-07-25"/>
    <s v="Individual"/>
    <x v="0"/>
    <x v="648"/>
    <x v="630"/>
  </r>
  <r>
    <s v="OP-20180958"/>
    <x v="0"/>
    <x v="3"/>
    <x v="3"/>
    <s v="OnePlus 8 Pro"/>
    <n v="54999"/>
    <n v="2"/>
    <n v="0.1"/>
    <n v="10999.8"/>
    <n v="98998.2"/>
    <n v="22456.07"/>
    <s v="2019-08-20"/>
    <s v="2019-08-24"/>
    <s v="Individual"/>
    <x v="3"/>
    <x v="382"/>
    <x v="389"/>
  </r>
  <r>
    <s v="OP-20180959"/>
    <x v="2"/>
    <x v="19"/>
    <x v="4"/>
    <s v="OnePlus Bullets Wireless Z"/>
    <n v="1999"/>
    <n v="2"/>
    <n v="0"/>
    <n v="0"/>
    <n v="3998"/>
    <n v="1003.33"/>
    <s v="2019-07-25"/>
    <s v="2019-07-29"/>
    <s v="Individual"/>
    <x v="0"/>
    <x v="649"/>
    <x v="43"/>
  </r>
  <r>
    <s v="OP-20180960"/>
    <x v="0"/>
    <x v="0"/>
    <x v="4"/>
    <s v="OnePlus Buds Z"/>
    <n v="2999"/>
    <n v="1"/>
    <n v="0.05"/>
    <n v="149.94999999999999"/>
    <n v="2849.05"/>
    <n v="410.55"/>
    <s v="2018-01-16"/>
    <s v="2018-01-21"/>
    <s v="Corporate"/>
    <x v="3"/>
    <x v="519"/>
    <x v="586"/>
  </r>
  <r>
    <s v="OP-20180961"/>
    <x v="2"/>
    <x v="9"/>
    <x v="3"/>
    <s v="OnePlus 7 Pro"/>
    <n v="48999"/>
    <n v="1"/>
    <n v="0"/>
    <n v="0"/>
    <n v="48999"/>
    <n v="11850.65"/>
    <s v="2018-08-19"/>
    <s v="2018-08-24"/>
    <s v="Individual"/>
    <x v="0"/>
    <x v="443"/>
    <x v="631"/>
  </r>
  <r>
    <s v="OP-20180962"/>
    <x v="0"/>
    <x v="0"/>
    <x v="4"/>
    <s v="OnePlus Bullets Wireless Z"/>
    <n v="1999"/>
    <n v="1"/>
    <n v="0.12"/>
    <n v="239.88"/>
    <n v="1759.12"/>
    <n v="411.04"/>
    <s v="2019-01-06"/>
    <s v="2019-01-10"/>
    <s v="Student"/>
    <x v="3"/>
    <x v="628"/>
    <x v="632"/>
  </r>
  <r>
    <s v="OP-20180963"/>
    <x v="1"/>
    <x v="15"/>
    <x v="0"/>
    <s v="OnePlus Protective Case / Bumper"/>
    <n v="1290"/>
    <n v="2"/>
    <n v="0.1"/>
    <n v="258"/>
    <n v="2322"/>
    <n v="568.17999999999995"/>
    <s v="2020-01-16"/>
    <s v="2020-01-23"/>
    <s v="Individual"/>
    <x v="1"/>
    <x v="650"/>
    <x v="633"/>
  </r>
  <r>
    <s v="OP-20180964"/>
    <x v="2"/>
    <x v="16"/>
    <x v="4"/>
    <s v="OnePlus Buds"/>
    <n v="4990"/>
    <n v="1"/>
    <n v="0.05"/>
    <n v="249.5"/>
    <n v="4740.5"/>
    <n v="685.4"/>
    <s v="2018-10-20"/>
    <s v="2018-10-22"/>
    <s v="Student"/>
    <x v="0"/>
    <x v="651"/>
    <x v="634"/>
  </r>
  <r>
    <s v="OP-20180965"/>
    <x v="0"/>
    <x v="2"/>
    <x v="4"/>
    <s v="OnePlus Bullets Wireless 2"/>
    <n v="5990"/>
    <n v="1"/>
    <n v="0"/>
    <n v="0"/>
    <n v="5990"/>
    <n v="961.75"/>
    <s v="2019-07-29"/>
    <s v="2019-08-05"/>
    <s v="Individual"/>
    <x v="3"/>
    <x v="30"/>
    <x v="30"/>
  </r>
  <r>
    <s v="OP-20180966"/>
    <x v="1"/>
    <x v="6"/>
    <x v="3"/>
    <s v="OnePlus 8 Pro"/>
    <n v="54999"/>
    <n v="1"/>
    <n v="0.05"/>
    <n v="2749.95"/>
    <n v="52249.05"/>
    <n v="10213.82"/>
    <s v="2019-04-28"/>
    <s v="2019-05-05"/>
    <s v="Retail Partner"/>
    <x v="0"/>
    <x v="166"/>
    <x v="635"/>
  </r>
  <r>
    <s v="OP-20180967"/>
    <x v="3"/>
    <x v="8"/>
    <x v="4"/>
    <s v="OnePlus Buds"/>
    <n v="4990"/>
    <n v="1"/>
    <n v="0.08"/>
    <n v="399.2"/>
    <n v="4590.8"/>
    <n v="793.96"/>
    <s v="2020-05-10"/>
    <s v="2020-05-13"/>
    <s v="Individual"/>
    <x v="0"/>
    <x v="652"/>
    <x v="636"/>
  </r>
  <r>
    <s v="OP-20180968"/>
    <x v="0"/>
    <x v="13"/>
    <x v="3"/>
    <s v="OnePlus 7T"/>
    <n v="37999"/>
    <n v="1"/>
    <n v="0.05"/>
    <n v="1899.95"/>
    <n v="36099.050000000003"/>
    <n v="8454.2099999999991"/>
    <s v="2020-01-05"/>
    <s v="2020-01-09"/>
    <s v="Individual"/>
    <x v="0"/>
    <x v="42"/>
    <x v="491"/>
  </r>
  <r>
    <s v="OP-20180969"/>
    <x v="0"/>
    <x v="0"/>
    <x v="0"/>
    <s v="OnePlus Type-C Bullets Earphones"/>
    <n v="1490"/>
    <n v="1"/>
    <n v="0.08"/>
    <n v="119.2"/>
    <n v="1370.8"/>
    <n v="285.89999999999998"/>
    <s v="2020-05-24"/>
    <s v="2020-05-26"/>
    <s v="Corporate"/>
    <x v="3"/>
    <x v="335"/>
    <x v="637"/>
  </r>
  <r>
    <s v="OP-20180970"/>
    <x v="0"/>
    <x v="0"/>
    <x v="1"/>
    <s v="OnePlus TV 43Y1 Full HD"/>
    <n v="22999"/>
    <n v="1"/>
    <n v="0.08"/>
    <n v="1839.92"/>
    <n v="21159.08"/>
    <n v="4601"/>
    <s v="2018-06-22"/>
    <s v="2018-06-26"/>
    <s v="Corporate"/>
    <x v="3"/>
    <x v="398"/>
    <x v="638"/>
  </r>
  <r>
    <s v="OP-20180971"/>
    <x v="0"/>
    <x v="14"/>
    <x v="4"/>
    <s v="OnePlus Buds Z"/>
    <n v="2999"/>
    <n v="3"/>
    <n v="0.08"/>
    <n v="719.76"/>
    <n v="8277.24"/>
    <n v="1667.95"/>
    <s v="2020-07-19"/>
    <s v="2020-07-21"/>
    <s v="Individual"/>
    <x v="3"/>
    <x v="653"/>
    <x v="327"/>
  </r>
  <r>
    <s v="OP-20180972"/>
    <x v="0"/>
    <x v="14"/>
    <x v="0"/>
    <s v="OnePlus Warp Charge 30 Wireless Charger"/>
    <n v="3990"/>
    <n v="1"/>
    <n v="0.12"/>
    <n v="478.8"/>
    <n v="3511.2"/>
    <n v="824.76"/>
    <s v="2019-02-01"/>
    <s v="2019-02-06"/>
    <s v="Retail Partner"/>
    <x v="4"/>
    <x v="473"/>
    <x v="544"/>
  </r>
  <r>
    <s v="OP-20180973"/>
    <x v="0"/>
    <x v="0"/>
    <x v="0"/>
    <s v="OnePlus Type-C Bullets Earphones"/>
    <n v="1490"/>
    <n v="1"/>
    <n v="0.08"/>
    <n v="119.2"/>
    <n v="1370.8"/>
    <n v="247.94"/>
    <s v="2019-05-12"/>
    <s v="2019-05-14"/>
    <s v="Individual"/>
    <x v="1"/>
    <x v="181"/>
    <x v="97"/>
  </r>
  <r>
    <s v="OP-20180974"/>
    <x v="0"/>
    <x v="2"/>
    <x v="1"/>
    <s v="OnePlus TV Q1 55-inch"/>
    <n v="69900"/>
    <n v="1"/>
    <n v="0.05"/>
    <n v="3495"/>
    <n v="66405"/>
    <n v="9888.34"/>
    <s v="2019-11-30"/>
    <s v="2019-12-07"/>
    <s v="Student"/>
    <x v="0"/>
    <x v="654"/>
    <x v="639"/>
  </r>
  <r>
    <s v="OP-20180975"/>
    <x v="2"/>
    <x v="7"/>
    <x v="1"/>
    <s v="OnePlus TV Q1 55-inch"/>
    <n v="69900"/>
    <n v="1"/>
    <n v="0.05"/>
    <n v="3495"/>
    <n v="66405"/>
    <n v="13421.56"/>
    <s v="2018-02-26"/>
    <s v="2018-03-01"/>
    <s v="Individual"/>
    <x v="0"/>
    <x v="432"/>
    <x v="605"/>
  </r>
  <r>
    <s v="OP-20180976"/>
    <x v="3"/>
    <x v="8"/>
    <x v="3"/>
    <s v="OnePlus 8"/>
    <n v="41999"/>
    <n v="1"/>
    <n v="0.08"/>
    <n v="3359.92"/>
    <n v="38639.08"/>
    <n v="7096.76"/>
    <s v="2020-01-19"/>
    <s v="2020-01-22"/>
    <s v="Individual"/>
    <x v="2"/>
    <x v="655"/>
    <x v="640"/>
  </r>
  <r>
    <s v="OP-20180977"/>
    <x v="2"/>
    <x v="4"/>
    <x v="3"/>
    <s v="OnePlus 6"/>
    <n v="34999"/>
    <n v="1"/>
    <n v="0.05"/>
    <n v="1749.95"/>
    <n v="33249.050000000003"/>
    <n v="8549.2800000000007"/>
    <s v="2018-06-21"/>
    <s v="2018-06-23"/>
    <s v="Individual"/>
    <x v="1"/>
    <x v="377"/>
    <x v="641"/>
  </r>
  <r>
    <s v="OP-20180978"/>
    <x v="0"/>
    <x v="14"/>
    <x v="3"/>
    <s v="OnePlus 6T"/>
    <n v="37999"/>
    <n v="4"/>
    <n v="0.05"/>
    <n v="7599.8"/>
    <n v="144396.20000000001"/>
    <n v="22149.119999999999"/>
    <s v="2019-07-20"/>
    <s v="2019-07-27"/>
    <s v="Retail Partner"/>
    <x v="0"/>
    <x v="400"/>
    <x v="408"/>
  </r>
  <r>
    <s v="OP-20180979"/>
    <x v="0"/>
    <x v="3"/>
    <x v="3"/>
    <s v="OnePlus 8"/>
    <n v="41999"/>
    <n v="4"/>
    <n v="0.1"/>
    <n v="16799.599999999999"/>
    <n v="151196.4"/>
    <n v="34626.99"/>
    <s v="2019-08-15"/>
    <s v="2019-08-22"/>
    <s v="Individual"/>
    <x v="1"/>
    <x v="601"/>
    <x v="539"/>
  </r>
  <r>
    <s v="OP-20180980"/>
    <x v="1"/>
    <x v="12"/>
    <x v="3"/>
    <s v="OnePlus 6T"/>
    <n v="37999"/>
    <n v="1"/>
    <n v="0.05"/>
    <n v="1899.95"/>
    <n v="36099.050000000003"/>
    <n v="5516.88"/>
    <s v="2019-10-26"/>
    <s v="2019-10-29"/>
    <s v="Corporate"/>
    <x v="3"/>
    <x v="656"/>
    <x v="166"/>
  </r>
  <r>
    <s v="OP-20180981"/>
    <x v="2"/>
    <x v="16"/>
    <x v="4"/>
    <s v="OnePlus Buds"/>
    <n v="4990"/>
    <n v="1"/>
    <n v="0.05"/>
    <n v="249.5"/>
    <n v="4740.5"/>
    <n v="851.84"/>
    <s v="2019-12-06"/>
    <s v="2019-12-09"/>
    <s v="Corporate"/>
    <x v="3"/>
    <x v="550"/>
    <x v="642"/>
  </r>
  <r>
    <s v="OP-20180982"/>
    <x v="3"/>
    <x v="5"/>
    <x v="1"/>
    <s v="OnePlus TV Q1 55-inch"/>
    <n v="69900"/>
    <n v="2"/>
    <n v="0.05"/>
    <n v="6990"/>
    <n v="132810"/>
    <n v="19725.330000000002"/>
    <s v="2020-04-01"/>
    <s v="2020-04-04"/>
    <s v="Corporate"/>
    <x v="1"/>
    <x v="188"/>
    <x v="643"/>
  </r>
  <r>
    <s v="OP-20180983"/>
    <x v="3"/>
    <x v="5"/>
    <x v="3"/>
    <s v="OnePlus 7 Pro"/>
    <n v="48999"/>
    <n v="2"/>
    <n v="0.05"/>
    <n v="4899.8999999999996"/>
    <n v="93098.1"/>
    <n v="14799.91"/>
    <s v="2019-05-29"/>
    <s v="2019-05-31"/>
    <s v="Corporate"/>
    <x v="1"/>
    <x v="91"/>
    <x v="94"/>
  </r>
  <r>
    <s v="OP-20180984"/>
    <x v="0"/>
    <x v="14"/>
    <x v="0"/>
    <s v="OnePlus Protective Case / Bumper"/>
    <n v="1290"/>
    <n v="1"/>
    <n v="0.05"/>
    <n v="64.5"/>
    <n v="1225.5"/>
    <n v="239.37"/>
    <s v="2018-11-17"/>
    <s v="2018-11-21"/>
    <s v="Individual"/>
    <x v="3"/>
    <x v="72"/>
    <x v="245"/>
  </r>
  <r>
    <s v="OP-20180985"/>
    <x v="3"/>
    <x v="5"/>
    <x v="0"/>
    <s v="OnePlus Warp Charge 30 Power Adapter"/>
    <n v="1990"/>
    <n v="3"/>
    <n v="0.05"/>
    <n v="298.5"/>
    <n v="5671.5"/>
    <n v="1241.45"/>
    <s v="2018-06-09"/>
    <s v="2018-06-11"/>
    <s v="Student"/>
    <x v="3"/>
    <x v="657"/>
    <x v="644"/>
  </r>
  <r>
    <s v="OP-20180986"/>
    <x v="0"/>
    <x v="13"/>
    <x v="1"/>
    <s v="OnePlus TV 43Y1 Full HD"/>
    <n v="22999"/>
    <n v="1"/>
    <n v="0.05"/>
    <n v="1149.95"/>
    <n v="21849.05"/>
    <n v="4866.9399999999996"/>
    <s v="2019-03-06"/>
    <s v="2019-03-11"/>
    <s v="Individual"/>
    <x v="3"/>
    <x v="658"/>
    <x v="391"/>
  </r>
  <r>
    <s v="OP-20180987"/>
    <x v="2"/>
    <x v="4"/>
    <x v="0"/>
    <s v="OnePlus Warp Charge 30 Wireless Charger"/>
    <n v="3990"/>
    <n v="1"/>
    <n v="0.08"/>
    <n v="319.2"/>
    <n v="3670.8"/>
    <n v="692.27"/>
    <s v="2020-02-01"/>
    <s v="2020-02-04"/>
    <s v="Retail Partner"/>
    <x v="1"/>
    <x v="234"/>
    <x v="108"/>
  </r>
  <r>
    <s v="OP-20180988"/>
    <x v="2"/>
    <x v="7"/>
    <x v="3"/>
    <s v="OnePlus 8 Pro"/>
    <n v="54999"/>
    <n v="1"/>
    <n v="0.05"/>
    <n v="2749.95"/>
    <n v="52249.05"/>
    <n v="9880.48"/>
    <s v="2020-04-13"/>
    <s v="2020-04-15"/>
    <s v="Individual"/>
    <x v="3"/>
    <x v="490"/>
    <x v="645"/>
  </r>
  <r>
    <s v="OP-20180989"/>
    <x v="2"/>
    <x v="9"/>
    <x v="4"/>
    <s v="OnePlus Buds"/>
    <n v="4990"/>
    <n v="1"/>
    <n v="0.08"/>
    <n v="399.2"/>
    <n v="4590.8"/>
    <n v="758.65"/>
    <s v="2018-08-05"/>
    <s v="2018-08-07"/>
    <s v="Individual"/>
    <x v="3"/>
    <x v="659"/>
    <x v="646"/>
  </r>
  <r>
    <s v="OP-20180990"/>
    <x v="1"/>
    <x v="1"/>
    <x v="4"/>
    <s v="OnePlus Buds Z"/>
    <n v="2999"/>
    <n v="1"/>
    <n v="0.12"/>
    <n v="359.88"/>
    <n v="2639.12"/>
    <n v="629.30999999999995"/>
    <s v="2019-01-14"/>
    <s v="2019-01-18"/>
    <s v="Individual"/>
    <x v="0"/>
    <x v="660"/>
    <x v="537"/>
  </r>
  <r>
    <s v="OP-20180991"/>
    <x v="1"/>
    <x v="6"/>
    <x v="4"/>
    <s v="OnePlus Bullets Wireless 2"/>
    <n v="5990"/>
    <n v="2"/>
    <n v="0.08"/>
    <n v="958.4"/>
    <n v="11021.6"/>
    <n v="2265.23"/>
    <s v="2020-06-29"/>
    <s v="2020-07-03"/>
    <s v="Retail Partner"/>
    <x v="0"/>
    <x v="661"/>
    <x v="244"/>
  </r>
  <r>
    <s v="OP-20180992"/>
    <x v="1"/>
    <x v="12"/>
    <x v="2"/>
    <s v="OnePlus Nord"/>
    <n v="24999"/>
    <n v="1"/>
    <n v="0.08"/>
    <n v="1999.92"/>
    <n v="22999.08"/>
    <n v="5157.58"/>
    <s v="2018-04-30"/>
    <s v="2018-05-04"/>
    <s v="Individual"/>
    <x v="0"/>
    <x v="321"/>
    <x v="453"/>
  </r>
  <r>
    <s v="OP-20180993"/>
    <x v="3"/>
    <x v="5"/>
    <x v="3"/>
    <s v="OnePlus 7 Pro"/>
    <n v="48999"/>
    <n v="1"/>
    <n v="0.1"/>
    <n v="4899.8999999999996"/>
    <n v="44099.1"/>
    <n v="8719.17"/>
    <s v="2018-05-14"/>
    <s v="2018-05-18"/>
    <s v="Student"/>
    <x v="1"/>
    <x v="164"/>
    <x v="139"/>
  </r>
  <r>
    <s v="OP-20180994"/>
    <x v="1"/>
    <x v="12"/>
    <x v="2"/>
    <s v="OnePlus Nord N10"/>
    <n v="19999"/>
    <n v="4"/>
    <n v="0.05"/>
    <n v="3999.8"/>
    <n v="75996.2"/>
    <n v="16104.75"/>
    <s v="2019-12-19"/>
    <s v="2019-12-23"/>
    <s v="Individual"/>
    <x v="0"/>
    <x v="266"/>
    <x v="378"/>
  </r>
  <r>
    <s v="OP-20180995"/>
    <x v="2"/>
    <x v="7"/>
    <x v="3"/>
    <s v="OnePlus 7"/>
    <n v="32999"/>
    <n v="1"/>
    <n v="0.12"/>
    <n v="3959.88"/>
    <n v="29039.119999999999"/>
    <n v="7348.03"/>
    <s v="2019-02-01"/>
    <s v="2019-02-05"/>
    <s v="Individual"/>
    <x v="3"/>
    <x v="473"/>
    <x v="647"/>
  </r>
  <r>
    <s v="OP-20180996"/>
    <x v="0"/>
    <x v="3"/>
    <x v="1"/>
    <s v="OnePlus TV Q1 55-inch"/>
    <n v="69900"/>
    <n v="1"/>
    <n v="0.1"/>
    <n v="6990"/>
    <n v="62910"/>
    <n v="13597.63"/>
    <s v="2019-05-05"/>
    <s v="2019-05-09"/>
    <s v="Individual"/>
    <x v="0"/>
    <x v="357"/>
    <x v="648"/>
  </r>
  <r>
    <s v="OP-20180997"/>
    <x v="2"/>
    <x v="7"/>
    <x v="1"/>
    <s v="OnePlus TV Q1 55-inch"/>
    <n v="69900"/>
    <n v="1"/>
    <n v="0.05"/>
    <n v="3495"/>
    <n v="66405"/>
    <n v="12869.56"/>
    <s v="2020-01-01"/>
    <s v="2020-01-03"/>
    <s v="Individual"/>
    <x v="0"/>
    <x v="551"/>
    <x v="550"/>
  </r>
  <r>
    <s v="OP-20180998"/>
    <x v="2"/>
    <x v="7"/>
    <x v="2"/>
    <s v="OnePlus Nord N10"/>
    <n v="19999"/>
    <n v="2"/>
    <n v="0"/>
    <n v="0"/>
    <n v="39998"/>
    <n v="8600.27"/>
    <s v="2020-05-13"/>
    <s v="2020-05-18"/>
    <s v="Individual"/>
    <x v="1"/>
    <x v="10"/>
    <x v="280"/>
  </r>
  <r>
    <s v="OP-20180999"/>
    <x v="1"/>
    <x v="1"/>
    <x v="0"/>
    <s v="OnePlus Warp Charge 30 Power Adapter"/>
    <n v="1990"/>
    <n v="2"/>
    <n v="0.05"/>
    <n v="199"/>
    <n v="3781"/>
    <n v="944.44"/>
    <s v="2020-08-13"/>
    <s v="2020-08-19"/>
    <s v="Individual"/>
    <x v="0"/>
    <x v="125"/>
    <x v="102"/>
  </r>
  <r>
    <s v="OP-20181000"/>
    <x v="0"/>
    <x v="14"/>
    <x v="0"/>
    <s v="OnePlus Warp Charge 30 Power Adapter"/>
    <n v="1990"/>
    <n v="1"/>
    <n v="0.1"/>
    <n v="199"/>
    <n v="1791"/>
    <n v="321.07"/>
    <s v="2018-12-26"/>
    <s v="2019-01-02"/>
    <s v="Individual"/>
    <x v="3"/>
    <x v="178"/>
    <x v="161"/>
  </r>
  <r>
    <s v="OP-20181001"/>
    <x v="0"/>
    <x v="13"/>
    <x v="0"/>
    <s v="OnePlus Warp Charge 30 Power Adapter"/>
    <n v="1990"/>
    <n v="1"/>
    <n v="0.1"/>
    <n v="199"/>
    <n v="1791"/>
    <n v="419.74"/>
    <s v="2018-11-21"/>
    <s v="2018-11-24"/>
    <s v="Individual"/>
    <x v="0"/>
    <x v="454"/>
    <x v="455"/>
  </r>
  <r>
    <s v="OP-20181002"/>
    <x v="0"/>
    <x v="0"/>
    <x v="2"/>
    <s v="OnePlus Nord"/>
    <n v="24999"/>
    <n v="5"/>
    <n v="0.08"/>
    <n v="9999.6"/>
    <n v="114995.4"/>
    <n v="19933.77"/>
    <s v="2019-04-29"/>
    <s v="2019-05-06"/>
    <s v="Student"/>
    <x v="2"/>
    <x v="662"/>
    <x v="206"/>
  </r>
  <r>
    <s v="OP-20181003"/>
    <x v="3"/>
    <x v="18"/>
    <x v="3"/>
    <s v="OnePlus 7 Pro"/>
    <n v="48999"/>
    <n v="2"/>
    <n v="0.08"/>
    <n v="7839.84"/>
    <n v="90158.16"/>
    <n v="17678.47"/>
    <s v="2020-01-10"/>
    <s v="2020-01-13"/>
    <s v="Individual"/>
    <x v="1"/>
    <x v="257"/>
    <x v="258"/>
  </r>
  <r>
    <s v="OP-20181004"/>
    <x v="0"/>
    <x v="0"/>
    <x v="0"/>
    <s v="OnePlus Warp Charge 30 Wireless Charger"/>
    <n v="3990"/>
    <n v="4"/>
    <n v="0.12"/>
    <n v="1915.2"/>
    <n v="14044.8"/>
    <n v="3442.18"/>
    <s v="2018-03-08"/>
    <s v="2018-03-13"/>
    <s v="Individual"/>
    <x v="0"/>
    <x v="470"/>
    <x v="649"/>
  </r>
  <r>
    <s v="OP-20181005"/>
    <x v="0"/>
    <x v="3"/>
    <x v="3"/>
    <s v="OnePlus 8 Pro"/>
    <n v="54999"/>
    <n v="1"/>
    <n v="0"/>
    <n v="0"/>
    <n v="54999"/>
    <n v="12752.76"/>
    <s v="2018-11-18"/>
    <s v="2018-11-23"/>
    <s v="Student"/>
    <x v="1"/>
    <x v="243"/>
    <x v="74"/>
  </r>
  <r>
    <s v="OP-20181006"/>
    <x v="1"/>
    <x v="6"/>
    <x v="3"/>
    <s v="OnePlus 7T Pro"/>
    <n v="53999"/>
    <n v="2"/>
    <n v="0.08"/>
    <n v="8639.84"/>
    <n v="99358.16"/>
    <n v="24690.799999999999"/>
    <s v="2020-07-08"/>
    <s v="2020-07-14"/>
    <s v="Individual"/>
    <x v="3"/>
    <x v="307"/>
    <x v="368"/>
  </r>
  <r>
    <s v="OP-20181007"/>
    <x v="3"/>
    <x v="8"/>
    <x v="1"/>
    <s v="OnePlus TV 43Y1 Full HD"/>
    <n v="22999"/>
    <n v="1"/>
    <n v="0.1"/>
    <n v="2299.9"/>
    <n v="20699.099999999999"/>
    <n v="4428.51"/>
    <s v="2019-08-16"/>
    <s v="2019-08-23"/>
    <s v="Student"/>
    <x v="0"/>
    <x v="663"/>
    <x v="414"/>
  </r>
  <r>
    <s v="OP-20181008"/>
    <x v="3"/>
    <x v="18"/>
    <x v="4"/>
    <s v="OnePlus Bullets Wireless 2"/>
    <n v="5990"/>
    <n v="1"/>
    <n v="0"/>
    <n v="0"/>
    <n v="5990"/>
    <n v="1103.8800000000001"/>
    <s v="2018-08-09"/>
    <s v="2018-08-14"/>
    <s v="Retail Partner"/>
    <x v="0"/>
    <x v="516"/>
    <x v="650"/>
  </r>
  <r>
    <s v="OP-20181009"/>
    <x v="0"/>
    <x v="14"/>
    <x v="2"/>
    <s v="OnePlus Nord"/>
    <n v="24999"/>
    <n v="2"/>
    <n v="0"/>
    <n v="0"/>
    <n v="49998"/>
    <n v="12990.01"/>
    <s v="2019-09-04"/>
    <s v="2019-09-06"/>
    <s v="Individual"/>
    <x v="1"/>
    <x v="664"/>
    <x v="651"/>
  </r>
  <r>
    <s v="OP-20181010"/>
    <x v="0"/>
    <x v="3"/>
    <x v="3"/>
    <s v="OnePlus 8 Pro"/>
    <n v="54999"/>
    <n v="3"/>
    <n v="0"/>
    <n v="0"/>
    <n v="164997"/>
    <n v="24648.75"/>
    <s v="2019-03-18"/>
    <s v="2019-03-20"/>
    <s v="Student"/>
    <x v="0"/>
    <x v="421"/>
    <x v="512"/>
  </r>
  <r>
    <s v="OP-20181011"/>
    <x v="3"/>
    <x v="18"/>
    <x v="2"/>
    <s v="OnePlus Nord N10"/>
    <n v="19999"/>
    <n v="1"/>
    <n v="0.1"/>
    <n v="1999.9"/>
    <n v="17999.099999999999"/>
    <n v="3425.41"/>
    <s v="2020-02-03"/>
    <s v="2020-02-08"/>
    <s v="Individual"/>
    <x v="1"/>
    <x v="665"/>
    <x v="538"/>
  </r>
  <r>
    <s v="OP-20181012"/>
    <x v="2"/>
    <x v="4"/>
    <x v="0"/>
    <s v="OnePlus Warp Charge 30 Wireless Charger"/>
    <n v="3990"/>
    <n v="2"/>
    <n v="0.1"/>
    <n v="798"/>
    <n v="7182"/>
    <n v="1074.3"/>
    <s v="2019-06-04"/>
    <s v="2019-06-07"/>
    <s v="Individual"/>
    <x v="3"/>
    <x v="223"/>
    <x v="277"/>
  </r>
  <r>
    <s v="OP-20181013"/>
    <x v="3"/>
    <x v="8"/>
    <x v="3"/>
    <s v="OnePlus 7 Pro"/>
    <n v="48999"/>
    <n v="1"/>
    <n v="0"/>
    <n v="0"/>
    <n v="48999"/>
    <n v="12660.05"/>
    <s v="2020-09-12"/>
    <s v="2020-09-17"/>
    <s v="Student"/>
    <x v="2"/>
    <x v="666"/>
    <x v="652"/>
  </r>
  <r>
    <s v="OP-20181014"/>
    <x v="2"/>
    <x v="4"/>
    <x v="3"/>
    <s v="OnePlus 8"/>
    <n v="41999"/>
    <n v="1"/>
    <n v="0.08"/>
    <n v="3359.92"/>
    <n v="38639.08"/>
    <n v="8746.4699999999993"/>
    <s v="2019-11-28"/>
    <s v="2019-12-02"/>
    <s v="Individual"/>
    <x v="0"/>
    <x v="439"/>
    <x v="653"/>
  </r>
  <r>
    <s v="OP-20181015"/>
    <x v="2"/>
    <x v="16"/>
    <x v="3"/>
    <s v="OnePlus 7 Pro"/>
    <n v="48999"/>
    <n v="1"/>
    <n v="0"/>
    <n v="0"/>
    <n v="48999"/>
    <n v="10898.91"/>
    <s v="2020-02-10"/>
    <s v="2020-02-15"/>
    <s v="Individual"/>
    <x v="0"/>
    <x v="54"/>
    <x v="225"/>
  </r>
  <r>
    <s v="OP-20181016"/>
    <x v="1"/>
    <x v="12"/>
    <x v="1"/>
    <s v="OnePlus TV 32Y1 HD Ready"/>
    <n v="12999"/>
    <n v="1"/>
    <n v="0.08"/>
    <n v="1039.92"/>
    <n v="11959.08"/>
    <n v="1798.93"/>
    <s v="2018-11-06"/>
    <s v="2018-11-08"/>
    <s v="Individual"/>
    <x v="0"/>
    <x v="455"/>
    <x v="132"/>
  </r>
  <r>
    <s v="OP-20181017"/>
    <x v="0"/>
    <x v="0"/>
    <x v="4"/>
    <s v="OnePlus Buds"/>
    <n v="4990"/>
    <n v="1"/>
    <n v="0.05"/>
    <n v="249.5"/>
    <n v="4740.5"/>
    <n v="963.81"/>
    <s v="2020-03-23"/>
    <s v="2020-03-29"/>
    <s v="Individual"/>
    <x v="3"/>
    <x v="633"/>
    <x v="654"/>
  </r>
  <r>
    <s v="OP-20181018"/>
    <x v="0"/>
    <x v="0"/>
    <x v="1"/>
    <s v="OnePlus TV 32Y1 HD Ready"/>
    <n v="12999"/>
    <n v="1"/>
    <n v="0.08"/>
    <n v="1039.92"/>
    <n v="11959.08"/>
    <n v="1759.68"/>
    <s v="2019-01-24"/>
    <s v="2019-01-27"/>
    <s v="Retail Partner"/>
    <x v="1"/>
    <x v="667"/>
    <x v="655"/>
  </r>
  <r>
    <s v="OP-20181019"/>
    <x v="2"/>
    <x v="16"/>
    <x v="0"/>
    <s v="OnePlus Warp Charge 30 Wireless Charger"/>
    <n v="3990"/>
    <n v="1"/>
    <n v="0.08"/>
    <n v="319.2"/>
    <n v="3670.8"/>
    <n v="615.15"/>
    <s v="2020-03-26"/>
    <s v="2020-04-02"/>
    <s v="Individual"/>
    <x v="3"/>
    <x v="668"/>
    <x v="304"/>
  </r>
  <r>
    <s v="OP-20181020"/>
    <x v="1"/>
    <x v="11"/>
    <x v="4"/>
    <s v="OnePlus Buds"/>
    <n v="4990"/>
    <n v="1"/>
    <n v="0.15"/>
    <n v="748.5"/>
    <n v="4241.5"/>
    <n v="958.27"/>
    <s v="2018-06-30"/>
    <s v="2018-07-07"/>
    <s v="Individual"/>
    <x v="1"/>
    <x v="616"/>
    <x v="656"/>
  </r>
  <r>
    <s v="OP-20181021"/>
    <x v="2"/>
    <x v="7"/>
    <x v="2"/>
    <s v="OnePlus Nord N10"/>
    <n v="19999"/>
    <n v="1"/>
    <n v="0.1"/>
    <n v="1999.9"/>
    <n v="17999.099999999999"/>
    <n v="3952.2"/>
    <s v="2019-05-13"/>
    <s v="2019-05-16"/>
    <s v="Corporate"/>
    <x v="1"/>
    <x v="669"/>
    <x v="299"/>
  </r>
  <r>
    <s v="OP-20181022"/>
    <x v="0"/>
    <x v="13"/>
    <x v="3"/>
    <s v="OnePlus 7 Pro"/>
    <n v="48999"/>
    <n v="1"/>
    <n v="0.08"/>
    <n v="3919.92"/>
    <n v="45079.08"/>
    <n v="10214.43"/>
    <s v="2019-05-24"/>
    <s v="2019-05-30"/>
    <s v="Individual"/>
    <x v="1"/>
    <x v="4"/>
    <x v="172"/>
  </r>
  <r>
    <s v="OP-20181023"/>
    <x v="2"/>
    <x v="16"/>
    <x v="3"/>
    <s v="OnePlus 7T Pro"/>
    <n v="53999"/>
    <n v="1"/>
    <n v="0.08"/>
    <n v="4319.92"/>
    <n v="49679.08"/>
    <n v="9317.94"/>
    <s v="2020-12-24"/>
    <s v="2020-12-26"/>
    <s v="Individual"/>
    <x v="3"/>
    <x v="318"/>
    <x v="123"/>
  </r>
  <r>
    <s v="OP-20181024"/>
    <x v="2"/>
    <x v="9"/>
    <x v="2"/>
    <s v="OnePlus Nord N10"/>
    <n v="19999"/>
    <n v="1"/>
    <n v="0.1"/>
    <n v="1999.9"/>
    <n v="17999.099999999999"/>
    <n v="2749.62"/>
    <s v="2018-01-16"/>
    <s v="2018-01-22"/>
    <s v="Individual"/>
    <x v="1"/>
    <x v="519"/>
    <x v="523"/>
  </r>
  <r>
    <s v="OP-20181025"/>
    <x v="1"/>
    <x v="6"/>
    <x v="4"/>
    <s v="OnePlus Buds"/>
    <n v="4990"/>
    <n v="1"/>
    <n v="0.08"/>
    <n v="399.2"/>
    <n v="4590.8"/>
    <n v="898.48"/>
    <s v="2020-03-17"/>
    <s v="2020-03-24"/>
    <s v="Individual"/>
    <x v="4"/>
    <x v="303"/>
    <x v="429"/>
  </r>
  <r>
    <s v="OP-20181026"/>
    <x v="1"/>
    <x v="6"/>
    <x v="0"/>
    <s v="OnePlus Protective Case / Bumper"/>
    <n v="1290"/>
    <n v="4"/>
    <n v="0.15"/>
    <n v="774"/>
    <n v="4386"/>
    <n v="901.12"/>
    <s v="2020-05-27"/>
    <s v="2020-06-03"/>
    <s v="Individual"/>
    <x v="0"/>
    <x v="670"/>
    <x v="513"/>
  </r>
  <r>
    <s v="OP-20181027"/>
    <x v="1"/>
    <x v="1"/>
    <x v="3"/>
    <s v="OnePlus 7T"/>
    <n v="37999"/>
    <n v="1"/>
    <n v="0.12"/>
    <n v="4559.88"/>
    <n v="33439.120000000003"/>
    <n v="5251.01"/>
    <s v="2018-03-23"/>
    <s v="2018-03-25"/>
    <s v="Individual"/>
    <x v="0"/>
    <x v="115"/>
    <x v="657"/>
  </r>
  <r>
    <s v="OP-20181028"/>
    <x v="0"/>
    <x v="13"/>
    <x v="0"/>
    <s v="OnePlus Type-C Bullets Earphones"/>
    <n v="1490"/>
    <n v="1"/>
    <n v="0.05"/>
    <n v="74.5"/>
    <n v="1415.5"/>
    <n v="281.51"/>
    <s v="2019-07-13"/>
    <s v="2019-07-17"/>
    <s v="Individual"/>
    <x v="1"/>
    <x v="153"/>
    <x v="152"/>
  </r>
  <r>
    <s v="OP-20181029"/>
    <x v="0"/>
    <x v="14"/>
    <x v="3"/>
    <s v="OnePlus 6T"/>
    <n v="37999"/>
    <n v="5"/>
    <n v="0.12"/>
    <n v="22799.4"/>
    <n v="167195.6"/>
    <n v="24977.84"/>
    <s v="2019-05-08"/>
    <s v="2019-05-14"/>
    <s v="Student"/>
    <x v="1"/>
    <x v="329"/>
    <x v="97"/>
  </r>
  <r>
    <s v="OP-20181030"/>
    <x v="0"/>
    <x v="2"/>
    <x v="4"/>
    <s v="OnePlus Buds Z"/>
    <n v="2999"/>
    <n v="2"/>
    <n v="0"/>
    <n v="0"/>
    <n v="5998"/>
    <n v="1266.6500000000001"/>
    <s v="2020-09-05"/>
    <s v="2020-09-10"/>
    <s v="Individual"/>
    <x v="0"/>
    <x v="320"/>
    <x v="107"/>
  </r>
  <r>
    <s v="OP-20181031"/>
    <x v="0"/>
    <x v="13"/>
    <x v="3"/>
    <s v="OnePlus 7T"/>
    <n v="37999"/>
    <n v="1"/>
    <n v="0"/>
    <n v="0"/>
    <n v="37999"/>
    <n v="7464.14"/>
    <s v="2019-06-15"/>
    <s v="2019-06-17"/>
    <s v="Retail Partner"/>
    <x v="3"/>
    <x v="359"/>
    <x v="658"/>
  </r>
  <r>
    <s v="OP-20181032"/>
    <x v="2"/>
    <x v="4"/>
    <x v="3"/>
    <s v="OnePlus 7T"/>
    <n v="37999"/>
    <n v="3"/>
    <n v="0"/>
    <n v="0"/>
    <n v="113997"/>
    <n v="22864.44"/>
    <s v="2018-05-13"/>
    <s v="2018-05-16"/>
    <s v="Individual"/>
    <x v="2"/>
    <x v="139"/>
    <x v="460"/>
  </r>
  <r>
    <s v="OP-20181033"/>
    <x v="1"/>
    <x v="11"/>
    <x v="1"/>
    <s v="OnePlus TV 32Y1 HD Ready"/>
    <n v="12999"/>
    <n v="2"/>
    <n v="0.08"/>
    <n v="2079.84"/>
    <n v="23918.16"/>
    <n v="3379.23"/>
    <s v="2019-02-14"/>
    <s v="2019-02-17"/>
    <s v="Student"/>
    <x v="1"/>
    <x v="671"/>
    <x v="500"/>
  </r>
  <r>
    <s v="OP-20181034"/>
    <x v="0"/>
    <x v="2"/>
    <x v="4"/>
    <s v="OnePlus Bullets Wireless 2"/>
    <n v="5990"/>
    <n v="1"/>
    <n v="0"/>
    <n v="0"/>
    <n v="5990"/>
    <n v="1332.68"/>
    <s v="2018-05-26"/>
    <s v="2018-05-28"/>
    <s v="Individual"/>
    <x v="0"/>
    <x v="672"/>
    <x v="546"/>
  </r>
  <r>
    <s v="OP-20181035"/>
    <x v="3"/>
    <x v="17"/>
    <x v="2"/>
    <s v="OnePlus Nord"/>
    <n v="24999"/>
    <n v="1"/>
    <n v="0"/>
    <n v="0"/>
    <n v="24999"/>
    <n v="4763.22"/>
    <s v="2018-01-27"/>
    <s v="2018-02-03"/>
    <s v="Individual"/>
    <x v="3"/>
    <x v="673"/>
    <x v="659"/>
  </r>
  <r>
    <s v="OP-20181036"/>
    <x v="2"/>
    <x v="4"/>
    <x v="3"/>
    <s v="OnePlus 8 Pro"/>
    <n v="54999"/>
    <n v="1"/>
    <n v="0.08"/>
    <n v="4399.92"/>
    <n v="50599.08"/>
    <n v="11381.93"/>
    <s v="2019-12-28"/>
    <s v="2020-01-04"/>
    <s v="Student"/>
    <x v="0"/>
    <x v="158"/>
    <x v="660"/>
  </r>
  <r>
    <s v="OP-20181037"/>
    <x v="1"/>
    <x v="1"/>
    <x v="4"/>
    <s v="OnePlus Buds"/>
    <n v="4990"/>
    <n v="3"/>
    <n v="0.05"/>
    <n v="748.5"/>
    <n v="14221.5"/>
    <n v="3335.69"/>
    <s v="2020-12-20"/>
    <s v="2020-12-22"/>
    <s v="Corporate"/>
    <x v="2"/>
    <x v="674"/>
    <x v="448"/>
  </r>
  <r>
    <s v="OP-20181038"/>
    <x v="0"/>
    <x v="13"/>
    <x v="3"/>
    <s v="OnePlus 8"/>
    <n v="41999"/>
    <n v="2"/>
    <n v="0.08"/>
    <n v="6719.84"/>
    <n v="77278.16"/>
    <n v="13102.7"/>
    <s v="2020-03-06"/>
    <s v="2020-03-10"/>
    <s v="Retail Partner"/>
    <x v="5"/>
    <x v="675"/>
    <x v="396"/>
  </r>
  <r>
    <s v="OP-20181039"/>
    <x v="2"/>
    <x v="4"/>
    <x v="3"/>
    <s v="OnePlus 8"/>
    <n v="41999"/>
    <n v="1"/>
    <n v="0.05"/>
    <n v="2099.9499999999998"/>
    <n v="39899.050000000003"/>
    <n v="7840.58"/>
    <s v="2019-06-09"/>
    <s v="2019-06-15"/>
    <s v="Individual"/>
    <x v="0"/>
    <x v="676"/>
    <x v="480"/>
  </r>
  <r>
    <s v="OP-20181040"/>
    <x v="0"/>
    <x v="2"/>
    <x v="3"/>
    <s v="OnePlus 7 Pro"/>
    <n v="48999"/>
    <n v="1"/>
    <n v="0"/>
    <n v="0"/>
    <n v="48999"/>
    <n v="10948.46"/>
    <s v="2020-09-01"/>
    <s v="2020-09-04"/>
    <s v="Corporate"/>
    <x v="0"/>
    <x v="677"/>
    <x v="661"/>
  </r>
  <r>
    <s v="OP-20181041"/>
    <x v="1"/>
    <x v="1"/>
    <x v="3"/>
    <s v="OnePlus 7T Pro"/>
    <n v="53999"/>
    <n v="1"/>
    <n v="0.05"/>
    <n v="2699.95"/>
    <n v="51299.05"/>
    <n v="7315"/>
    <s v="2018-10-07"/>
    <s v="2018-10-09"/>
    <s v="Corporate"/>
    <x v="0"/>
    <x v="678"/>
    <x v="241"/>
  </r>
  <r>
    <s v="OP-20181042"/>
    <x v="0"/>
    <x v="13"/>
    <x v="1"/>
    <s v="OnePlus TV 32Y1 HD Ready"/>
    <n v="12999"/>
    <n v="1"/>
    <n v="0.1"/>
    <n v="1299.9000000000001"/>
    <n v="11699.1"/>
    <n v="3023.75"/>
    <s v="2018-08-09"/>
    <s v="2018-08-15"/>
    <s v="Individual"/>
    <x v="1"/>
    <x v="516"/>
    <x v="590"/>
  </r>
  <r>
    <s v="OP-20181043"/>
    <x v="3"/>
    <x v="10"/>
    <x v="0"/>
    <s v="OnePlus Warp Charge 30 Power Adapter"/>
    <n v="1990"/>
    <n v="1"/>
    <n v="0.08"/>
    <n v="159.19999999999999"/>
    <n v="1830.8"/>
    <n v="463.91"/>
    <s v="2020-02-03"/>
    <s v="2020-02-06"/>
    <s v="Retail Partner"/>
    <x v="0"/>
    <x v="665"/>
    <x v="120"/>
  </r>
  <r>
    <s v="OP-20181044"/>
    <x v="0"/>
    <x v="14"/>
    <x v="3"/>
    <s v="OnePlus 7"/>
    <n v="32999"/>
    <n v="1"/>
    <n v="0.05"/>
    <n v="1649.95"/>
    <n v="31349.05"/>
    <n v="7189.98"/>
    <s v="2018-02-13"/>
    <s v="2018-02-17"/>
    <s v="Individual"/>
    <x v="1"/>
    <x v="679"/>
    <x v="98"/>
  </r>
  <r>
    <s v="OP-20181045"/>
    <x v="0"/>
    <x v="0"/>
    <x v="1"/>
    <s v="OnePlus TV Q1 55-inch"/>
    <n v="69900"/>
    <n v="1"/>
    <n v="0"/>
    <n v="0"/>
    <n v="69900"/>
    <n v="13125.68"/>
    <s v="2019-09-12"/>
    <s v="2019-09-19"/>
    <s v="Individual"/>
    <x v="1"/>
    <x v="580"/>
    <x v="554"/>
  </r>
  <r>
    <s v="OP-20181046"/>
    <x v="0"/>
    <x v="0"/>
    <x v="0"/>
    <s v="OnePlus Type-C Bullets Earphones"/>
    <n v="1490"/>
    <n v="1"/>
    <n v="0.12"/>
    <n v="178.8"/>
    <n v="1311.2"/>
    <n v="186.82"/>
    <s v="2020-10-23"/>
    <s v="2020-10-26"/>
    <s v="Individual"/>
    <x v="1"/>
    <x v="64"/>
    <x v="473"/>
  </r>
  <r>
    <s v="OP-20181047"/>
    <x v="1"/>
    <x v="12"/>
    <x v="0"/>
    <s v="OnePlus Type-C Bullets Earphones"/>
    <n v="1490"/>
    <n v="1"/>
    <n v="0.08"/>
    <n v="119.2"/>
    <n v="1370.8"/>
    <n v="244.4"/>
    <s v="2019-12-26"/>
    <s v="2019-12-29"/>
    <s v="Individual"/>
    <x v="0"/>
    <x v="74"/>
    <x v="247"/>
  </r>
  <r>
    <s v="OP-20181048"/>
    <x v="2"/>
    <x v="7"/>
    <x v="3"/>
    <s v="OnePlus 6"/>
    <n v="34999"/>
    <n v="2"/>
    <n v="0.1"/>
    <n v="6999.8"/>
    <n v="62998.2"/>
    <n v="10445.14"/>
    <s v="2020-12-11"/>
    <s v="2020-12-15"/>
    <s v="Student"/>
    <x v="1"/>
    <x v="553"/>
    <x v="662"/>
  </r>
  <r>
    <s v="OP-20181049"/>
    <x v="3"/>
    <x v="5"/>
    <x v="0"/>
    <s v="OnePlus Type-C Bullets Earphones"/>
    <n v="1490"/>
    <n v="3"/>
    <n v="0.05"/>
    <n v="223.5"/>
    <n v="4246.5"/>
    <n v="666.31"/>
    <s v="2019-10-11"/>
    <s v="2019-10-13"/>
    <s v="Individual"/>
    <x v="0"/>
    <x v="390"/>
    <x v="663"/>
  </r>
  <r>
    <s v="OP-20181050"/>
    <x v="0"/>
    <x v="0"/>
    <x v="3"/>
    <s v="OnePlus 7T Pro"/>
    <n v="53999"/>
    <n v="1"/>
    <n v="0.05"/>
    <n v="2699.95"/>
    <n v="51299.05"/>
    <n v="8226.5499999999993"/>
    <s v="2019-01-30"/>
    <s v="2019-02-04"/>
    <s v="Corporate"/>
    <x v="1"/>
    <x v="680"/>
    <x v="471"/>
  </r>
  <r>
    <s v="OP-20181051"/>
    <x v="2"/>
    <x v="19"/>
    <x v="3"/>
    <s v="OnePlus 8 Pro"/>
    <n v="54999"/>
    <n v="1"/>
    <n v="0.12"/>
    <n v="6599.88"/>
    <n v="48399.12"/>
    <n v="11544.34"/>
    <s v="2020-02-13"/>
    <s v="2020-02-18"/>
    <s v="Individual"/>
    <x v="0"/>
    <x v="681"/>
    <x v="664"/>
  </r>
  <r>
    <s v="OP-20181052"/>
    <x v="2"/>
    <x v="19"/>
    <x v="3"/>
    <s v="OnePlus 7T Pro"/>
    <n v="53999"/>
    <n v="1"/>
    <n v="0.08"/>
    <n v="4319.92"/>
    <n v="49679.08"/>
    <n v="9995.7900000000009"/>
    <s v="2018-11-25"/>
    <s v="2018-11-29"/>
    <s v="Individual"/>
    <x v="0"/>
    <x v="552"/>
    <x v="302"/>
  </r>
  <r>
    <s v="OP-20181053"/>
    <x v="1"/>
    <x v="11"/>
    <x v="1"/>
    <s v="OnePlus TV 32Y1 HD Ready"/>
    <n v="12999"/>
    <n v="1"/>
    <n v="0.08"/>
    <n v="1039.92"/>
    <n v="11959.08"/>
    <n v="2811.52"/>
    <s v="2019-05-26"/>
    <s v="2019-06-01"/>
    <s v="Retail Partner"/>
    <x v="2"/>
    <x v="468"/>
    <x v="312"/>
  </r>
  <r>
    <s v="OP-20181054"/>
    <x v="2"/>
    <x v="4"/>
    <x v="3"/>
    <s v="OnePlus 7"/>
    <n v="32999"/>
    <n v="2"/>
    <n v="0.08"/>
    <n v="5279.84"/>
    <n v="60718.16"/>
    <n v="15679.4"/>
    <s v="2019-04-03"/>
    <s v="2019-04-10"/>
    <s v="Retail Partner"/>
    <x v="0"/>
    <x v="682"/>
    <x v="138"/>
  </r>
  <r>
    <s v="OP-20181055"/>
    <x v="0"/>
    <x v="2"/>
    <x v="2"/>
    <s v="OnePlus Nord"/>
    <n v="24999"/>
    <n v="5"/>
    <n v="0.12"/>
    <n v="14999.4"/>
    <n v="109995.6"/>
    <n v="27075.27"/>
    <s v="2019-04-25"/>
    <s v="2019-05-02"/>
    <s v="Corporate"/>
    <x v="0"/>
    <x v="362"/>
    <x v="607"/>
  </r>
  <r>
    <s v="OP-20181056"/>
    <x v="0"/>
    <x v="2"/>
    <x v="4"/>
    <s v="OnePlus Bullets Wireless 2"/>
    <n v="5990"/>
    <n v="1"/>
    <n v="0"/>
    <n v="0"/>
    <n v="5990"/>
    <n v="1328.33"/>
    <s v="2018-11-23"/>
    <s v="2018-11-26"/>
    <s v="Individual"/>
    <x v="4"/>
    <x v="683"/>
    <x v="665"/>
  </r>
  <r>
    <s v="OP-20181057"/>
    <x v="0"/>
    <x v="3"/>
    <x v="3"/>
    <s v="OnePlus 7 Pro"/>
    <n v="48999"/>
    <n v="1"/>
    <n v="0.05"/>
    <n v="2449.9499999999998"/>
    <n v="46549.05"/>
    <n v="10402.64"/>
    <s v="2018-12-14"/>
    <s v="2018-12-17"/>
    <s v="Corporate"/>
    <x v="0"/>
    <x v="684"/>
    <x v="666"/>
  </r>
  <r>
    <s v="OP-20181058"/>
    <x v="1"/>
    <x v="12"/>
    <x v="0"/>
    <s v="OnePlus Type-C Bullets Earphones"/>
    <n v="1490"/>
    <n v="1"/>
    <n v="0.1"/>
    <n v="149"/>
    <n v="1341"/>
    <n v="281.81"/>
    <s v="2018-06-15"/>
    <s v="2018-06-20"/>
    <s v="Retail Partner"/>
    <x v="3"/>
    <x v="317"/>
    <x v="524"/>
  </r>
  <r>
    <s v="OP-20181059"/>
    <x v="0"/>
    <x v="14"/>
    <x v="3"/>
    <s v="OnePlus 6"/>
    <n v="34999"/>
    <n v="2"/>
    <n v="0"/>
    <n v="0"/>
    <n v="69998"/>
    <n v="10898.76"/>
    <s v="2018-08-05"/>
    <s v="2018-08-10"/>
    <s v="Individual"/>
    <x v="0"/>
    <x v="659"/>
    <x v="615"/>
  </r>
  <r>
    <s v="OP-20181060"/>
    <x v="1"/>
    <x v="6"/>
    <x v="3"/>
    <s v="OnePlus 7 Pro"/>
    <n v="48999"/>
    <n v="1"/>
    <n v="0.05"/>
    <n v="2449.9499999999998"/>
    <n v="46549.05"/>
    <n v="10211.27"/>
    <s v="2019-12-23"/>
    <s v="2019-12-27"/>
    <s v="Individual"/>
    <x v="5"/>
    <x v="685"/>
    <x v="65"/>
  </r>
  <r>
    <s v="OP-20181061"/>
    <x v="2"/>
    <x v="16"/>
    <x v="3"/>
    <s v="OnePlus 7"/>
    <n v="32999"/>
    <n v="1"/>
    <n v="0.05"/>
    <n v="1649.95"/>
    <n v="31349.05"/>
    <n v="6829"/>
    <s v="2018-12-15"/>
    <s v="2018-12-18"/>
    <s v="Student"/>
    <x v="1"/>
    <x v="686"/>
    <x v="70"/>
  </r>
  <r>
    <s v="OP-20181062"/>
    <x v="3"/>
    <x v="8"/>
    <x v="1"/>
    <s v="OnePlus TV 43Y1 Full HD"/>
    <n v="22999"/>
    <n v="1"/>
    <n v="0.05"/>
    <n v="1149.95"/>
    <n v="21849.05"/>
    <n v="4014.25"/>
    <s v="2020-06-16"/>
    <s v="2020-06-21"/>
    <s v="Individual"/>
    <x v="4"/>
    <x v="587"/>
    <x v="622"/>
  </r>
  <r>
    <s v="OP-20181063"/>
    <x v="1"/>
    <x v="6"/>
    <x v="3"/>
    <s v="OnePlus 6"/>
    <n v="34999"/>
    <n v="2"/>
    <n v="0.05"/>
    <n v="3499.9"/>
    <n v="66498.100000000006"/>
    <n v="10254.1"/>
    <s v="2018-12-02"/>
    <s v="2018-12-06"/>
    <s v="Corporate"/>
    <x v="1"/>
    <x v="189"/>
    <x v="667"/>
  </r>
  <r>
    <s v="OP-20181064"/>
    <x v="2"/>
    <x v="9"/>
    <x v="3"/>
    <s v="OnePlus 6"/>
    <n v="34999"/>
    <n v="2"/>
    <n v="0"/>
    <n v="0"/>
    <n v="69998"/>
    <n v="15032.54"/>
    <s v="2019-11-28"/>
    <s v="2019-12-01"/>
    <s v="Individual"/>
    <x v="4"/>
    <x v="439"/>
    <x v="668"/>
  </r>
  <r>
    <s v="OP-20181065"/>
    <x v="0"/>
    <x v="14"/>
    <x v="3"/>
    <s v="OnePlus 8"/>
    <n v="41999"/>
    <n v="3"/>
    <n v="0.12"/>
    <n v="15119.64"/>
    <n v="110877.36"/>
    <n v="27089.82"/>
    <s v="2019-04-01"/>
    <s v="2019-04-07"/>
    <s v="Individual"/>
    <x v="1"/>
    <x v="586"/>
    <x v="214"/>
  </r>
  <r>
    <s v="OP-20181066"/>
    <x v="0"/>
    <x v="2"/>
    <x v="3"/>
    <s v="OnePlus 7T Pro"/>
    <n v="53999"/>
    <n v="2"/>
    <n v="0.08"/>
    <n v="8639.84"/>
    <n v="99358.16"/>
    <n v="13970.06"/>
    <s v="2019-02-01"/>
    <s v="2019-02-05"/>
    <s v="Individual"/>
    <x v="1"/>
    <x v="473"/>
    <x v="647"/>
  </r>
  <r>
    <s v="OP-20181067"/>
    <x v="1"/>
    <x v="15"/>
    <x v="4"/>
    <s v="OnePlus Buds"/>
    <n v="4990"/>
    <n v="1"/>
    <n v="0.05"/>
    <n v="249.5"/>
    <n v="4740.5"/>
    <n v="1106.56"/>
    <s v="2018-12-10"/>
    <s v="2018-12-13"/>
    <s v="Individual"/>
    <x v="2"/>
    <x v="687"/>
    <x v="669"/>
  </r>
  <r>
    <s v="OP-20181068"/>
    <x v="0"/>
    <x v="0"/>
    <x v="0"/>
    <s v="OnePlus Warp Charge 30 Wireless Charger"/>
    <n v="3990"/>
    <n v="1"/>
    <n v="0.08"/>
    <n v="319.2"/>
    <n v="3670.8"/>
    <n v="906.52"/>
    <s v="2020-06-02"/>
    <s v="2020-06-08"/>
    <s v="Individual"/>
    <x v="4"/>
    <x v="202"/>
    <x v="335"/>
  </r>
  <r>
    <s v="OP-20181069"/>
    <x v="2"/>
    <x v="4"/>
    <x v="0"/>
    <s v="OnePlus Warp Charge 30 Wireless Charger"/>
    <n v="3990"/>
    <n v="2"/>
    <n v="0.12"/>
    <n v="957.6"/>
    <n v="7022.4"/>
    <n v="1466.23"/>
    <s v="2018-03-18"/>
    <s v="2018-03-24"/>
    <s v="Individual"/>
    <x v="1"/>
    <x v="688"/>
    <x v="424"/>
  </r>
  <r>
    <s v="OP-20181070"/>
    <x v="1"/>
    <x v="6"/>
    <x v="3"/>
    <s v="OnePlus 7T Pro"/>
    <n v="53999"/>
    <n v="4"/>
    <n v="0.12"/>
    <n v="25919.52"/>
    <n v="190076.48"/>
    <n v="40992.379999999997"/>
    <s v="2020-04-09"/>
    <s v="2020-04-14"/>
    <s v="Individual"/>
    <x v="0"/>
    <x v="689"/>
    <x v="670"/>
  </r>
  <r>
    <s v="OP-20181071"/>
    <x v="1"/>
    <x v="1"/>
    <x v="3"/>
    <s v="OnePlus 6T"/>
    <n v="37999"/>
    <n v="1"/>
    <n v="0.12"/>
    <n v="4559.88"/>
    <n v="33439.120000000003"/>
    <n v="6154.67"/>
    <s v="2018-01-15"/>
    <s v="2018-01-18"/>
    <s v="Individual"/>
    <x v="1"/>
    <x v="690"/>
    <x v="671"/>
  </r>
  <r>
    <s v="OP-20181072"/>
    <x v="1"/>
    <x v="12"/>
    <x v="3"/>
    <s v="OnePlus 7"/>
    <n v="32999"/>
    <n v="1"/>
    <n v="0.08"/>
    <n v="2639.92"/>
    <n v="30359.08"/>
    <n v="6752.66"/>
    <s v="2020-07-15"/>
    <s v="2020-07-20"/>
    <s v="Student"/>
    <x v="0"/>
    <x v="480"/>
    <x v="672"/>
  </r>
  <r>
    <s v="OP-20181073"/>
    <x v="1"/>
    <x v="11"/>
    <x v="0"/>
    <s v="OnePlus Warp Charge 30 Power Adapter"/>
    <n v="1990"/>
    <n v="2"/>
    <n v="0.08"/>
    <n v="318.39999999999998"/>
    <n v="3661.6"/>
    <n v="548.98"/>
    <s v="2018-08-28"/>
    <s v="2018-09-03"/>
    <s v="Corporate"/>
    <x v="0"/>
    <x v="691"/>
    <x v="296"/>
  </r>
  <r>
    <s v="OP-20181074"/>
    <x v="1"/>
    <x v="11"/>
    <x v="4"/>
    <s v="OnePlus Buds"/>
    <n v="4990"/>
    <n v="1"/>
    <n v="0.05"/>
    <n v="249.5"/>
    <n v="4740.5"/>
    <n v="851.9"/>
    <s v="2019-11-25"/>
    <s v="2019-11-28"/>
    <s v="Individual"/>
    <x v="1"/>
    <x v="692"/>
    <x v="673"/>
  </r>
  <r>
    <s v="OP-20181075"/>
    <x v="0"/>
    <x v="13"/>
    <x v="1"/>
    <s v="OnePlus TV Q1 55-inch"/>
    <n v="69900"/>
    <n v="1"/>
    <n v="0.05"/>
    <n v="3495"/>
    <n v="66405"/>
    <n v="10621.09"/>
    <s v="2019-12-25"/>
    <s v="2019-12-29"/>
    <s v="Corporate"/>
    <x v="3"/>
    <x v="693"/>
    <x v="247"/>
  </r>
  <r>
    <s v="OP-20181076"/>
    <x v="2"/>
    <x v="9"/>
    <x v="1"/>
    <s v="OnePlus TV Q1 55-inch"/>
    <n v="69900"/>
    <n v="1"/>
    <n v="0.08"/>
    <n v="5592"/>
    <n v="64308"/>
    <n v="12740.18"/>
    <s v="2020-12-25"/>
    <s v="2021-01-01"/>
    <s v="Individual"/>
    <x v="3"/>
    <x v="694"/>
    <x v="197"/>
  </r>
  <r>
    <s v="OP-20181077"/>
    <x v="0"/>
    <x v="13"/>
    <x v="4"/>
    <s v="OnePlus Buds Z"/>
    <n v="2999"/>
    <n v="1"/>
    <n v="0"/>
    <n v="0"/>
    <n v="2999"/>
    <n v="771.13"/>
    <s v="2019-01-21"/>
    <s v="2019-01-23"/>
    <s v="Individual"/>
    <x v="0"/>
    <x v="695"/>
    <x v="137"/>
  </r>
  <r>
    <s v="OP-20181078"/>
    <x v="0"/>
    <x v="0"/>
    <x v="1"/>
    <s v="OnePlus TV Q1 55-inch"/>
    <n v="69900"/>
    <n v="1"/>
    <n v="0.08"/>
    <n v="5592"/>
    <n v="64308"/>
    <n v="11410.82"/>
    <s v="2020-07-23"/>
    <s v="2020-07-25"/>
    <s v="Student"/>
    <x v="3"/>
    <x v="578"/>
    <x v="630"/>
  </r>
  <r>
    <s v="OP-20181079"/>
    <x v="0"/>
    <x v="2"/>
    <x v="3"/>
    <s v="OnePlus 7"/>
    <n v="32999"/>
    <n v="1"/>
    <n v="0.05"/>
    <n v="1649.95"/>
    <n v="31349.05"/>
    <n v="7468.87"/>
    <s v="2020-02-24"/>
    <s v="2020-02-26"/>
    <s v="Individual"/>
    <x v="3"/>
    <x v="170"/>
    <x v="674"/>
  </r>
  <r>
    <s v="OP-20181080"/>
    <x v="0"/>
    <x v="0"/>
    <x v="3"/>
    <s v="OnePlus 8 Pro"/>
    <n v="54999"/>
    <n v="2"/>
    <n v="0.08"/>
    <n v="8799.84"/>
    <n v="101198.16"/>
    <n v="16352.36"/>
    <s v="2020-10-04"/>
    <s v="2020-10-11"/>
    <s v="Corporate"/>
    <x v="4"/>
    <x v="436"/>
    <x v="33"/>
  </r>
  <r>
    <s v="OP-20181081"/>
    <x v="0"/>
    <x v="2"/>
    <x v="1"/>
    <s v="OnePlus TV Q1 55-inch"/>
    <n v="69900"/>
    <n v="2"/>
    <n v="0.1"/>
    <n v="13980"/>
    <n v="125820"/>
    <n v="30993.1"/>
    <s v="2019-04-10"/>
    <s v="2019-04-17"/>
    <s v="Individual"/>
    <x v="1"/>
    <x v="352"/>
    <x v="601"/>
  </r>
  <r>
    <s v="OP-20181082"/>
    <x v="1"/>
    <x v="6"/>
    <x v="1"/>
    <s v="OnePlus TV 32Y1 HD Ready"/>
    <n v="12999"/>
    <n v="1"/>
    <n v="0.08"/>
    <n v="1039.92"/>
    <n v="11959.08"/>
    <n v="3018.01"/>
    <s v="2018-11-24"/>
    <s v="2018-11-27"/>
    <s v="Individual"/>
    <x v="3"/>
    <x v="696"/>
    <x v="589"/>
  </r>
  <r>
    <s v="OP-20181083"/>
    <x v="1"/>
    <x v="11"/>
    <x v="0"/>
    <s v="OnePlus Type-C Bullets Earphones"/>
    <n v="1490"/>
    <n v="5"/>
    <n v="0.08"/>
    <n v="596"/>
    <n v="6854"/>
    <n v="1729.52"/>
    <s v="2020-03-04"/>
    <s v="2020-03-09"/>
    <s v="Individual"/>
    <x v="0"/>
    <x v="136"/>
    <x v="136"/>
  </r>
  <r>
    <s v="OP-20181084"/>
    <x v="2"/>
    <x v="19"/>
    <x v="3"/>
    <s v="OnePlus 8 Pro"/>
    <n v="54999"/>
    <n v="1"/>
    <n v="0.15"/>
    <n v="8249.85"/>
    <n v="46749.15"/>
    <n v="6609.8"/>
    <s v="2019-11-17"/>
    <s v="2019-11-20"/>
    <s v="Individual"/>
    <x v="1"/>
    <x v="697"/>
    <x v="675"/>
  </r>
  <r>
    <s v="OP-20181085"/>
    <x v="1"/>
    <x v="6"/>
    <x v="3"/>
    <s v="OnePlus 7"/>
    <n v="32999"/>
    <n v="1"/>
    <n v="0.08"/>
    <n v="2639.92"/>
    <n v="30359.08"/>
    <n v="7502.61"/>
    <s v="2019-04-13"/>
    <s v="2019-04-17"/>
    <s v="Student"/>
    <x v="1"/>
    <x v="698"/>
    <x v="601"/>
  </r>
  <r>
    <s v="OP-20181086"/>
    <x v="0"/>
    <x v="13"/>
    <x v="4"/>
    <s v="OnePlus Buds"/>
    <n v="4990"/>
    <n v="1"/>
    <n v="0.1"/>
    <n v="499"/>
    <n v="4491"/>
    <n v="1121.72"/>
    <s v="2018-07-02"/>
    <s v="2018-07-08"/>
    <s v="Individual"/>
    <x v="3"/>
    <x v="191"/>
    <x v="676"/>
  </r>
  <r>
    <s v="OP-20181087"/>
    <x v="0"/>
    <x v="14"/>
    <x v="4"/>
    <s v="OnePlus Buds"/>
    <n v="4990"/>
    <n v="2"/>
    <n v="0.1"/>
    <n v="998"/>
    <n v="8982"/>
    <n v="2139.59"/>
    <s v="2020-06-08"/>
    <s v="2020-06-15"/>
    <s v="Individual"/>
    <x v="0"/>
    <x v="622"/>
    <x v="415"/>
  </r>
  <r>
    <s v="OP-20181088"/>
    <x v="1"/>
    <x v="11"/>
    <x v="3"/>
    <s v="OnePlus 6T"/>
    <n v="37999"/>
    <n v="1"/>
    <n v="0"/>
    <n v="0"/>
    <n v="37999"/>
    <n v="9781.68"/>
    <s v="2019-02-13"/>
    <s v="2019-02-18"/>
    <s v="Corporate"/>
    <x v="1"/>
    <x v="699"/>
    <x v="677"/>
  </r>
  <r>
    <s v="OP-20181089"/>
    <x v="1"/>
    <x v="12"/>
    <x v="0"/>
    <s v="OnePlus Protective Case / Bumper"/>
    <n v="1290"/>
    <n v="1"/>
    <n v="0"/>
    <n v="0"/>
    <n v="1290"/>
    <n v="281.26"/>
    <s v="2020-11-28"/>
    <s v="2020-12-03"/>
    <s v="Individual"/>
    <x v="1"/>
    <x v="462"/>
    <x v="462"/>
  </r>
  <r>
    <s v="OP-20181090"/>
    <x v="3"/>
    <x v="5"/>
    <x v="3"/>
    <s v="OnePlus 6"/>
    <n v="34999"/>
    <n v="1"/>
    <n v="0.05"/>
    <n v="1749.95"/>
    <n v="33249.050000000003"/>
    <n v="5862.18"/>
    <s v="2019-04-29"/>
    <s v="2019-05-01"/>
    <s v="Individual"/>
    <x v="3"/>
    <x v="662"/>
    <x v="370"/>
  </r>
  <r>
    <s v="OP-20181091"/>
    <x v="0"/>
    <x v="2"/>
    <x v="1"/>
    <s v="OnePlus TV 43Y1 Full HD"/>
    <n v="22999"/>
    <n v="1"/>
    <n v="0.05"/>
    <n v="1149.95"/>
    <n v="21849.05"/>
    <n v="4401.0200000000004"/>
    <s v="2019-07-12"/>
    <s v="2019-07-14"/>
    <s v="Individual"/>
    <x v="0"/>
    <x v="236"/>
    <x v="173"/>
  </r>
  <r>
    <s v="OP-20181092"/>
    <x v="1"/>
    <x v="12"/>
    <x v="4"/>
    <s v="OnePlus Buds Z"/>
    <n v="2999"/>
    <n v="1"/>
    <n v="0.08"/>
    <n v="239.92"/>
    <n v="2759.08"/>
    <n v="633.6"/>
    <s v="2020-07-16"/>
    <s v="2020-07-22"/>
    <s v="Corporate"/>
    <x v="0"/>
    <x v="26"/>
    <x v="678"/>
  </r>
  <r>
    <s v="OP-20181093"/>
    <x v="1"/>
    <x v="1"/>
    <x v="0"/>
    <s v="OnePlus Warp Charge 30 Power Adapter"/>
    <n v="1990"/>
    <n v="3"/>
    <n v="0.05"/>
    <n v="298.5"/>
    <n v="5671.5"/>
    <n v="1370.31"/>
    <s v="2019-05-04"/>
    <s v="2019-05-09"/>
    <s v="Individual"/>
    <x v="0"/>
    <x v="700"/>
    <x v="648"/>
  </r>
  <r>
    <s v="OP-20181094"/>
    <x v="1"/>
    <x v="11"/>
    <x v="2"/>
    <s v="OnePlus Nord"/>
    <n v="24999"/>
    <n v="1"/>
    <n v="0"/>
    <n v="0"/>
    <n v="24999"/>
    <n v="3857.53"/>
    <s v="2018-03-25"/>
    <s v="2018-04-01"/>
    <s v="Individual"/>
    <x v="3"/>
    <x v="500"/>
    <x v="597"/>
  </r>
  <r>
    <s v="OP-20181095"/>
    <x v="1"/>
    <x v="6"/>
    <x v="4"/>
    <s v="OnePlus Bullets Wireless Z"/>
    <n v="1999"/>
    <n v="1"/>
    <n v="0"/>
    <n v="0"/>
    <n v="1999"/>
    <n v="494.34"/>
    <s v="2019-11-21"/>
    <s v="2019-11-25"/>
    <s v="Student"/>
    <x v="2"/>
    <x v="701"/>
    <x v="679"/>
  </r>
  <r>
    <s v="OP-20181096"/>
    <x v="0"/>
    <x v="0"/>
    <x v="3"/>
    <s v="OnePlus 7T Pro"/>
    <n v="53999"/>
    <n v="1"/>
    <n v="0.05"/>
    <n v="2699.95"/>
    <n v="51299.05"/>
    <n v="10498.49"/>
    <s v="2020-02-03"/>
    <s v="2020-02-10"/>
    <s v="Individual"/>
    <x v="4"/>
    <x v="665"/>
    <x v="680"/>
  </r>
  <r>
    <s v="OP-20181097"/>
    <x v="2"/>
    <x v="9"/>
    <x v="3"/>
    <s v="OnePlus 8"/>
    <n v="41999"/>
    <n v="3"/>
    <n v="0.05"/>
    <n v="6299.85"/>
    <n v="119697.15"/>
    <n v="24209.59"/>
    <s v="2020-12-11"/>
    <s v="2020-12-13"/>
    <s v="Individual"/>
    <x v="5"/>
    <x v="553"/>
    <x v="437"/>
  </r>
  <r>
    <s v="OP-20181098"/>
    <x v="0"/>
    <x v="3"/>
    <x v="2"/>
    <s v="OnePlus Nord"/>
    <n v="24999"/>
    <n v="1"/>
    <n v="0"/>
    <n v="0"/>
    <n v="24999"/>
    <n v="4052.83"/>
    <s v="2019-03-13"/>
    <s v="2019-03-16"/>
    <s v="Corporate"/>
    <x v="1"/>
    <x v="499"/>
    <x v="681"/>
  </r>
  <r>
    <s v="OP-20181099"/>
    <x v="0"/>
    <x v="13"/>
    <x v="1"/>
    <s v="OnePlus TV Q1 55-inch"/>
    <n v="69900"/>
    <n v="1"/>
    <n v="0.05"/>
    <n v="3495"/>
    <n v="66405"/>
    <n v="11292.38"/>
    <s v="2019-01-09"/>
    <s v="2019-01-14"/>
    <s v="Individual"/>
    <x v="0"/>
    <x v="644"/>
    <x v="411"/>
  </r>
  <r>
    <s v="OP-20181100"/>
    <x v="1"/>
    <x v="12"/>
    <x v="2"/>
    <s v="OnePlus Nord"/>
    <n v="24999"/>
    <n v="1"/>
    <n v="0"/>
    <n v="0"/>
    <n v="24999"/>
    <n v="5059.8599999999997"/>
    <s v="2020-01-24"/>
    <s v="2020-01-29"/>
    <s v="Individual"/>
    <x v="4"/>
    <x v="440"/>
    <x v="445"/>
  </r>
  <r>
    <s v="OP-20181101"/>
    <x v="2"/>
    <x v="19"/>
    <x v="1"/>
    <s v="OnePlus TV Q1 55-inch"/>
    <n v="69900"/>
    <n v="1"/>
    <n v="0.08"/>
    <n v="5592"/>
    <n v="64308"/>
    <n v="13617.32"/>
    <s v="2019-09-08"/>
    <s v="2019-09-13"/>
    <s v="Student"/>
    <x v="1"/>
    <x v="75"/>
    <x v="479"/>
  </r>
  <r>
    <s v="OP-20181102"/>
    <x v="3"/>
    <x v="17"/>
    <x v="0"/>
    <s v="OnePlus Warp Charge 30 Wireless Charger"/>
    <n v="3990"/>
    <n v="1"/>
    <n v="0"/>
    <n v="0"/>
    <n v="3990"/>
    <n v="859.94"/>
    <s v="2019-07-15"/>
    <s v="2019-07-22"/>
    <s v="Corporate"/>
    <x v="5"/>
    <x v="302"/>
    <x v="443"/>
  </r>
  <r>
    <s v="OP-20181103"/>
    <x v="3"/>
    <x v="8"/>
    <x v="3"/>
    <s v="OnePlus 7T Pro"/>
    <n v="53999"/>
    <n v="1"/>
    <n v="0"/>
    <n v="0"/>
    <n v="53999"/>
    <n v="12130.64"/>
    <s v="2018-04-16"/>
    <s v="2018-04-20"/>
    <s v="Individual"/>
    <x v="5"/>
    <x v="151"/>
    <x v="316"/>
  </r>
  <r>
    <s v="OP-20181104"/>
    <x v="3"/>
    <x v="8"/>
    <x v="3"/>
    <s v="OnePlus 6T"/>
    <n v="37999"/>
    <n v="2"/>
    <n v="0.1"/>
    <n v="7599.8"/>
    <n v="68398.2"/>
    <n v="11165.92"/>
    <s v="2018-06-29"/>
    <s v="2018-07-05"/>
    <s v="Individual"/>
    <x v="5"/>
    <x v="643"/>
    <x v="60"/>
  </r>
  <r>
    <s v="OP-20181105"/>
    <x v="0"/>
    <x v="14"/>
    <x v="4"/>
    <s v="OnePlus Buds"/>
    <n v="4990"/>
    <n v="1"/>
    <n v="0.05"/>
    <n v="249.5"/>
    <n v="4740.5"/>
    <n v="902.06"/>
    <s v="2019-03-04"/>
    <s v="2019-03-07"/>
    <s v="Individual"/>
    <x v="1"/>
    <x v="702"/>
    <x v="682"/>
  </r>
  <r>
    <s v="OP-20181106"/>
    <x v="0"/>
    <x v="2"/>
    <x v="2"/>
    <s v="OnePlus Nord"/>
    <n v="24999"/>
    <n v="1"/>
    <n v="0.1"/>
    <n v="2499.9"/>
    <n v="22499.1"/>
    <n v="5807.01"/>
    <s v="2020-06-14"/>
    <s v="2020-06-17"/>
    <s v="Corporate"/>
    <x v="0"/>
    <x v="646"/>
    <x v="464"/>
  </r>
  <r>
    <s v="OP-20181107"/>
    <x v="1"/>
    <x v="15"/>
    <x v="3"/>
    <s v="OnePlus 6T"/>
    <n v="37999"/>
    <n v="4"/>
    <n v="0"/>
    <n v="0"/>
    <n v="151996"/>
    <n v="32002.19"/>
    <s v="2019-12-16"/>
    <s v="2019-12-20"/>
    <s v="Individual"/>
    <x v="0"/>
    <x v="544"/>
    <x v="534"/>
  </r>
  <r>
    <s v="OP-20181108"/>
    <x v="0"/>
    <x v="0"/>
    <x v="3"/>
    <s v="OnePlus 6"/>
    <n v="34999"/>
    <n v="4"/>
    <n v="0"/>
    <n v="0"/>
    <n v="139996"/>
    <n v="35632.39"/>
    <s v="2019-09-05"/>
    <s v="2019-09-07"/>
    <s v="Individual"/>
    <x v="1"/>
    <x v="9"/>
    <x v="683"/>
  </r>
  <r>
    <s v="OP-20181109"/>
    <x v="2"/>
    <x v="7"/>
    <x v="2"/>
    <s v="OnePlus Nord N10"/>
    <n v="19999"/>
    <n v="2"/>
    <n v="0.08"/>
    <n v="3199.84"/>
    <n v="36798.160000000003"/>
    <n v="7345.37"/>
    <s v="2020-11-17"/>
    <s v="2020-11-20"/>
    <s v="Individual"/>
    <x v="0"/>
    <x v="254"/>
    <x v="684"/>
  </r>
  <r>
    <s v="OP-20181110"/>
    <x v="2"/>
    <x v="9"/>
    <x v="0"/>
    <s v="OnePlus Warp Charge 30 Wireless Charger"/>
    <n v="3990"/>
    <n v="1"/>
    <n v="0.05"/>
    <n v="199.5"/>
    <n v="3790.5"/>
    <n v="951.66"/>
    <s v="2018-08-05"/>
    <s v="2018-08-11"/>
    <s v="Individual"/>
    <x v="4"/>
    <x v="659"/>
    <x v="518"/>
  </r>
  <r>
    <s v="OP-20181111"/>
    <x v="2"/>
    <x v="7"/>
    <x v="3"/>
    <s v="OnePlus 7T Pro"/>
    <n v="53999"/>
    <n v="3"/>
    <n v="0.08"/>
    <n v="12959.76"/>
    <n v="149037.24"/>
    <n v="27196.67"/>
    <s v="2019-07-19"/>
    <s v="2019-07-23"/>
    <s v="Corporate"/>
    <x v="1"/>
    <x v="703"/>
    <x v="685"/>
  </r>
  <r>
    <s v="OP-20181112"/>
    <x v="1"/>
    <x v="1"/>
    <x v="3"/>
    <s v="OnePlus 7"/>
    <n v="32999"/>
    <n v="1"/>
    <n v="0"/>
    <n v="0"/>
    <n v="32999"/>
    <n v="7445.08"/>
    <s v="2018-12-04"/>
    <s v="2018-12-08"/>
    <s v="Individual"/>
    <x v="4"/>
    <x v="126"/>
    <x v="686"/>
  </r>
  <r>
    <s v="OP-20181113"/>
    <x v="0"/>
    <x v="14"/>
    <x v="0"/>
    <s v="OnePlus Protective Case / Bumper"/>
    <n v="1290"/>
    <n v="1"/>
    <n v="0.12"/>
    <n v="154.80000000000001"/>
    <n v="1135.2"/>
    <n v="166.22"/>
    <s v="2019-03-16"/>
    <s v="2019-03-20"/>
    <s v="Individual"/>
    <x v="3"/>
    <x v="704"/>
    <x v="512"/>
  </r>
  <r>
    <s v="OP-20181114"/>
    <x v="1"/>
    <x v="12"/>
    <x v="4"/>
    <s v="OnePlus Buds"/>
    <n v="4990"/>
    <n v="1"/>
    <n v="0.05"/>
    <n v="249.5"/>
    <n v="4740.5"/>
    <n v="1207.28"/>
    <s v="2018-12-25"/>
    <s v="2018-12-28"/>
    <s v="Individual"/>
    <x v="0"/>
    <x v="705"/>
    <x v="177"/>
  </r>
  <r>
    <s v="OP-20181115"/>
    <x v="0"/>
    <x v="0"/>
    <x v="0"/>
    <s v="OnePlus Protective Case / Bumper"/>
    <n v="1290"/>
    <n v="2"/>
    <n v="0.08"/>
    <n v="206.4"/>
    <n v="2373.6"/>
    <n v="357.65"/>
    <s v="2020-04-30"/>
    <s v="2020-05-05"/>
    <s v="Corporate"/>
    <x v="0"/>
    <x v="706"/>
    <x v="501"/>
  </r>
  <r>
    <s v="OP-20181116"/>
    <x v="0"/>
    <x v="14"/>
    <x v="3"/>
    <s v="OnePlus 7T Pro"/>
    <n v="53999"/>
    <n v="2"/>
    <n v="0.12"/>
    <n v="12959.76"/>
    <n v="95038.24"/>
    <n v="18499.82"/>
    <s v="2020-04-11"/>
    <s v="2020-04-13"/>
    <s v="Individual"/>
    <x v="1"/>
    <x v="707"/>
    <x v="687"/>
  </r>
  <r>
    <s v="OP-20181117"/>
    <x v="3"/>
    <x v="10"/>
    <x v="0"/>
    <s v="OnePlus Warp Charge 30 Wireless Charger"/>
    <n v="3990"/>
    <n v="1"/>
    <n v="0.08"/>
    <n v="319.2"/>
    <n v="3670.8"/>
    <n v="560.99"/>
    <s v="2019-05-23"/>
    <s v="2019-05-25"/>
    <s v="Individual"/>
    <x v="3"/>
    <x v="708"/>
    <x v="48"/>
  </r>
  <r>
    <s v="OP-20181118"/>
    <x v="0"/>
    <x v="14"/>
    <x v="3"/>
    <s v="OnePlus 8"/>
    <n v="41999"/>
    <n v="3"/>
    <n v="0.1"/>
    <n v="12599.7"/>
    <n v="113397.3"/>
    <n v="28907.200000000001"/>
    <s v="2019-05-03"/>
    <s v="2019-05-05"/>
    <s v="Individual"/>
    <x v="1"/>
    <x v="709"/>
    <x v="635"/>
  </r>
  <r>
    <s v="OP-20181119"/>
    <x v="2"/>
    <x v="9"/>
    <x v="3"/>
    <s v="OnePlus 7T Pro"/>
    <n v="53999"/>
    <n v="2"/>
    <n v="0"/>
    <n v="0"/>
    <n v="107998"/>
    <n v="27698.46"/>
    <s v="2018-01-06"/>
    <s v="2018-01-08"/>
    <s v="Individual"/>
    <x v="0"/>
    <x v="710"/>
    <x v="688"/>
  </r>
  <r>
    <s v="OP-20181120"/>
    <x v="0"/>
    <x v="3"/>
    <x v="4"/>
    <s v="OnePlus Buds Z"/>
    <n v="2999"/>
    <n v="1"/>
    <n v="0"/>
    <n v="0"/>
    <n v="2999"/>
    <n v="706.13"/>
    <s v="2020-02-09"/>
    <s v="2020-02-11"/>
    <s v="Student"/>
    <x v="3"/>
    <x v="576"/>
    <x v="442"/>
  </r>
  <r>
    <s v="OP-20181121"/>
    <x v="0"/>
    <x v="3"/>
    <x v="1"/>
    <s v="OnePlus TV 32Y1 HD Ready"/>
    <n v="12999"/>
    <n v="1"/>
    <n v="0.1"/>
    <n v="1299.9000000000001"/>
    <n v="11699.1"/>
    <n v="1838.24"/>
    <s v="2019-12-01"/>
    <s v="2019-12-06"/>
    <s v="Student"/>
    <x v="5"/>
    <x v="496"/>
    <x v="689"/>
  </r>
  <r>
    <s v="OP-20181122"/>
    <x v="0"/>
    <x v="13"/>
    <x v="1"/>
    <s v="OnePlus TV 32Y1 HD Ready"/>
    <n v="12999"/>
    <n v="1"/>
    <n v="0"/>
    <n v="0"/>
    <n v="12999"/>
    <n v="2982.76"/>
    <s v="2018-06-18"/>
    <s v="2018-06-20"/>
    <s v="Individual"/>
    <x v="1"/>
    <x v="711"/>
    <x v="524"/>
  </r>
  <r>
    <s v="OP-20181123"/>
    <x v="0"/>
    <x v="2"/>
    <x v="3"/>
    <s v="OnePlus 7T Pro"/>
    <n v="53999"/>
    <n v="1"/>
    <n v="0"/>
    <n v="0"/>
    <n v="53999"/>
    <n v="8827.75"/>
    <s v="2020-07-18"/>
    <s v="2020-07-22"/>
    <s v="Individual"/>
    <x v="0"/>
    <x v="264"/>
    <x v="678"/>
  </r>
  <r>
    <s v="OP-20181124"/>
    <x v="0"/>
    <x v="13"/>
    <x v="3"/>
    <s v="OnePlus 8 Pro"/>
    <n v="54999"/>
    <n v="1"/>
    <n v="0.1"/>
    <n v="5499.9"/>
    <n v="49499.1"/>
    <n v="11593.89"/>
    <s v="2019-09-13"/>
    <s v="2019-09-15"/>
    <s v="Individual"/>
    <x v="4"/>
    <x v="712"/>
    <x v="77"/>
  </r>
  <r>
    <s v="OP-20181125"/>
    <x v="2"/>
    <x v="4"/>
    <x v="0"/>
    <s v="OnePlus Warp Charge 30 Power Adapter"/>
    <n v="1990"/>
    <n v="2"/>
    <n v="0.05"/>
    <n v="199"/>
    <n v="3781"/>
    <n v="653.99"/>
    <s v="2020-07-19"/>
    <s v="2020-07-24"/>
    <s v="Corporate"/>
    <x v="0"/>
    <x v="653"/>
    <x v="267"/>
  </r>
  <r>
    <s v="OP-20181126"/>
    <x v="0"/>
    <x v="0"/>
    <x v="1"/>
    <s v="OnePlus TV 43Y1 Full HD"/>
    <n v="22999"/>
    <n v="2"/>
    <n v="0.1"/>
    <n v="4599.8"/>
    <n v="41398.199999999997"/>
    <n v="7665.56"/>
    <s v="2018-03-09"/>
    <s v="2018-03-14"/>
    <s v="Student"/>
    <x v="4"/>
    <x v="233"/>
    <x v="575"/>
  </r>
  <r>
    <s v="OP-20181127"/>
    <x v="2"/>
    <x v="19"/>
    <x v="3"/>
    <s v="OnePlus 6T"/>
    <n v="37999"/>
    <n v="2"/>
    <n v="0.08"/>
    <n v="6079.84"/>
    <n v="69918.16"/>
    <n v="13049.44"/>
    <s v="2020-07-27"/>
    <s v="2020-08-01"/>
    <s v="Individual"/>
    <x v="3"/>
    <x v="98"/>
    <x v="690"/>
  </r>
  <r>
    <s v="OP-20181128"/>
    <x v="2"/>
    <x v="4"/>
    <x v="3"/>
    <s v="OnePlus 8 Pro"/>
    <n v="54999"/>
    <n v="1"/>
    <n v="0.05"/>
    <n v="2749.95"/>
    <n v="52249.05"/>
    <n v="11161.62"/>
    <s v="2019-03-06"/>
    <s v="2019-03-08"/>
    <s v="Individual"/>
    <x v="0"/>
    <x v="658"/>
    <x v="691"/>
  </r>
  <r>
    <s v="OP-20181129"/>
    <x v="2"/>
    <x v="7"/>
    <x v="4"/>
    <s v="OnePlus Buds"/>
    <n v="4990"/>
    <n v="3"/>
    <n v="0.05"/>
    <n v="748.5"/>
    <n v="14221.5"/>
    <n v="2485.4699999999998"/>
    <s v="2020-04-01"/>
    <s v="2020-04-07"/>
    <s v="Individual"/>
    <x v="0"/>
    <x v="188"/>
    <x v="187"/>
  </r>
  <r>
    <s v="OP-20181130"/>
    <x v="0"/>
    <x v="0"/>
    <x v="4"/>
    <s v="OnePlus Buds Z"/>
    <n v="2999"/>
    <n v="1"/>
    <n v="0"/>
    <n v="0"/>
    <n v="2999"/>
    <n v="607.07000000000005"/>
    <s v="2020-01-14"/>
    <s v="2020-01-16"/>
    <s v="Individual"/>
    <x v="0"/>
    <x v="97"/>
    <x v="692"/>
  </r>
  <r>
    <s v="OP-20181131"/>
    <x v="0"/>
    <x v="2"/>
    <x v="1"/>
    <s v="OnePlus TV Q1 55-inch"/>
    <n v="69900"/>
    <n v="1"/>
    <n v="0.05"/>
    <n v="3495"/>
    <n v="66405"/>
    <n v="16550.89"/>
    <s v="2018-06-05"/>
    <s v="2018-06-09"/>
    <s v="Individual"/>
    <x v="1"/>
    <x v="140"/>
    <x v="693"/>
  </r>
  <r>
    <s v="OP-20181132"/>
    <x v="1"/>
    <x v="1"/>
    <x v="3"/>
    <s v="OnePlus 8"/>
    <n v="41999"/>
    <n v="2"/>
    <n v="0"/>
    <n v="0"/>
    <n v="83998"/>
    <n v="12258.14"/>
    <s v="2020-05-24"/>
    <s v="2020-05-27"/>
    <s v="Student"/>
    <x v="2"/>
    <x v="335"/>
    <x v="558"/>
  </r>
  <r>
    <s v="OP-20181133"/>
    <x v="0"/>
    <x v="13"/>
    <x v="2"/>
    <s v="OnePlus Nord N10"/>
    <n v="19999"/>
    <n v="1"/>
    <n v="0.1"/>
    <n v="1999.9"/>
    <n v="17999.099999999999"/>
    <n v="3816.11"/>
    <s v="2020-10-23"/>
    <s v="2020-10-30"/>
    <s v="Individual"/>
    <x v="1"/>
    <x v="64"/>
    <x v="66"/>
  </r>
  <r>
    <s v="OP-20181134"/>
    <x v="2"/>
    <x v="7"/>
    <x v="0"/>
    <s v="OnePlus Type-C Bullets Earphones"/>
    <n v="1490"/>
    <n v="1"/>
    <n v="0"/>
    <n v="0"/>
    <n v="1490"/>
    <n v="303.69"/>
    <s v="2019-01-02"/>
    <s v="2019-01-07"/>
    <s v="Corporate"/>
    <x v="3"/>
    <x v="289"/>
    <x v="290"/>
  </r>
  <r>
    <s v="OP-20181135"/>
    <x v="3"/>
    <x v="8"/>
    <x v="0"/>
    <s v="OnePlus Warp Charge 30 Wireless Charger"/>
    <n v="3990"/>
    <n v="1"/>
    <n v="0.05"/>
    <n v="199.5"/>
    <n v="3790.5"/>
    <n v="898.17"/>
    <s v="2018-06-26"/>
    <s v="2018-07-02"/>
    <s v="Individual"/>
    <x v="3"/>
    <x v="331"/>
    <x v="694"/>
  </r>
  <r>
    <s v="OP-20181136"/>
    <x v="0"/>
    <x v="2"/>
    <x v="4"/>
    <s v="OnePlus Bullets Wireless Z"/>
    <n v="1999"/>
    <n v="3"/>
    <n v="0"/>
    <n v="0"/>
    <n v="5997"/>
    <n v="1516.95"/>
    <s v="2018-01-27"/>
    <s v="2018-02-03"/>
    <s v="Individual"/>
    <x v="0"/>
    <x v="673"/>
    <x v="659"/>
  </r>
  <r>
    <s v="OP-20181137"/>
    <x v="2"/>
    <x v="7"/>
    <x v="3"/>
    <s v="OnePlus 7"/>
    <n v="32999"/>
    <n v="1"/>
    <n v="0.08"/>
    <n v="2639.92"/>
    <n v="30359.08"/>
    <n v="7410.86"/>
    <s v="2020-11-27"/>
    <s v="2020-12-03"/>
    <s v="Individual"/>
    <x v="5"/>
    <x v="319"/>
    <x v="462"/>
  </r>
  <r>
    <s v="OP-20181138"/>
    <x v="0"/>
    <x v="0"/>
    <x v="0"/>
    <s v="OnePlus Warp Charge 30 Wireless Charger"/>
    <n v="3990"/>
    <n v="2"/>
    <n v="0.05"/>
    <n v="399"/>
    <n v="7581"/>
    <n v="1064.23"/>
    <s v="2019-03-17"/>
    <s v="2019-03-23"/>
    <s v="Student"/>
    <x v="2"/>
    <x v="713"/>
    <x v="199"/>
  </r>
  <r>
    <s v="OP-20181139"/>
    <x v="1"/>
    <x v="12"/>
    <x v="1"/>
    <s v="OnePlus TV 43Y1 Full HD"/>
    <n v="22999"/>
    <n v="1"/>
    <n v="0.05"/>
    <n v="1149.95"/>
    <n v="21849.05"/>
    <n v="4786.13"/>
    <s v="2020-07-05"/>
    <s v="2020-07-07"/>
    <s v="Individual"/>
    <x v="0"/>
    <x v="441"/>
    <x v="230"/>
  </r>
  <r>
    <s v="OP-20181140"/>
    <x v="0"/>
    <x v="14"/>
    <x v="1"/>
    <s v="OnePlus TV Q1 55-inch"/>
    <n v="69900"/>
    <n v="1"/>
    <n v="0.08"/>
    <n v="5592"/>
    <n v="64308"/>
    <n v="14790.74"/>
    <s v="2018-01-27"/>
    <s v="2018-02-03"/>
    <s v="Student"/>
    <x v="0"/>
    <x v="673"/>
    <x v="659"/>
  </r>
  <r>
    <s v="OP-20181141"/>
    <x v="3"/>
    <x v="5"/>
    <x v="3"/>
    <s v="OnePlus 8 Pro"/>
    <n v="54999"/>
    <n v="4"/>
    <n v="0"/>
    <n v="0"/>
    <n v="219996"/>
    <n v="36898.68"/>
    <s v="2019-03-05"/>
    <s v="2019-03-07"/>
    <s v="Corporate"/>
    <x v="5"/>
    <x v="386"/>
    <x v="682"/>
  </r>
  <r>
    <s v="OP-20181142"/>
    <x v="0"/>
    <x v="13"/>
    <x v="4"/>
    <s v="OnePlus Buds Z"/>
    <n v="2999"/>
    <n v="1"/>
    <n v="0"/>
    <n v="0"/>
    <n v="2999"/>
    <n v="500.79"/>
    <s v="2020-03-24"/>
    <s v="2020-03-28"/>
    <s v="Retail Partner"/>
    <x v="4"/>
    <x v="714"/>
    <x v="695"/>
  </r>
  <r>
    <s v="OP-20181143"/>
    <x v="1"/>
    <x v="11"/>
    <x v="3"/>
    <s v="OnePlus 6"/>
    <n v="34999"/>
    <n v="1"/>
    <n v="0.1"/>
    <n v="3499.9"/>
    <n v="31499.1"/>
    <n v="4447.1499999999996"/>
    <s v="2020-12-11"/>
    <s v="2020-12-17"/>
    <s v="Individual"/>
    <x v="0"/>
    <x v="553"/>
    <x v="696"/>
  </r>
  <r>
    <s v="OP-20181144"/>
    <x v="0"/>
    <x v="3"/>
    <x v="0"/>
    <s v="OnePlus Warp Charge 30 Power Adapter"/>
    <n v="1990"/>
    <n v="1"/>
    <n v="0.1"/>
    <n v="199"/>
    <n v="1791"/>
    <n v="385.25"/>
    <s v="2019-11-29"/>
    <s v="2019-12-01"/>
    <s v="Individual"/>
    <x v="0"/>
    <x v="50"/>
    <x v="668"/>
  </r>
  <r>
    <s v="OP-20181145"/>
    <x v="0"/>
    <x v="14"/>
    <x v="3"/>
    <s v="OnePlus 7 Pro"/>
    <n v="48999"/>
    <n v="1"/>
    <n v="0.05"/>
    <n v="2449.9499999999998"/>
    <n v="46549.05"/>
    <n v="7598.85"/>
    <s v="2019-05-13"/>
    <s v="2019-05-15"/>
    <s v="Corporate"/>
    <x v="4"/>
    <x v="669"/>
    <x v="697"/>
  </r>
  <r>
    <s v="OP-20181146"/>
    <x v="0"/>
    <x v="13"/>
    <x v="4"/>
    <s v="OnePlus Bullets Wireless 2"/>
    <n v="5990"/>
    <n v="2"/>
    <n v="0.1"/>
    <n v="1198"/>
    <n v="10782"/>
    <n v="2477.6799999999998"/>
    <s v="2020-07-31"/>
    <s v="2020-08-04"/>
    <s v="Individual"/>
    <x v="0"/>
    <x v="208"/>
    <x v="484"/>
  </r>
  <r>
    <s v="OP-20181147"/>
    <x v="0"/>
    <x v="14"/>
    <x v="3"/>
    <s v="OnePlus 7 Pro"/>
    <n v="48999"/>
    <n v="3"/>
    <n v="0.12"/>
    <n v="17639.64"/>
    <n v="129357.36"/>
    <n v="25833.83"/>
    <s v="2018-03-19"/>
    <s v="2018-03-22"/>
    <s v="Individual"/>
    <x v="4"/>
    <x v="423"/>
    <x v="698"/>
  </r>
  <r>
    <s v="OP-20181148"/>
    <x v="3"/>
    <x v="10"/>
    <x v="0"/>
    <s v="OnePlus Type-C Bullets Earphones"/>
    <n v="1490"/>
    <n v="3"/>
    <n v="0.05"/>
    <n v="223.5"/>
    <n v="4246.5"/>
    <n v="700.67"/>
    <s v="2019-12-23"/>
    <s v="2019-12-30"/>
    <s v="Individual"/>
    <x v="1"/>
    <x v="685"/>
    <x v="699"/>
  </r>
  <r>
    <s v="OP-20181149"/>
    <x v="0"/>
    <x v="13"/>
    <x v="1"/>
    <s v="OnePlus TV 43Y1 Full HD"/>
    <n v="22999"/>
    <n v="1"/>
    <n v="0.1"/>
    <n v="2299.9"/>
    <n v="20699.099999999999"/>
    <n v="4762.8100000000004"/>
    <s v="2020-12-06"/>
    <s v="2020-12-10"/>
    <s v="Individual"/>
    <x v="5"/>
    <x v="35"/>
    <x v="700"/>
  </r>
  <r>
    <s v="OP-20181150"/>
    <x v="0"/>
    <x v="13"/>
    <x v="0"/>
    <s v="OnePlus Protective Case / Bumper"/>
    <n v="1290"/>
    <n v="2"/>
    <n v="0.05"/>
    <n v="129"/>
    <n v="2451"/>
    <n v="478.08"/>
    <s v="2020-04-16"/>
    <s v="2020-04-20"/>
    <s v="Retail Partner"/>
    <x v="2"/>
    <x v="715"/>
    <x v="487"/>
  </r>
  <r>
    <s v="OP-20181151"/>
    <x v="2"/>
    <x v="9"/>
    <x v="3"/>
    <s v="OnePlus 7T"/>
    <n v="37999"/>
    <n v="2"/>
    <n v="0"/>
    <n v="0"/>
    <n v="75998"/>
    <n v="15572.98"/>
    <s v="2018-01-24"/>
    <s v="2018-01-27"/>
    <s v="Corporate"/>
    <x v="2"/>
    <x v="527"/>
    <x v="701"/>
  </r>
  <r>
    <s v="OP-20181152"/>
    <x v="2"/>
    <x v="16"/>
    <x v="1"/>
    <s v="OnePlus TV 32Y1 HD Ready"/>
    <n v="12999"/>
    <n v="1"/>
    <n v="0.08"/>
    <n v="1039.92"/>
    <n v="11959.08"/>
    <n v="2280.86"/>
    <s v="2018-04-28"/>
    <s v="2018-04-30"/>
    <s v="Individual"/>
    <x v="1"/>
    <x v="281"/>
    <x v="86"/>
  </r>
  <r>
    <s v="OP-20181153"/>
    <x v="1"/>
    <x v="6"/>
    <x v="0"/>
    <s v="OnePlus Type-C Bullets Earphones"/>
    <n v="1490"/>
    <n v="1"/>
    <n v="0"/>
    <n v="0"/>
    <n v="1490"/>
    <n v="346.6"/>
    <s v="2020-04-30"/>
    <s v="2020-05-05"/>
    <s v="Individual"/>
    <x v="4"/>
    <x v="706"/>
    <x v="501"/>
  </r>
  <r>
    <s v="OP-20181154"/>
    <x v="0"/>
    <x v="2"/>
    <x v="4"/>
    <s v="OnePlus Buds"/>
    <n v="4990"/>
    <n v="1"/>
    <n v="0.08"/>
    <n v="399.2"/>
    <n v="4590.8"/>
    <n v="884.8"/>
    <s v="2018-12-08"/>
    <s v="2018-12-11"/>
    <s v="Individual"/>
    <x v="0"/>
    <x v="716"/>
    <x v="126"/>
  </r>
  <r>
    <s v="OP-20181155"/>
    <x v="2"/>
    <x v="9"/>
    <x v="2"/>
    <s v="OnePlus Nord N10"/>
    <n v="19999"/>
    <n v="1"/>
    <n v="0"/>
    <n v="0"/>
    <n v="19999"/>
    <n v="4746.42"/>
    <s v="2018-09-02"/>
    <s v="2018-09-08"/>
    <s v="Individual"/>
    <x v="0"/>
    <x v="277"/>
    <x v="303"/>
  </r>
  <r>
    <s v="OP-20181156"/>
    <x v="2"/>
    <x v="16"/>
    <x v="3"/>
    <s v="OnePlus 7 Pro"/>
    <n v="48999"/>
    <n v="1"/>
    <n v="0.05"/>
    <n v="2449.9499999999998"/>
    <n v="46549.05"/>
    <n v="7442.72"/>
    <s v="2020-04-09"/>
    <s v="2020-04-16"/>
    <s v="Individual"/>
    <x v="3"/>
    <x v="689"/>
    <x v="702"/>
  </r>
  <r>
    <s v="OP-20181157"/>
    <x v="0"/>
    <x v="2"/>
    <x v="0"/>
    <s v="OnePlus Warp Charge 30 Wireless Charger"/>
    <n v="3990"/>
    <n v="1"/>
    <n v="0.08"/>
    <n v="319.2"/>
    <n v="3670.8"/>
    <n v="640.42999999999995"/>
    <s v="2018-08-18"/>
    <s v="2018-08-21"/>
    <s v="Corporate"/>
    <x v="4"/>
    <x v="717"/>
    <x v="416"/>
  </r>
  <r>
    <s v="OP-20181158"/>
    <x v="1"/>
    <x v="12"/>
    <x v="3"/>
    <s v="OnePlus 7 Pro"/>
    <n v="48999"/>
    <n v="1"/>
    <n v="0.05"/>
    <n v="2449.9499999999998"/>
    <n v="46549.05"/>
    <n v="11821.24"/>
    <s v="2020-02-01"/>
    <s v="2020-02-03"/>
    <s v="Individual"/>
    <x v="4"/>
    <x v="234"/>
    <x v="234"/>
  </r>
  <r>
    <s v="OP-20181159"/>
    <x v="1"/>
    <x v="15"/>
    <x v="3"/>
    <s v="OnePlus 8 Pro"/>
    <n v="54999"/>
    <n v="1"/>
    <n v="0.15"/>
    <n v="8249.85"/>
    <n v="46749.15"/>
    <n v="9646.2000000000007"/>
    <s v="2020-05-06"/>
    <s v="2020-05-08"/>
    <s v="Individual"/>
    <x v="3"/>
    <x v="718"/>
    <x v="321"/>
  </r>
  <r>
    <s v="OP-20181160"/>
    <x v="0"/>
    <x v="3"/>
    <x v="0"/>
    <s v="OnePlus Type-C Bullets Earphones"/>
    <n v="1490"/>
    <n v="1"/>
    <n v="0"/>
    <n v="0"/>
    <n v="1490"/>
    <n v="347.56"/>
    <s v="2018-11-08"/>
    <s v="2018-11-14"/>
    <s v="Corporate"/>
    <x v="0"/>
    <x v="719"/>
    <x v="266"/>
  </r>
  <r>
    <s v="OP-20181161"/>
    <x v="2"/>
    <x v="16"/>
    <x v="1"/>
    <s v="OnePlus TV 32Y1 HD Ready"/>
    <n v="12999"/>
    <n v="1"/>
    <n v="0.05"/>
    <n v="649.95000000000005"/>
    <n v="12349.05"/>
    <n v="2627.18"/>
    <s v="2020-08-27"/>
    <s v="2020-09-01"/>
    <s v="Corporate"/>
    <x v="0"/>
    <x v="353"/>
    <x v="115"/>
  </r>
  <r>
    <s v="OP-20181162"/>
    <x v="2"/>
    <x v="19"/>
    <x v="4"/>
    <s v="OnePlus Buds Z"/>
    <n v="2999"/>
    <n v="1"/>
    <n v="0"/>
    <n v="0"/>
    <n v="2999"/>
    <n v="486.81"/>
    <s v="2018-08-01"/>
    <s v="2018-08-07"/>
    <s v="Retail Partner"/>
    <x v="3"/>
    <x v="720"/>
    <x v="646"/>
  </r>
  <r>
    <s v="OP-20181163"/>
    <x v="1"/>
    <x v="11"/>
    <x v="3"/>
    <s v="OnePlus 8"/>
    <n v="41999"/>
    <n v="2"/>
    <n v="0"/>
    <n v="0"/>
    <n v="83998"/>
    <n v="21318.45"/>
    <s v="2019-07-25"/>
    <s v="2019-07-27"/>
    <s v="Individual"/>
    <x v="3"/>
    <x v="649"/>
    <x v="408"/>
  </r>
  <r>
    <s v="OP-20181164"/>
    <x v="1"/>
    <x v="1"/>
    <x v="0"/>
    <s v="OnePlus Warp Charge 30 Wireless Charger"/>
    <n v="3990"/>
    <n v="1"/>
    <n v="0.05"/>
    <n v="199.5"/>
    <n v="3790.5"/>
    <n v="871.32"/>
    <s v="2019-03-02"/>
    <s v="2019-03-09"/>
    <s v="Retail Partner"/>
    <x v="1"/>
    <x v="721"/>
    <x v="703"/>
  </r>
  <r>
    <s v="OP-20181165"/>
    <x v="3"/>
    <x v="17"/>
    <x v="4"/>
    <s v="OnePlus Bullets Wireless 2"/>
    <n v="5990"/>
    <n v="2"/>
    <n v="0"/>
    <n v="0"/>
    <n v="11980"/>
    <n v="1993.46"/>
    <s v="2018-03-25"/>
    <s v="2018-03-29"/>
    <s v="Corporate"/>
    <x v="0"/>
    <x v="500"/>
    <x v="704"/>
  </r>
  <r>
    <s v="OP-20181166"/>
    <x v="2"/>
    <x v="19"/>
    <x v="3"/>
    <s v="OnePlus 7T"/>
    <n v="37999"/>
    <n v="2"/>
    <n v="0.08"/>
    <n v="6079.84"/>
    <n v="69918.16"/>
    <n v="11434.53"/>
    <s v="2018-11-14"/>
    <s v="2018-11-21"/>
    <s v="Individual"/>
    <x v="3"/>
    <x v="13"/>
    <x v="245"/>
  </r>
  <r>
    <s v="OP-20181167"/>
    <x v="1"/>
    <x v="15"/>
    <x v="1"/>
    <s v="OnePlus TV 32Y1 HD Ready"/>
    <n v="12999"/>
    <n v="1"/>
    <n v="0.12"/>
    <n v="1559.88"/>
    <n v="11439.12"/>
    <n v="2955.39"/>
    <s v="2020-04-14"/>
    <s v="2020-04-17"/>
    <s v="Corporate"/>
    <x v="0"/>
    <x v="457"/>
    <x v="231"/>
  </r>
  <r>
    <s v="OP-20181168"/>
    <x v="0"/>
    <x v="3"/>
    <x v="3"/>
    <s v="OnePlus 7T"/>
    <n v="37999"/>
    <n v="2"/>
    <n v="0.08"/>
    <n v="6079.84"/>
    <n v="69918.16"/>
    <n v="17253.580000000002"/>
    <s v="2018-04-27"/>
    <s v="2018-05-02"/>
    <s v="Corporate"/>
    <x v="0"/>
    <x v="83"/>
    <x v="284"/>
  </r>
  <r>
    <s v="OP-20181169"/>
    <x v="0"/>
    <x v="14"/>
    <x v="2"/>
    <s v="OnePlus Nord"/>
    <n v="24999"/>
    <n v="2"/>
    <n v="0.05"/>
    <n v="2499.9"/>
    <n v="47498.1"/>
    <n v="6795.83"/>
    <s v="2018-02-28"/>
    <s v="2018-03-06"/>
    <s v="Student"/>
    <x v="1"/>
    <x v="722"/>
    <x v="705"/>
  </r>
  <r>
    <s v="OP-20181170"/>
    <x v="1"/>
    <x v="6"/>
    <x v="0"/>
    <s v="OnePlus Warp Charge 30 Power Adapter"/>
    <n v="1990"/>
    <n v="1"/>
    <n v="0.05"/>
    <n v="99.5"/>
    <n v="1890.5"/>
    <n v="379.62"/>
    <s v="2019-02-02"/>
    <s v="2019-02-04"/>
    <s v="Individual"/>
    <x v="5"/>
    <x v="22"/>
    <x v="471"/>
  </r>
  <r>
    <s v="OP-20181171"/>
    <x v="2"/>
    <x v="9"/>
    <x v="3"/>
    <s v="OnePlus 8 Pro"/>
    <n v="54999"/>
    <n v="3"/>
    <n v="0.05"/>
    <n v="8249.85"/>
    <n v="156747.15"/>
    <n v="38283.199999999997"/>
    <s v="2018-08-02"/>
    <s v="2018-08-07"/>
    <s v="Individual"/>
    <x v="3"/>
    <x v="426"/>
    <x v="646"/>
  </r>
  <r>
    <s v="OP-20181172"/>
    <x v="2"/>
    <x v="4"/>
    <x v="2"/>
    <s v="OnePlus Nord"/>
    <n v="24999"/>
    <n v="3"/>
    <n v="0"/>
    <n v="0"/>
    <n v="74997"/>
    <n v="14543.08"/>
    <s v="2020-07-13"/>
    <s v="2020-07-17"/>
    <s v="Individual"/>
    <x v="3"/>
    <x v="88"/>
    <x v="91"/>
  </r>
  <r>
    <s v="OP-20181173"/>
    <x v="0"/>
    <x v="3"/>
    <x v="3"/>
    <s v="OnePlus 6T"/>
    <n v="37999"/>
    <n v="1"/>
    <n v="0"/>
    <n v="0"/>
    <n v="37999"/>
    <n v="8388.2800000000007"/>
    <s v="2019-04-21"/>
    <s v="2019-04-23"/>
    <s v="Individual"/>
    <x v="0"/>
    <x v="596"/>
    <x v="433"/>
  </r>
  <r>
    <s v="OP-20181174"/>
    <x v="2"/>
    <x v="4"/>
    <x v="0"/>
    <s v="OnePlus Protective Case / Bumper"/>
    <n v="1290"/>
    <n v="2"/>
    <n v="0.08"/>
    <n v="206.4"/>
    <n v="2373.6"/>
    <n v="412.31"/>
    <s v="2019-06-06"/>
    <s v="2019-06-12"/>
    <s v="Individual"/>
    <x v="1"/>
    <x v="723"/>
    <x v="379"/>
  </r>
  <r>
    <s v="OP-20181175"/>
    <x v="0"/>
    <x v="14"/>
    <x v="4"/>
    <s v="OnePlus Buds"/>
    <n v="4990"/>
    <n v="1"/>
    <n v="0"/>
    <n v="0"/>
    <n v="4990"/>
    <n v="930.51"/>
    <s v="2018-06-21"/>
    <s v="2018-06-25"/>
    <s v="Individual"/>
    <x v="0"/>
    <x v="377"/>
    <x v="706"/>
  </r>
  <r>
    <s v="OP-20181176"/>
    <x v="2"/>
    <x v="4"/>
    <x v="4"/>
    <s v="OnePlus Buds"/>
    <n v="4990"/>
    <n v="1"/>
    <n v="0.1"/>
    <n v="499"/>
    <n v="4491"/>
    <n v="823.18"/>
    <s v="2020-08-01"/>
    <s v="2020-08-06"/>
    <s v="Individual"/>
    <x v="0"/>
    <x v="488"/>
    <x v="707"/>
  </r>
  <r>
    <s v="OP-20181177"/>
    <x v="1"/>
    <x v="1"/>
    <x v="3"/>
    <s v="OnePlus 8"/>
    <n v="41999"/>
    <n v="1"/>
    <n v="0.05"/>
    <n v="2099.9499999999998"/>
    <n v="39899.050000000003"/>
    <n v="8404.7800000000007"/>
    <s v="2020-09-09"/>
    <s v="2020-09-14"/>
    <s v="Corporate"/>
    <x v="3"/>
    <x v="82"/>
    <x v="619"/>
  </r>
  <r>
    <s v="OP-20181178"/>
    <x v="0"/>
    <x v="14"/>
    <x v="3"/>
    <s v="OnePlus 8 Pro"/>
    <n v="54999"/>
    <n v="4"/>
    <n v="0"/>
    <n v="0"/>
    <n v="219996"/>
    <n v="35551.83"/>
    <s v="2019-06-06"/>
    <s v="2019-06-11"/>
    <s v="Individual"/>
    <x v="0"/>
    <x v="723"/>
    <x v="708"/>
  </r>
  <r>
    <s v="OP-20181179"/>
    <x v="2"/>
    <x v="4"/>
    <x v="4"/>
    <s v="OnePlus Bullets Wireless Z"/>
    <n v="1999"/>
    <n v="1"/>
    <n v="0.05"/>
    <n v="99.95"/>
    <n v="1899.05"/>
    <n v="290.19"/>
    <s v="2019-06-19"/>
    <s v="2019-06-22"/>
    <s v="Student"/>
    <x v="0"/>
    <x v="413"/>
    <x v="253"/>
  </r>
  <r>
    <s v="OP-20181180"/>
    <x v="1"/>
    <x v="11"/>
    <x v="3"/>
    <s v="OnePlus 7"/>
    <n v="32999"/>
    <n v="1"/>
    <n v="0.1"/>
    <n v="3299.9"/>
    <n v="29699.1"/>
    <n v="5701.33"/>
    <s v="2019-06-03"/>
    <s v="2019-06-06"/>
    <s v="Student"/>
    <x v="0"/>
    <x v="724"/>
    <x v="25"/>
  </r>
  <r>
    <s v="OP-20181181"/>
    <x v="1"/>
    <x v="6"/>
    <x v="2"/>
    <s v="OnePlus Nord N10"/>
    <n v="19999"/>
    <n v="1"/>
    <n v="0.05"/>
    <n v="999.95"/>
    <n v="18999.05"/>
    <n v="4862.22"/>
    <s v="2018-11-27"/>
    <s v="2018-11-29"/>
    <s v="Retail Partner"/>
    <x v="2"/>
    <x v="399"/>
    <x v="302"/>
  </r>
  <r>
    <s v="OP-20181182"/>
    <x v="0"/>
    <x v="13"/>
    <x v="0"/>
    <s v="OnePlus Warp Charge 30 Power Adapter"/>
    <n v="1990"/>
    <n v="5"/>
    <n v="0.05"/>
    <n v="497.5"/>
    <n v="9452.5"/>
    <n v="1618.9"/>
    <s v="2018-06-02"/>
    <s v="2018-06-07"/>
    <s v="Individual"/>
    <x v="5"/>
    <x v="392"/>
    <x v="709"/>
  </r>
  <r>
    <s v="OP-20181183"/>
    <x v="3"/>
    <x v="17"/>
    <x v="3"/>
    <s v="OnePlus 7T"/>
    <n v="37999"/>
    <n v="2"/>
    <n v="0.08"/>
    <n v="6079.84"/>
    <n v="69918.16"/>
    <n v="16945"/>
    <s v="2019-06-14"/>
    <s v="2019-06-20"/>
    <s v="Individual"/>
    <x v="1"/>
    <x v="725"/>
    <x v="710"/>
  </r>
  <r>
    <s v="OP-20181184"/>
    <x v="0"/>
    <x v="13"/>
    <x v="0"/>
    <s v="OnePlus Protective Case / Bumper"/>
    <n v="1290"/>
    <n v="1"/>
    <n v="0.08"/>
    <n v="103.2"/>
    <n v="1186.8"/>
    <n v="193.87"/>
    <s v="2020-04-28"/>
    <s v="2020-05-05"/>
    <s v="Individual"/>
    <x v="0"/>
    <x v="577"/>
    <x v="501"/>
  </r>
  <r>
    <s v="OP-20181185"/>
    <x v="3"/>
    <x v="10"/>
    <x v="4"/>
    <s v="OnePlus Buds Z"/>
    <n v="2999"/>
    <n v="3"/>
    <n v="0.05"/>
    <n v="449.85"/>
    <n v="8547.15"/>
    <n v="1918.96"/>
    <s v="2020-10-18"/>
    <s v="2020-10-20"/>
    <s v="Individual"/>
    <x v="0"/>
    <x v="726"/>
    <x v="711"/>
  </r>
  <r>
    <s v="OP-20181186"/>
    <x v="0"/>
    <x v="14"/>
    <x v="3"/>
    <s v="OnePlus 7T"/>
    <n v="37999"/>
    <n v="2"/>
    <n v="0"/>
    <n v="0"/>
    <n v="75998"/>
    <n v="16922.830000000002"/>
    <s v="2020-02-22"/>
    <s v="2020-02-27"/>
    <s v="Individual"/>
    <x v="2"/>
    <x v="562"/>
    <x v="712"/>
  </r>
  <r>
    <s v="OP-20181187"/>
    <x v="2"/>
    <x v="7"/>
    <x v="0"/>
    <s v="OnePlus Warp Charge 30 Power Adapter"/>
    <n v="1990"/>
    <n v="1"/>
    <n v="0.1"/>
    <n v="199"/>
    <n v="1791"/>
    <n v="377.14"/>
    <s v="2019-05-05"/>
    <s v="2019-05-09"/>
    <s v="Individual"/>
    <x v="0"/>
    <x v="357"/>
    <x v="648"/>
  </r>
  <r>
    <s v="OP-20181188"/>
    <x v="3"/>
    <x v="17"/>
    <x v="3"/>
    <s v="OnePlus 7"/>
    <n v="32999"/>
    <n v="2"/>
    <n v="0.15"/>
    <n v="9899.7000000000007"/>
    <n v="56098.3"/>
    <n v="8473.74"/>
    <s v="2019-11-29"/>
    <s v="2019-12-05"/>
    <s v="Student"/>
    <x v="1"/>
    <x v="50"/>
    <x v="492"/>
  </r>
  <r>
    <s v="OP-20181189"/>
    <x v="0"/>
    <x v="0"/>
    <x v="1"/>
    <s v="OnePlus TV 43Y1 Full HD"/>
    <n v="22999"/>
    <n v="1"/>
    <n v="0.1"/>
    <n v="2299.9"/>
    <n v="20699.099999999999"/>
    <n v="2975.03"/>
    <s v="2018-05-31"/>
    <s v="2018-06-03"/>
    <s v="Individual"/>
    <x v="3"/>
    <x v="727"/>
    <x v="713"/>
  </r>
  <r>
    <s v="OP-20181190"/>
    <x v="1"/>
    <x v="1"/>
    <x v="1"/>
    <s v="OnePlus TV 32Y1 HD Ready"/>
    <n v="12999"/>
    <n v="1"/>
    <n v="0.1"/>
    <n v="1299.9000000000001"/>
    <n v="11699.1"/>
    <n v="2292.0100000000002"/>
    <s v="2018-04-07"/>
    <s v="2018-04-14"/>
    <s v="Corporate"/>
    <x v="1"/>
    <x v="614"/>
    <x v="599"/>
  </r>
  <r>
    <s v="OP-20181191"/>
    <x v="1"/>
    <x v="1"/>
    <x v="4"/>
    <s v="OnePlus Buds"/>
    <n v="4990"/>
    <n v="1"/>
    <n v="0"/>
    <n v="0"/>
    <n v="4990"/>
    <n v="754.99"/>
    <s v="2019-05-27"/>
    <s v="2019-06-01"/>
    <s v="Retail Partner"/>
    <x v="3"/>
    <x v="29"/>
    <x v="312"/>
  </r>
  <r>
    <s v="OP-20181192"/>
    <x v="0"/>
    <x v="14"/>
    <x v="2"/>
    <s v="OnePlus Nord"/>
    <n v="24999"/>
    <n v="1"/>
    <n v="0.08"/>
    <n v="1999.92"/>
    <n v="22999.08"/>
    <n v="3331.03"/>
    <s v="2018-11-17"/>
    <s v="2018-11-24"/>
    <s v="Individual"/>
    <x v="0"/>
    <x v="72"/>
    <x v="455"/>
  </r>
  <r>
    <s v="OP-20181193"/>
    <x v="1"/>
    <x v="6"/>
    <x v="3"/>
    <s v="OnePlus 6"/>
    <n v="34999"/>
    <n v="3"/>
    <n v="0"/>
    <n v="0"/>
    <n v="104997"/>
    <n v="22202.400000000001"/>
    <s v="2019-11-07"/>
    <s v="2019-11-09"/>
    <s v="Retail Partner"/>
    <x v="0"/>
    <x v="469"/>
    <x v="468"/>
  </r>
  <r>
    <s v="OP-20181194"/>
    <x v="2"/>
    <x v="16"/>
    <x v="3"/>
    <s v="OnePlus 7T Pro"/>
    <n v="53999"/>
    <n v="2"/>
    <n v="0"/>
    <n v="0"/>
    <n v="107998"/>
    <n v="23559.02"/>
    <s v="2019-05-13"/>
    <s v="2019-05-15"/>
    <s v="Individual"/>
    <x v="0"/>
    <x v="669"/>
    <x v="697"/>
  </r>
  <r>
    <s v="OP-20181195"/>
    <x v="1"/>
    <x v="12"/>
    <x v="1"/>
    <s v="OnePlus TV 32Y1 HD Ready"/>
    <n v="12999"/>
    <n v="1"/>
    <n v="0"/>
    <n v="0"/>
    <n v="12999"/>
    <n v="2288.1799999999998"/>
    <s v="2019-02-08"/>
    <s v="2019-02-11"/>
    <s v="Individual"/>
    <x v="0"/>
    <x v="20"/>
    <x v="350"/>
  </r>
  <r>
    <s v="OP-20181196"/>
    <x v="1"/>
    <x v="1"/>
    <x v="4"/>
    <s v="OnePlus Bullets Wireless Z"/>
    <n v="1999"/>
    <n v="1"/>
    <n v="0.05"/>
    <n v="99.95"/>
    <n v="1899.05"/>
    <n v="381.26"/>
    <s v="2020-11-25"/>
    <s v="2020-12-01"/>
    <s v="Student"/>
    <x v="3"/>
    <x v="728"/>
    <x v="232"/>
  </r>
  <r>
    <s v="OP-20181197"/>
    <x v="0"/>
    <x v="2"/>
    <x v="4"/>
    <s v="OnePlus Buds"/>
    <n v="4990"/>
    <n v="2"/>
    <n v="0.08"/>
    <n v="798.4"/>
    <n v="9181.6"/>
    <n v="1803.92"/>
    <s v="2019-10-17"/>
    <s v="2019-10-21"/>
    <s v="Individual"/>
    <x v="4"/>
    <x v="434"/>
    <x v="366"/>
  </r>
  <r>
    <s v="OP-20181198"/>
    <x v="0"/>
    <x v="0"/>
    <x v="1"/>
    <s v="OnePlus TV Q1 55-inch"/>
    <n v="69900"/>
    <n v="1"/>
    <n v="0.1"/>
    <n v="6990"/>
    <n v="62910"/>
    <n v="14594.79"/>
    <s v="2020-11-20"/>
    <s v="2020-11-27"/>
    <s v="Individual"/>
    <x v="1"/>
    <x v="374"/>
    <x v="714"/>
  </r>
  <r>
    <s v="OP-20181199"/>
    <x v="2"/>
    <x v="9"/>
    <x v="2"/>
    <s v="OnePlus Nord N10"/>
    <n v="19999"/>
    <n v="3"/>
    <n v="0.05"/>
    <n v="2999.85"/>
    <n v="56997.15"/>
    <n v="11172.43"/>
    <s v="2020-08-20"/>
    <s v="2020-08-26"/>
    <s v="Individual"/>
    <x v="0"/>
    <x v="729"/>
    <x v="715"/>
  </r>
  <r>
    <s v="OP-20181200"/>
    <x v="2"/>
    <x v="16"/>
    <x v="0"/>
    <s v="OnePlus Warp Charge 30 Wireless Charger"/>
    <n v="3990"/>
    <n v="2"/>
    <n v="0.05"/>
    <n v="399"/>
    <n v="7581"/>
    <n v="1740.07"/>
    <s v="2018-11-03"/>
    <s v="2018-11-09"/>
    <s v="Individual"/>
    <x v="0"/>
    <x v="132"/>
    <x v="275"/>
  </r>
  <r>
    <s v="OP-20181201"/>
    <x v="2"/>
    <x v="16"/>
    <x v="3"/>
    <s v="OnePlus 6"/>
    <n v="34999"/>
    <n v="3"/>
    <n v="0.05"/>
    <n v="5249.85"/>
    <n v="99747.15"/>
    <n v="18878.34"/>
    <s v="2019-07-22"/>
    <s v="2019-07-26"/>
    <s v="Individual"/>
    <x v="3"/>
    <x v="730"/>
    <x v="716"/>
  </r>
  <r>
    <s v="OP-20181202"/>
    <x v="0"/>
    <x v="14"/>
    <x v="1"/>
    <s v="OnePlus TV 32Y1 HD Ready"/>
    <n v="12999"/>
    <n v="1"/>
    <n v="0.1"/>
    <n v="1299.9000000000001"/>
    <n v="11699.1"/>
    <n v="2604"/>
    <s v="2018-01-10"/>
    <s v="2018-01-13"/>
    <s v="Individual"/>
    <x v="0"/>
    <x v="731"/>
    <x v="522"/>
  </r>
  <r>
    <s v="OP-20181203"/>
    <x v="1"/>
    <x v="6"/>
    <x v="0"/>
    <s v="OnePlus Type-C Bullets Earphones"/>
    <n v="1490"/>
    <n v="1"/>
    <n v="0.05"/>
    <n v="74.5"/>
    <n v="1415.5"/>
    <n v="344.66"/>
    <s v="2019-01-26"/>
    <s v="2019-01-28"/>
    <s v="Individual"/>
    <x v="3"/>
    <x v="282"/>
    <x v="717"/>
  </r>
  <r>
    <s v="OP-20181204"/>
    <x v="0"/>
    <x v="13"/>
    <x v="1"/>
    <s v="OnePlus TV Q1 55-inch"/>
    <n v="69900"/>
    <n v="1"/>
    <n v="0.12"/>
    <n v="8388"/>
    <n v="61512"/>
    <n v="9937.64"/>
    <s v="2019-12-09"/>
    <s v="2019-12-11"/>
    <s v="Individual"/>
    <x v="3"/>
    <x v="401"/>
    <x v="34"/>
  </r>
  <r>
    <s v="OP-20181205"/>
    <x v="3"/>
    <x v="17"/>
    <x v="2"/>
    <s v="OnePlus Nord N10"/>
    <n v="19999"/>
    <n v="1"/>
    <n v="0.05"/>
    <n v="999.95"/>
    <n v="18999.05"/>
    <n v="2800.49"/>
    <s v="2020-12-10"/>
    <s v="2020-12-13"/>
    <s v="Student"/>
    <x v="3"/>
    <x v="424"/>
    <x v="437"/>
  </r>
  <r>
    <s v="OP-20181206"/>
    <x v="3"/>
    <x v="10"/>
    <x v="4"/>
    <s v="OnePlus Buds Z"/>
    <n v="2999"/>
    <n v="4"/>
    <n v="0.08"/>
    <n v="959.68"/>
    <n v="11036.32"/>
    <n v="2339.9899999999998"/>
    <s v="2020-06-11"/>
    <s v="2020-06-13"/>
    <s v="Individual"/>
    <x v="3"/>
    <x v="732"/>
    <x v="179"/>
  </r>
  <r>
    <s v="OP-20181207"/>
    <x v="3"/>
    <x v="8"/>
    <x v="3"/>
    <s v="OnePlus 8"/>
    <n v="41999"/>
    <n v="1"/>
    <n v="0.08"/>
    <n v="3359.92"/>
    <n v="38639.08"/>
    <n v="10000.68"/>
    <s v="2019-01-02"/>
    <s v="2019-01-09"/>
    <s v="Student"/>
    <x v="3"/>
    <x v="289"/>
    <x v="718"/>
  </r>
  <r>
    <s v="OP-20181208"/>
    <x v="2"/>
    <x v="9"/>
    <x v="0"/>
    <s v="OnePlus Warp Charge 30 Wireless Charger"/>
    <n v="3990"/>
    <n v="1"/>
    <n v="0.08"/>
    <n v="319.2"/>
    <n v="3670.8"/>
    <n v="597.02"/>
    <s v="2018-02-16"/>
    <s v="2018-02-21"/>
    <s v="Corporate"/>
    <x v="3"/>
    <x v="62"/>
    <x v="719"/>
  </r>
  <r>
    <s v="OP-20181209"/>
    <x v="0"/>
    <x v="13"/>
    <x v="1"/>
    <s v="OnePlus TV 43Y1 Full HD"/>
    <n v="22999"/>
    <n v="2"/>
    <n v="0.1"/>
    <n v="4599.8"/>
    <n v="41398.199999999997"/>
    <n v="9578.16"/>
    <s v="2020-04-29"/>
    <s v="2020-05-06"/>
    <s v="Individual"/>
    <x v="1"/>
    <x v="247"/>
    <x v="27"/>
  </r>
  <r>
    <s v="OP-20181210"/>
    <x v="1"/>
    <x v="6"/>
    <x v="0"/>
    <s v="OnePlus Warp Charge 30 Wireless Charger"/>
    <n v="3990"/>
    <n v="5"/>
    <n v="0"/>
    <n v="0"/>
    <n v="19950"/>
    <n v="2885.01"/>
    <s v="2019-03-13"/>
    <s v="2019-03-19"/>
    <s v="Individual"/>
    <x v="1"/>
    <x v="499"/>
    <x v="220"/>
  </r>
  <r>
    <s v="OP-20181211"/>
    <x v="2"/>
    <x v="7"/>
    <x v="0"/>
    <s v="OnePlus Type-C Bullets Earphones"/>
    <n v="1490"/>
    <n v="1"/>
    <n v="0"/>
    <n v="0"/>
    <n v="1490"/>
    <n v="296.85000000000002"/>
    <s v="2018-06-05"/>
    <s v="2018-06-12"/>
    <s v="Individual"/>
    <x v="2"/>
    <x v="140"/>
    <x v="140"/>
  </r>
  <r>
    <s v="OP-20181212"/>
    <x v="1"/>
    <x v="15"/>
    <x v="0"/>
    <s v="OnePlus Type-C Bullets Earphones"/>
    <n v="1490"/>
    <n v="2"/>
    <n v="0.1"/>
    <n v="298"/>
    <n v="2682"/>
    <n v="555.19000000000005"/>
    <s v="2018-11-03"/>
    <s v="2018-11-09"/>
    <s v="Individual"/>
    <x v="5"/>
    <x v="132"/>
    <x v="275"/>
  </r>
  <r>
    <s v="OP-20181213"/>
    <x v="0"/>
    <x v="3"/>
    <x v="3"/>
    <s v="OnePlus 7T Pro"/>
    <n v="53999"/>
    <n v="1"/>
    <n v="0.1"/>
    <n v="5399.9"/>
    <n v="48599.1"/>
    <n v="7801.19"/>
    <s v="2018-07-30"/>
    <s v="2018-08-04"/>
    <s v="Individual"/>
    <x v="3"/>
    <x v="190"/>
    <x v="274"/>
  </r>
  <r>
    <s v="OP-20181214"/>
    <x v="0"/>
    <x v="0"/>
    <x v="4"/>
    <s v="OnePlus Buds Z"/>
    <n v="2999"/>
    <n v="3"/>
    <n v="0.08"/>
    <n v="719.76"/>
    <n v="8277.24"/>
    <n v="1871.85"/>
    <s v="2018-09-02"/>
    <s v="2018-09-04"/>
    <s v="Student"/>
    <x v="0"/>
    <x v="277"/>
    <x v="628"/>
  </r>
  <r>
    <s v="OP-20181215"/>
    <x v="3"/>
    <x v="18"/>
    <x v="3"/>
    <s v="OnePlus 8 Pro"/>
    <n v="54999"/>
    <n v="1"/>
    <n v="0.05"/>
    <n v="2749.95"/>
    <n v="52249.05"/>
    <n v="9212.27"/>
    <s v="2019-05-07"/>
    <s v="2019-05-11"/>
    <s v="Individual"/>
    <x v="3"/>
    <x v="412"/>
    <x v="420"/>
  </r>
  <r>
    <s v="OP-20181216"/>
    <x v="3"/>
    <x v="17"/>
    <x v="4"/>
    <s v="OnePlus Buds"/>
    <n v="4990"/>
    <n v="1"/>
    <n v="0.12"/>
    <n v="598.79999999999995"/>
    <n v="4391.2"/>
    <n v="754.14"/>
    <s v="2018-08-27"/>
    <s v="2018-09-02"/>
    <s v="Individual"/>
    <x v="3"/>
    <x v="532"/>
    <x v="174"/>
  </r>
  <r>
    <s v="OP-20181217"/>
    <x v="1"/>
    <x v="1"/>
    <x v="4"/>
    <s v="OnePlus Buds"/>
    <n v="4990"/>
    <n v="1"/>
    <n v="0"/>
    <n v="0"/>
    <n v="4990"/>
    <n v="845.07"/>
    <s v="2019-06-03"/>
    <s v="2019-06-10"/>
    <s v="Individual"/>
    <x v="0"/>
    <x v="724"/>
    <x v="720"/>
  </r>
  <r>
    <s v="OP-20181218"/>
    <x v="2"/>
    <x v="19"/>
    <x v="3"/>
    <s v="OnePlus 8 Pro"/>
    <n v="54999"/>
    <n v="1"/>
    <n v="0"/>
    <n v="0"/>
    <n v="54999"/>
    <n v="11759.62"/>
    <s v="2018-02-19"/>
    <s v="2018-02-24"/>
    <s v="Corporate"/>
    <x v="3"/>
    <x v="733"/>
    <x v="721"/>
  </r>
  <r>
    <s v="OP-20181219"/>
    <x v="0"/>
    <x v="0"/>
    <x v="4"/>
    <s v="OnePlus Bullets Wireless 2"/>
    <n v="5990"/>
    <n v="3"/>
    <n v="0.05"/>
    <n v="898.5"/>
    <n v="17071.5"/>
    <n v="3018.1"/>
    <s v="2020-05-30"/>
    <s v="2020-06-01"/>
    <s v="Individual"/>
    <x v="0"/>
    <x v="19"/>
    <x v="53"/>
  </r>
  <r>
    <s v="OP-20181220"/>
    <x v="1"/>
    <x v="11"/>
    <x v="3"/>
    <s v="OnePlus 6T"/>
    <n v="37999"/>
    <n v="2"/>
    <n v="0.08"/>
    <n v="6079.84"/>
    <n v="69918.16"/>
    <n v="12157.64"/>
    <s v="2019-08-24"/>
    <s v="2019-08-27"/>
    <s v="Retail Partner"/>
    <x v="4"/>
    <x v="204"/>
    <x v="526"/>
  </r>
  <r>
    <s v="OP-20181221"/>
    <x v="0"/>
    <x v="0"/>
    <x v="0"/>
    <s v="OnePlus Warp Charge 30 Wireless Charger"/>
    <n v="3990"/>
    <n v="1"/>
    <n v="0"/>
    <n v="0"/>
    <n v="3990"/>
    <n v="959.98"/>
    <s v="2020-11-24"/>
    <s v="2020-11-26"/>
    <s v="Corporate"/>
    <x v="0"/>
    <x v="232"/>
    <x v="722"/>
  </r>
  <r>
    <s v="OP-20181222"/>
    <x v="2"/>
    <x v="4"/>
    <x v="0"/>
    <s v="OnePlus Type-C Bullets Earphones"/>
    <n v="1490"/>
    <n v="1"/>
    <n v="0"/>
    <n v="0"/>
    <n v="1490"/>
    <n v="216.95"/>
    <s v="2018-08-21"/>
    <s v="2018-08-24"/>
    <s v="Individual"/>
    <x v="1"/>
    <x v="66"/>
    <x v="631"/>
  </r>
  <r>
    <s v="OP-20181223"/>
    <x v="1"/>
    <x v="1"/>
    <x v="3"/>
    <s v="OnePlus 6"/>
    <n v="34999"/>
    <n v="1"/>
    <n v="0.1"/>
    <n v="3499.9"/>
    <n v="31499.1"/>
    <n v="7168.34"/>
    <s v="2019-10-30"/>
    <s v="2019-11-02"/>
    <s v="Individual"/>
    <x v="0"/>
    <x v="541"/>
    <x v="723"/>
  </r>
  <r>
    <s v="OP-20181224"/>
    <x v="0"/>
    <x v="3"/>
    <x v="0"/>
    <s v="OnePlus Warp Charge 30 Wireless Charger"/>
    <n v="3990"/>
    <n v="1"/>
    <n v="0"/>
    <n v="0"/>
    <n v="3990"/>
    <n v="742.01"/>
    <s v="2018-01-12"/>
    <s v="2018-01-16"/>
    <s v="Individual"/>
    <x v="4"/>
    <x v="258"/>
    <x v="260"/>
  </r>
  <r>
    <s v="OP-20181225"/>
    <x v="3"/>
    <x v="18"/>
    <x v="1"/>
    <s v="OnePlus TV 32Y1 HD Ready"/>
    <n v="12999"/>
    <n v="1"/>
    <n v="0.08"/>
    <n v="1039.92"/>
    <n v="11959.08"/>
    <n v="1940.15"/>
    <s v="2019-08-14"/>
    <s v="2019-08-18"/>
    <s v="Corporate"/>
    <x v="0"/>
    <x v="734"/>
    <x v="202"/>
  </r>
  <r>
    <s v="OP-20181226"/>
    <x v="1"/>
    <x v="1"/>
    <x v="3"/>
    <s v="OnePlus 8"/>
    <n v="41999"/>
    <n v="2"/>
    <n v="0.08"/>
    <n v="6719.84"/>
    <n v="77278.16"/>
    <n v="17951.900000000001"/>
    <s v="2019-10-06"/>
    <s v="2019-10-10"/>
    <s v="Individual"/>
    <x v="0"/>
    <x v="573"/>
    <x v="724"/>
  </r>
  <r>
    <s v="OP-20181227"/>
    <x v="2"/>
    <x v="16"/>
    <x v="4"/>
    <s v="OnePlus Buds Z"/>
    <n v="2999"/>
    <n v="5"/>
    <n v="0.05"/>
    <n v="749.75"/>
    <n v="14245.25"/>
    <n v="3569.96"/>
    <s v="2019-07-16"/>
    <s v="2019-07-23"/>
    <s v="Individual"/>
    <x v="1"/>
    <x v="735"/>
    <x v="685"/>
  </r>
  <r>
    <s v="OP-20181228"/>
    <x v="1"/>
    <x v="11"/>
    <x v="0"/>
    <s v="OnePlus Type-C Bullets Earphones"/>
    <n v="1490"/>
    <n v="1"/>
    <n v="0.1"/>
    <n v="149"/>
    <n v="1341"/>
    <n v="301.67"/>
    <s v="2018-03-23"/>
    <s v="2018-03-28"/>
    <s v="Individual"/>
    <x v="0"/>
    <x v="115"/>
    <x v="49"/>
  </r>
  <r>
    <s v="OP-20181229"/>
    <x v="0"/>
    <x v="3"/>
    <x v="1"/>
    <s v="OnePlus TV 32Y1 HD Ready"/>
    <n v="12999"/>
    <n v="1"/>
    <n v="0.05"/>
    <n v="649.95000000000005"/>
    <n v="12349.05"/>
    <n v="2615.2399999999998"/>
    <s v="2020-02-05"/>
    <s v="2020-02-08"/>
    <s v="Individual"/>
    <x v="0"/>
    <x v="736"/>
    <x v="538"/>
  </r>
  <r>
    <s v="OP-20181230"/>
    <x v="2"/>
    <x v="19"/>
    <x v="1"/>
    <s v="OnePlus TV 43Y1 Full HD"/>
    <n v="22999"/>
    <n v="1"/>
    <n v="0.08"/>
    <n v="1839.92"/>
    <n v="21159.08"/>
    <n v="3645.82"/>
    <s v="2019-01-16"/>
    <s v="2019-01-22"/>
    <s v="Student"/>
    <x v="4"/>
    <x v="137"/>
    <x v="725"/>
  </r>
  <r>
    <s v="OP-20181231"/>
    <x v="0"/>
    <x v="2"/>
    <x v="3"/>
    <s v="OnePlus 7T Pro"/>
    <n v="53999"/>
    <n v="1"/>
    <n v="0.1"/>
    <n v="5399.9"/>
    <n v="48599.1"/>
    <n v="10475.11"/>
    <s v="2018-08-19"/>
    <s v="2018-08-26"/>
    <s v="Student"/>
    <x v="2"/>
    <x v="443"/>
    <x v="726"/>
  </r>
  <r>
    <s v="OP-20181232"/>
    <x v="0"/>
    <x v="13"/>
    <x v="3"/>
    <s v="OnePlus 7 Pro"/>
    <n v="48999"/>
    <n v="1"/>
    <n v="0.1"/>
    <n v="4899.8999999999996"/>
    <n v="44099.1"/>
    <n v="9748.31"/>
    <s v="2018-04-19"/>
    <s v="2018-04-23"/>
    <s v="Retail Partner"/>
    <x v="1"/>
    <x v="324"/>
    <x v="61"/>
  </r>
  <r>
    <s v="OP-20181233"/>
    <x v="2"/>
    <x v="19"/>
    <x v="3"/>
    <s v="OnePlus 7"/>
    <n v="32999"/>
    <n v="2"/>
    <n v="0.05"/>
    <n v="3299.9"/>
    <n v="62698.1"/>
    <n v="15864.41"/>
    <s v="2018-11-04"/>
    <s v="2018-11-11"/>
    <s v="Student"/>
    <x v="1"/>
    <x v="143"/>
    <x v="508"/>
  </r>
  <r>
    <s v="OP-20181234"/>
    <x v="1"/>
    <x v="11"/>
    <x v="3"/>
    <s v="OnePlus 7 Pro"/>
    <n v="48999"/>
    <n v="1"/>
    <n v="0.05"/>
    <n v="2449.9499999999998"/>
    <n v="46549.05"/>
    <n v="8360.0400000000009"/>
    <s v="2019-12-28"/>
    <s v="2020-01-03"/>
    <s v="Individual"/>
    <x v="2"/>
    <x v="158"/>
    <x v="550"/>
  </r>
  <r>
    <s v="OP-20181235"/>
    <x v="0"/>
    <x v="13"/>
    <x v="0"/>
    <s v="OnePlus Warp Charge 30 Wireless Charger"/>
    <n v="3990"/>
    <n v="3"/>
    <n v="0.1"/>
    <n v="1197"/>
    <n v="10773"/>
    <n v="1891.21"/>
    <s v="2020-10-07"/>
    <s v="2020-10-13"/>
    <s v="Individual"/>
    <x v="1"/>
    <x v="356"/>
    <x v="145"/>
  </r>
  <r>
    <s v="OP-20181236"/>
    <x v="0"/>
    <x v="3"/>
    <x v="4"/>
    <s v="OnePlus Buds"/>
    <n v="4990"/>
    <n v="1"/>
    <n v="0.1"/>
    <n v="499"/>
    <n v="4491"/>
    <n v="840.66"/>
    <s v="2019-03-10"/>
    <s v="2019-03-16"/>
    <s v="Individual"/>
    <x v="0"/>
    <x v="555"/>
    <x v="681"/>
  </r>
  <r>
    <s v="OP-20181237"/>
    <x v="0"/>
    <x v="14"/>
    <x v="3"/>
    <s v="OnePlus 8 Pro"/>
    <n v="54999"/>
    <n v="2"/>
    <n v="0.05"/>
    <n v="5499.9"/>
    <n v="104498.1"/>
    <n v="17520.79"/>
    <s v="2020-01-08"/>
    <s v="2020-01-14"/>
    <s v="Student"/>
    <x v="0"/>
    <x v="120"/>
    <x v="121"/>
  </r>
  <r>
    <s v="OP-20181238"/>
    <x v="1"/>
    <x v="12"/>
    <x v="2"/>
    <s v="OnePlus Nord"/>
    <n v="24999"/>
    <n v="1"/>
    <n v="0.12"/>
    <n v="2999.88"/>
    <n v="21999.119999999999"/>
    <n v="4883.8100000000004"/>
    <s v="2018-11-29"/>
    <s v="2018-12-02"/>
    <s v="Individual"/>
    <x v="5"/>
    <x v="489"/>
    <x v="574"/>
  </r>
  <r>
    <s v="OP-20181239"/>
    <x v="1"/>
    <x v="1"/>
    <x v="2"/>
    <s v="OnePlus Nord"/>
    <n v="24999"/>
    <n v="1"/>
    <n v="0.08"/>
    <n v="1999.92"/>
    <n v="22999.08"/>
    <n v="3724"/>
    <s v="2020-05-26"/>
    <s v="2020-05-28"/>
    <s v="Corporate"/>
    <x v="0"/>
    <x v="52"/>
    <x v="82"/>
  </r>
  <r>
    <s v="OP-20181240"/>
    <x v="2"/>
    <x v="9"/>
    <x v="0"/>
    <s v="OnePlus Warp Charge 30 Power Adapter"/>
    <n v="1990"/>
    <n v="1"/>
    <n v="0.08"/>
    <n v="159.19999999999999"/>
    <n v="1830.8"/>
    <n v="292.68"/>
    <s v="2018-11-04"/>
    <s v="2018-11-08"/>
    <s v="Individual"/>
    <x v="3"/>
    <x v="143"/>
    <x v="132"/>
  </r>
  <r>
    <s v="OP-20181241"/>
    <x v="0"/>
    <x v="0"/>
    <x v="0"/>
    <s v="OnePlus Protective Case / Bumper"/>
    <n v="1290"/>
    <n v="2"/>
    <n v="0"/>
    <n v="0"/>
    <n v="2580"/>
    <n v="468.83"/>
    <s v="2020-06-11"/>
    <s v="2020-06-15"/>
    <s v="Individual"/>
    <x v="0"/>
    <x v="732"/>
    <x v="415"/>
  </r>
  <r>
    <s v="OP-20181242"/>
    <x v="3"/>
    <x v="18"/>
    <x v="0"/>
    <s v="OnePlus Type-C Bullets Earphones"/>
    <n v="1490"/>
    <n v="3"/>
    <n v="0.08"/>
    <n v="357.6"/>
    <n v="4112.3999999999996"/>
    <n v="743.97"/>
    <s v="2019-03-14"/>
    <s v="2019-03-21"/>
    <s v="Student"/>
    <x v="5"/>
    <x v="217"/>
    <x v="727"/>
  </r>
  <r>
    <s v="OP-20181243"/>
    <x v="1"/>
    <x v="12"/>
    <x v="3"/>
    <s v="OnePlus 8"/>
    <n v="41999"/>
    <n v="2"/>
    <n v="0"/>
    <n v="0"/>
    <n v="83998"/>
    <n v="21145.3"/>
    <s v="2020-10-07"/>
    <s v="2020-10-13"/>
    <s v="Corporate"/>
    <x v="3"/>
    <x v="356"/>
    <x v="145"/>
  </r>
  <r>
    <s v="OP-20181244"/>
    <x v="0"/>
    <x v="14"/>
    <x v="3"/>
    <s v="OnePlus 7T"/>
    <n v="37999"/>
    <n v="3"/>
    <n v="0.08"/>
    <n v="9119.76"/>
    <n v="104877.24"/>
    <n v="14907.82"/>
    <s v="2019-05-11"/>
    <s v="2019-05-14"/>
    <s v="Corporate"/>
    <x v="1"/>
    <x v="340"/>
    <x v="97"/>
  </r>
  <r>
    <s v="OP-20181245"/>
    <x v="0"/>
    <x v="3"/>
    <x v="0"/>
    <s v="OnePlus Warp Charge 30 Power Adapter"/>
    <n v="1990"/>
    <n v="4"/>
    <n v="0"/>
    <n v="0"/>
    <n v="7960"/>
    <n v="1205.3900000000001"/>
    <s v="2019-08-05"/>
    <s v="2019-08-11"/>
    <s v="Individual"/>
    <x v="1"/>
    <x v="409"/>
    <x v="728"/>
  </r>
  <r>
    <s v="OP-20181246"/>
    <x v="3"/>
    <x v="5"/>
    <x v="4"/>
    <s v="OnePlus Bullets Wireless Z"/>
    <n v="1999"/>
    <n v="1"/>
    <n v="0.08"/>
    <n v="159.91999999999999"/>
    <n v="1839.08"/>
    <n v="413.75"/>
    <s v="2020-11-15"/>
    <s v="2020-11-17"/>
    <s v="Individual"/>
    <x v="2"/>
    <x v="203"/>
    <x v="204"/>
  </r>
  <r>
    <s v="OP-20181247"/>
    <x v="0"/>
    <x v="2"/>
    <x v="1"/>
    <s v="OnePlus TV 43Y1 Full HD"/>
    <n v="22999"/>
    <n v="1"/>
    <n v="0.05"/>
    <n v="1149.95"/>
    <n v="21849.05"/>
    <n v="5536.68"/>
    <s v="2019-01-04"/>
    <s v="2019-01-06"/>
    <s v="Student"/>
    <x v="3"/>
    <x v="737"/>
    <x v="729"/>
  </r>
  <r>
    <s v="OP-20181248"/>
    <x v="2"/>
    <x v="19"/>
    <x v="0"/>
    <s v="OnePlus Protective Case / Bumper"/>
    <n v="1290"/>
    <n v="1"/>
    <n v="0.05"/>
    <n v="64.5"/>
    <n v="1225.5"/>
    <n v="218.17"/>
    <s v="2018-04-15"/>
    <s v="2018-04-19"/>
    <s v="Individual"/>
    <x v="0"/>
    <x v="507"/>
    <x v="730"/>
  </r>
  <r>
    <s v="OP-20181249"/>
    <x v="1"/>
    <x v="1"/>
    <x v="2"/>
    <s v="OnePlus Nord N10"/>
    <n v="19999"/>
    <n v="1"/>
    <n v="0.05"/>
    <n v="999.95"/>
    <n v="18999.05"/>
    <n v="2888.38"/>
    <s v="2018-03-26"/>
    <s v="2018-04-02"/>
    <s v="Individual"/>
    <x v="1"/>
    <x v="444"/>
    <x v="447"/>
  </r>
  <r>
    <s v="OP-20181250"/>
    <x v="1"/>
    <x v="11"/>
    <x v="3"/>
    <s v="OnePlus 7"/>
    <n v="32999"/>
    <n v="3"/>
    <n v="0"/>
    <n v="0"/>
    <n v="98997"/>
    <n v="25120.73"/>
    <s v="2018-02-21"/>
    <s v="2018-02-28"/>
    <s v="Student"/>
    <x v="0"/>
    <x v="367"/>
    <x v="731"/>
  </r>
  <r>
    <s v="OP-20181251"/>
    <x v="1"/>
    <x v="6"/>
    <x v="3"/>
    <s v="OnePlus 7"/>
    <n v="32999"/>
    <n v="1"/>
    <n v="0"/>
    <n v="0"/>
    <n v="32999"/>
    <n v="5946.85"/>
    <s v="2019-05-24"/>
    <s v="2019-05-29"/>
    <s v="Individual"/>
    <x v="1"/>
    <x v="4"/>
    <x v="732"/>
  </r>
  <r>
    <s v="OP-20181252"/>
    <x v="3"/>
    <x v="18"/>
    <x v="3"/>
    <s v="OnePlus 7T"/>
    <n v="37999"/>
    <n v="3"/>
    <n v="0.1"/>
    <n v="11399.7"/>
    <n v="102597.3"/>
    <n v="20703.89"/>
    <s v="2018-01-30"/>
    <s v="2018-02-06"/>
    <s v="Corporate"/>
    <x v="1"/>
    <x v="738"/>
    <x v="733"/>
  </r>
  <r>
    <s v="OP-20181253"/>
    <x v="2"/>
    <x v="7"/>
    <x v="3"/>
    <s v="OnePlus 6T"/>
    <n v="37999"/>
    <n v="2"/>
    <n v="0.1"/>
    <n v="7599.8"/>
    <n v="68398.2"/>
    <n v="14794.87"/>
    <s v="2019-08-21"/>
    <s v="2019-08-25"/>
    <s v="Individual"/>
    <x v="2"/>
    <x v="739"/>
    <x v="734"/>
  </r>
  <r>
    <s v="OP-20181254"/>
    <x v="3"/>
    <x v="10"/>
    <x v="3"/>
    <s v="OnePlus 7T"/>
    <n v="37999"/>
    <n v="2"/>
    <n v="0.05"/>
    <n v="3799.9"/>
    <n v="72198.100000000006"/>
    <n v="11991.78"/>
    <s v="2019-02-27"/>
    <s v="2019-03-06"/>
    <s v="Individual"/>
    <x v="4"/>
    <x v="740"/>
    <x v="735"/>
  </r>
  <r>
    <s v="OP-20181255"/>
    <x v="1"/>
    <x v="12"/>
    <x v="3"/>
    <s v="OnePlus 7 Pro"/>
    <n v="48999"/>
    <n v="2"/>
    <n v="0.08"/>
    <n v="7839.84"/>
    <n v="90158.16"/>
    <n v="18821.349999999999"/>
    <s v="2019-10-12"/>
    <s v="2019-10-15"/>
    <s v="Individual"/>
    <x v="0"/>
    <x v="741"/>
    <x v="71"/>
  </r>
  <r>
    <s v="OP-20181256"/>
    <x v="0"/>
    <x v="13"/>
    <x v="3"/>
    <s v="OnePlus 8 Pro"/>
    <n v="54999"/>
    <n v="3"/>
    <n v="0.08"/>
    <n v="13199.76"/>
    <n v="151797.24"/>
    <n v="37366.69"/>
    <s v="2020-10-21"/>
    <s v="2020-10-28"/>
    <s v="Individual"/>
    <x v="3"/>
    <x v="475"/>
    <x v="736"/>
  </r>
  <r>
    <s v="OP-20181257"/>
    <x v="2"/>
    <x v="19"/>
    <x v="0"/>
    <s v="OnePlus Type-C Bullets Earphones"/>
    <n v="1490"/>
    <n v="1"/>
    <n v="0.1"/>
    <n v="149"/>
    <n v="1341"/>
    <n v="268.95"/>
    <s v="2018-07-10"/>
    <s v="2018-07-14"/>
    <s v="Student"/>
    <x v="0"/>
    <x v="114"/>
    <x v="117"/>
  </r>
  <r>
    <s v="OP-20181258"/>
    <x v="0"/>
    <x v="13"/>
    <x v="3"/>
    <s v="OnePlus 7 Pro"/>
    <n v="48999"/>
    <n v="2"/>
    <n v="0.05"/>
    <n v="4899.8999999999996"/>
    <n v="93098.1"/>
    <n v="15850.61"/>
    <s v="2018-12-05"/>
    <s v="2018-12-12"/>
    <s v="Individual"/>
    <x v="4"/>
    <x v="308"/>
    <x v="413"/>
  </r>
  <r>
    <s v="OP-20181259"/>
    <x v="2"/>
    <x v="19"/>
    <x v="0"/>
    <s v="OnePlus Protective Case / Bumper"/>
    <n v="1290"/>
    <n v="1"/>
    <n v="0"/>
    <n v="0"/>
    <n v="1290"/>
    <n v="251.18"/>
    <s v="2020-06-29"/>
    <s v="2020-07-04"/>
    <s v="Student"/>
    <x v="4"/>
    <x v="661"/>
    <x v="603"/>
  </r>
  <r>
    <s v="OP-20181260"/>
    <x v="2"/>
    <x v="16"/>
    <x v="4"/>
    <s v="OnePlus Buds Z"/>
    <n v="2999"/>
    <n v="2"/>
    <n v="0.05"/>
    <n v="299.89999999999998"/>
    <n v="5698.1"/>
    <n v="1190.4000000000001"/>
    <s v="2018-02-21"/>
    <s v="2018-02-23"/>
    <s v="Corporate"/>
    <x v="0"/>
    <x v="367"/>
    <x v="521"/>
  </r>
  <r>
    <s v="OP-20181261"/>
    <x v="0"/>
    <x v="2"/>
    <x v="3"/>
    <s v="OnePlus 6"/>
    <n v="34999"/>
    <n v="5"/>
    <n v="0.05"/>
    <n v="8749.75"/>
    <n v="166245.25"/>
    <n v="31574.31"/>
    <s v="2018-09-03"/>
    <s v="2018-09-07"/>
    <s v="Individual"/>
    <x v="1"/>
    <x v="172"/>
    <x v="470"/>
  </r>
  <r>
    <s v="OP-20181262"/>
    <x v="1"/>
    <x v="15"/>
    <x v="3"/>
    <s v="OnePlus 6T"/>
    <n v="37999"/>
    <n v="1"/>
    <n v="0.05"/>
    <n v="1899.95"/>
    <n v="36099.050000000003"/>
    <n v="6228.58"/>
    <s v="2020-09-15"/>
    <s v="2020-09-19"/>
    <s v="Individual"/>
    <x v="0"/>
    <x v="518"/>
    <x v="737"/>
  </r>
  <r>
    <s v="OP-20181263"/>
    <x v="2"/>
    <x v="9"/>
    <x v="3"/>
    <s v="OnePlus 7T"/>
    <n v="37999"/>
    <n v="1"/>
    <n v="0.1"/>
    <n v="3799.9"/>
    <n v="34199.1"/>
    <n v="8596.32"/>
    <s v="2019-10-11"/>
    <s v="2019-10-17"/>
    <s v="Individual"/>
    <x v="4"/>
    <x v="390"/>
    <x v="398"/>
  </r>
  <r>
    <s v="OP-20181264"/>
    <x v="3"/>
    <x v="8"/>
    <x v="4"/>
    <s v="OnePlus Bullets Wireless Z"/>
    <n v="1999"/>
    <n v="1"/>
    <n v="0.15"/>
    <n v="299.85000000000002"/>
    <n v="1699.15"/>
    <n v="351.44"/>
    <s v="2020-05-11"/>
    <s v="2020-05-14"/>
    <s v="Individual"/>
    <x v="3"/>
    <x v="376"/>
    <x v="738"/>
  </r>
  <r>
    <s v="OP-20181265"/>
    <x v="1"/>
    <x v="12"/>
    <x v="3"/>
    <s v="OnePlus 6T"/>
    <n v="37999"/>
    <n v="1"/>
    <n v="0"/>
    <n v="0"/>
    <n v="37999"/>
    <n v="7768.07"/>
    <s v="2018-06-11"/>
    <s v="2018-06-15"/>
    <s v="Individual"/>
    <x v="1"/>
    <x v="742"/>
    <x v="739"/>
  </r>
  <r>
    <s v="OP-20181266"/>
    <x v="1"/>
    <x v="15"/>
    <x v="1"/>
    <s v="OnePlus TV 32Y1 HD Ready"/>
    <n v="12999"/>
    <n v="1"/>
    <n v="0.05"/>
    <n v="649.95000000000005"/>
    <n v="12349.05"/>
    <n v="1908.3"/>
    <s v="2019-08-19"/>
    <s v="2019-08-22"/>
    <s v="Individual"/>
    <x v="4"/>
    <x v="631"/>
    <x v="539"/>
  </r>
  <r>
    <s v="OP-20181267"/>
    <x v="1"/>
    <x v="1"/>
    <x v="2"/>
    <s v="OnePlus Nord N10"/>
    <n v="19999"/>
    <n v="1"/>
    <n v="0"/>
    <n v="0"/>
    <n v="19999"/>
    <n v="3991.83"/>
    <s v="2018-06-30"/>
    <s v="2018-07-06"/>
    <s v="Individual"/>
    <x v="1"/>
    <x v="616"/>
    <x v="606"/>
  </r>
  <r>
    <s v="OP-20181268"/>
    <x v="2"/>
    <x v="4"/>
    <x v="1"/>
    <s v="OnePlus TV 43Y1 Full HD"/>
    <n v="22999"/>
    <n v="2"/>
    <n v="0.08"/>
    <n v="3679.84"/>
    <n v="42318.16"/>
    <n v="7410.48"/>
    <s v="2020-07-22"/>
    <s v="2020-07-26"/>
    <s v="Retail Partner"/>
    <x v="0"/>
    <x v="92"/>
    <x v="216"/>
  </r>
  <r>
    <s v="OP-20181269"/>
    <x v="1"/>
    <x v="15"/>
    <x v="3"/>
    <s v="OnePlus 8"/>
    <n v="41999"/>
    <n v="1"/>
    <n v="0"/>
    <n v="0"/>
    <n v="41999"/>
    <n v="8567.82"/>
    <s v="2020-03-23"/>
    <s v="2020-03-28"/>
    <s v="Corporate"/>
    <x v="3"/>
    <x v="633"/>
    <x v="695"/>
  </r>
  <r>
    <s v="OP-20181270"/>
    <x v="3"/>
    <x v="10"/>
    <x v="0"/>
    <s v="OnePlus Warp Charge 30 Power Adapter"/>
    <n v="1990"/>
    <n v="3"/>
    <n v="0.05"/>
    <n v="298.5"/>
    <n v="5671.5"/>
    <n v="1266.52"/>
    <s v="2020-01-28"/>
    <s v="2020-02-01"/>
    <s v="Individual"/>
    <x v="0"/>
    <x v="743"/>
    <x v="28"/>
  </r>
  <r>
    <s v="OP-20181271"/>
    <x v="0"/>
    <x v="3"/>
    <x v="0"/>
    <s v="OnePlus Type-C Bullets Earphones"/>
    <n v="1490"/>
    <n v="2"/>
    <n v="0.1"/>
    <n v="298"/>
    <n v="2682"/>
    <n v="683.11"/>
    <s v="2018-12-29"/>
    <s v="2019-01-04"/>
    <s v="Corporate"/>
    <x v="4"/>
    <x v="231"/>
    <x v="740"/>
  </r>
  <r>
    <s v="OP-20181272"/>
    <x v="1"/>
    <x v="1"/>
    <x v="3"/>
    <s v="OnePlus 8 Pro"/>
    <n v="54999"/>
    <n v="3"/>
    <n v="0"/>
    <n v="0"/>
    <n v="164997"/>
    <n v="23940.639999999999"/>
    <s v="2019-02-14"/>
    <s v="2019-02-21"/>
    <s v="Corporate"/>
    <x v="0"/>
    <x v="671"/>
    <x v="741"/>
  </r>
  <r>
    <s v="OP-20181273"/>
    <x v="0"/>
    <x v="14"/>
    <x v="4"/>
    <s v="OnePlus Bullets Wireless Z"/>
    <n v="1999"/>
    <n v="2"/>
    <n v="0.1"/>
    <n v="399.8"/>
    <n v="3598.2"/>
    <n v="879.45"/>
    <s v="2018-11-16"/>
    <s v="2018-11-23"/>
    <s v="Individual"/>
    <x v="2"/>
    <x v="744"/>
    <x v="74"/>
  </r>
  <r>
    <s v="OP-20181274"/>
    <x v="1"/>
    <x v="1"/>
    <x v="3"/>
    <s v="OnePlus 8"/>
    <n v="41999"/>
    <n v="1"/>
    <n v="0.05"/>
    <n v="2099.9499999999998"/>
    <n v="39899.050000000003"/>
    <n v="9220.1200000000008"/>
    <s v="2018-04-16"/>
    <s v="2018-04-19"/>
    <s v="Individual"/>
    <x v="1"/>
    <x v="151"/>
    <x v="730"/>
  </r>
  <r>
    <s v="OP-20181275"/>
    <x v="1"/>
    <x v="6"/>
    <x v="3"/>
    <s v="OnePlus 7 Pro"/>
    <n v="48999"/>
    <n v="1"/>
    <n v="0.05"/>
    <n v="2449.9499999999998"/>
    <n v="46549.05"/>
    <n v="7412.75"/>
    <s v="2019-04-29"/>
    <s v="2019-05-03"/>
    <s v="Individual"/>
    <x v="4"/>
    <x v="662"/>
    <x v="742"/>
  </r>
  <r>
    <s v="OP-20181276"/>
    <x v="3"/>
    <x v="5"/>
    <x v="0"/>
    <s v="OnePlus Warp Charge 30 Wireless Charger"/>
    <n v="3990"/>
    <n v="1"/>
    <n v="0.1"/>
    <n v="399"/>
    <n v="3591"/>
    <n v="598.4"/>
    <s v="2018-08-01"/>
    <s v="2018-08-06"/>
    <s v="Individual"/>
    <x v="0"/>
    <x v="720"/>
    <x v="189"/>
  </r>
  <r>
    <s v="OP-20181277"/>
    <x v="0"/>
    <x v="3"/>
    <x v="3"/>
    <s v="OnePlus 7 Pro"/>
    <n v="48999"/>
    <n v="3"/>
    <n v="0"/>
    <n v="0"/>
    <n v="146997"/>
    <n v="34796.300000000003"/>
    <s v="2020-03-25"/>
    <s v="2020-03-28"/>
    <s v="Individual"/>
    <x v="0"/>
    <x v="745"/>
    <x v="695"/>
  </r>
  <r>
    <s v="OP-20181278"/>
    <x v="3"/>
    <x v="10"/>
    <x v="0"/>
    <s v="OnePlus Protective Case / Bumper"/>
    <n v="1290"/>
    <n v="1"/>
    <n v="0.15"/>
    <n v="193.5"/>
    <n v="1096.5"/>
    <n v="263.92"/>
    <s v="2020-04-18"/>
    <s v="2020-04-24"/>
    <s v="Corporate"/>
    <x v="0"/>
    <x v="746"/>
    <x v="495"/>
  </r>
  <r>
    <s v="OP-20181279"/>
    <x v="1"/>
    <x v="15"/>
    <x v="0"/>
    <s v="OnePlus Type-C Bullets Earphones"/>
    <n v="1490"/>
    <n v="3"/>
    <n v="0.08"/>
    <n v="357.6"/>
    <n v="4112.3999999999996"/>
    <n v="1060.3599999999999"/>
    <s v="2018-10-23"/>
    <s v="2018-10-27"/>
    <s v="Student"/>
    <x v="2"/>
    <x v="565"/>
    <x v="346"/>
  </r>
  <r>
    <s v="OP-20181280"/>
    <x v="0"/>
    <x v="0"/>
    <x v="1"/>
    <s v="OnePlus TV 43Y1 Full HD"/>
    <n v="22999"/>
    <n v="1"/>
    <n v="0"/>
    <n v="0"/>
    <n v="22999"/>
    <n v="4688.04"/>
    <s v="2020-12-29"/>
    <s v="2021-01-05"/>
    <s v="Corporate"/>
    <x v="4"/>
    <x v="46"/>
    <x v="459"/>
  </r>
  <r>
    <s v="OP-20181281"/>
    <x v="1"/>
    <x v="6"/>
    <x v="3"/>
    <s v="OnePlus 6"/>
    <n v="34999"/>
    <n v="2"/>
    <n v="0"/>
    <n v="0"/>
    <n v="69998"/>
    <n v="10482.44"/>
    <s v="2019-09-02"/>
    <s v="2019-09-08"/>
    <s v="Individual"/>
    <x v="4"/>
    <x v="747"/>
    <x v="743"/>
  </r>
  <r>
    <s v="OP-20181282"/>
    <x v="0"/>
    <x v="0"/>
    <x v="3"/>
    <s v="OnePlus 8 Pro"/>
    <n v="54999"/>
    <n v="1"/>
    <n v="0"/>
    <n v="0"/>
    <n v="54999"/>
    <n v="8719.9599999999991"/>
    <s v="2019-02-03"/>
    <s v="2019-02-05"/>
    <s v="Individual"/>
    <x v="0"/>
    <x v="748"/>
    <x v="647"/>
  </r>
  <r>
    <s v="OP-20181283"/>
    <x v="2"/>
    <x v="9"/>
    <x v="4"/>
    <s v="OnePlus Buds"/>
    <n v="4990"/>
    <n v="1"/>
    <n v="0"/>
    <n v="0"/>
    <n v="4990"/>
    <n v="1207.3800000000001"/>
    <s v="2018-06-10"/>
    <s v="2018-06-12"/>
    <s v="Retail Partner"/>
    <x v="1"/>
    <x v="474"/>
    <x v="140"/>
  </r>
  <r>
    <s v="OP-20181284"/>
    <x v="2"/>
    <x v="7"/>
    <x v="1"/>
    <s v="OnePlus TV 32Y1 HD Ready"/>
    <n v="12999"/>
    <n v="1"/>
    <n v="0.05"/>
    <n v="649.95000000000005"/>
    <n v="12349.05"/>
    <n v="1824.19"/>
    <s v="2020-02-24"/>
    <s v="2020-03-01"/>
    <s v="Individual"/>
    <x v="0"/>
    <x v="170"/>
    <x v="168"/>
  </r>
  <r>
    <s v="OP-20181285"/>
    <x v="3"/>
    <x v="5"/>
    <x v="3"/>
    <s v="OnePlus 8"/>
    <n v="41999"/>
    <n v="1"/>
    <n v="0"/>
    <n v="0"/>
    <n v="41999"/>
    <n v="10793.1"/>
    <s v="2020-02-20"/>
    <s v="2020-02-26"/>
    <s v="Individual"/>
    <x v="3"/>
    <x v="557"/>
    <x v="674"/>
  </r>
  <r>
    <s v="OP-20181286"/>
    <x v="2"/>
    <x v="9"/>
    <x v="1"/>
    <s v="OnePlus TV 43Y1 Full HD"/>
    <n v="22999"/>
    <n v="1"/>
    <n v="0.05"/>
    <n v="1149.95"/>
    <n v="21849.05"/>
    <n v="3087.78"/>
    <s v="2018-07-23"/>
    <s v="2018-07-29"/>
    <s v="Individual"/>
    <x v="0"/>
    <x v="558"/>
    <x v="181"/>
  </r>
  <r>
    <s v="OP-20181287"/>
    <x v="3"/>
    <x v="10"/>
    <x v="0"/>
    <s v="OnePlus Protective Case / Bumper"/>
    <n v="1290"/>
    <n v="5"/>
    <n v="0.1"/>
    <n v="645"/>
    <n v="5805"/>
    <n v="1507.76"/>
    <s v="2018-09-25"/>
    <s v="2018-09-28"/>
    <s v="Corporate"/>
    <x v="3"/>
    <x v="226"/>
    <x v="744"/>
  </r>
  <r>
    <s v="OP-20181288"/>
    <x v="0"/>
    <x v="14"/>
    <x v="4"/>
    <s v="OnePlus Buds"/>
    <n v="4990"/>
    <n v="3"/>
    <n v="0"/>
    <n v="0"/>
    <n v="14970"/>
    <n v="2133.5700000000002"/>
    <s v="2018-11-07"/>
    <s v="2018-11-10"/>
    <s v="Corporate"/>
    <x v="3"/>
    <x v="144"/>
    <x v="144"/>
  </r>
  <r>
    <s v="OP-20181289"/>
    <x v="1"/>
    <x v="6"/>
    <x v="0"/>
    <s v="OnePlus Warp Charge 30 Wireless Charger"/>
    <n v="3990"/>
    <n v="2"/>
    <n v="0.05"/>
    <n v="399"/>
    <n v="7581"/>
    <n v="1702.13"/>
    <s v="2020-09-08"/>
    <s v="2020-09-13"/>
    <s v="Individual"/>
    <x v="0"/>
    <x v="103"/>
    <x v="469"/>
  </r>
  <r>
    <s v="OP-20181290"/>
    <x v="3"/>
    <x v="5"/>
    <x v="1"/>
    <s v="OnePlus TV 43Y1 Full HD"/>
    <n v="22999"/>
    <n v="1"/>
    <n v="0.05"/>
    <n v="1149.95"/>
    <n v="21849.05"/>
    <n v="4498.6899999999996"/>
    <s v="2019-04-15"/>
    <s v="2019-04-18"/>
    <s v="Corporate"/>
    <x v="0"/>
    <x v="23"/>
    <x v="745"/>
  </r>
  <r>
    <s v="OP-20181291"/>
    <x v="1"/>
    <x v="6"/>
    <x v="3"/>
    <s v="OnePlus 6T"/>
    <n v="37999"/>
    <n v="3"/>
    <n v="0.05"/>
    <n v="5699.85"/>
    <n v="108297.15"/>
    <n v="16304.61"/>
    <s v="2020-12-25"/>
    <s v="2020-12-30"/>
    <s v="Retail Partner"/>
    <x v="2"/>
    <x v="694"/>
    <x v="746"/>
  </r>
  <r>
    <s v="OP-20181292"/>
    <x v="0"/>
    <x v="14"/>
    <x v="1"/>
    <s v="OnePlus TV 32Y1 HD Ready"/>
    <n v="12999"/>
    <n v="1"/>
    <n v="0.1"/>
    <n v="1299.9000000000001"/>
    <n v="11699.1"/>
    <n v="1778.31"/>
    <s v="2018-06-26"/>
    <s v="2018-07-02"/>
    <s v="Corporate"/>
    <x v="0"/>
    <x v="331"/>
    <x v="694"/>
  </r>
  <r>
    <s v="OP-20181293"/>
    <x v="0"/>
    <x v="2"/>
    <x v="3"/>
    <s v="OnePlus 7 Pro"/>
    <n v="48999"/>
    <n v="3"/>
    <n v="0.05"/>
    <n v="7349.85"/>
    <n v="139647.15"/>
    <n v="26276.05"/>
    <s v="2020-08-26"/>
    <s v="2020-09-01"/>
    <s v="Corporate"/>
    <x v="2"/>
    <x v="749"/>
    <x v="115"/>
  </r>
  <r>
    <s v="OP-20181294"/>
    <x v="2"/>
    <x v="9"/>
    <x v="3"/>
    <s v="OnePlus 8 Pro"/>
    <n v="54999"/>
    <n v="1"/>
    <n v="0.05"/>
    <n v="2749.95"/>
    <n v="52249.05"/>
    <n v="13382.86"/>
    <s v="2020-08-26"/>
    <s v="2020-08-31"/>
    <s v="Retail Partner"/>
    <x v="0"/>
    <x v="749"/>
    <x v="747"/>
  </r>
  <r>
    <s v="OP-20181295"/>
    <x v="1"/>
    <x v="15"/>
    <x v="4"/>
    <s v="OnePlus Buds"/>
    <n v="4990"/>
    <n v="1"/>
    <n v="0"/>
    <n v="0"/>
    <n v="4990"/>
    <n v="1277.8800000000001"/>
    <s v="2020-11-19"/>
    <s v="2020-11-26"/>
    <s v="Individual"/>
    <x v="3"/>
    <x v="355"/>
    <x v="722"/>
  </r>
  <r>
    <s v="OP-20181296"/>
    <x v="1"/>
    <x v="6"/>
    <x v="3"/>
    <s v="OnePlus 6"/>
    <n v="34999"/>
    <n v="2"/>
    <n v="0.05"/>
    <n v="3499.9"/>
    <n v="66498.100000000006"/>
    <n v="16714.72"/>
    <s v="2019-08-30"/>
    <s v="2019-09-03"/>
    <s v="Individual"/>
    <x v="4"/>
    <x v="595"/>
    <x v="609"/>
  </r>
  <r>
    <s v="OP-20181297"/>
    <x v="2"/>
    <x v="4"/>
    <x v="0"/>
    <s v="OnePlus Protective Case / Bumper"/>
    <n v="1290"/>
    <n v="3"/>
    <n v="0.05"/>
    <n v="193.5"/>
    <n v="3676.5"/>
    <n v="605.29999999999995"/>
    <s v="2018-06-22"/>
    <s v="2018-06-25"/>
    <s v="Student"/>
    <x v="0"/>
    <x v="398"/>
    <x v="706"/>
  </r>
  <r>
    <s v="OP-20181298"/>
    <x v="2"/>
    <x v="19"/>
    <x v="4"/>
    <s v="OnePlus Bullets Wireless Z"/>
    <n v="1999"/>
    <n v="1"/>
    <n v="0"/>
    <n v="0"/>
    <n v="1999"/>
    <n v="459.56"/>
    <s v="2019-04-25"/>
    <s v="2019-04-29"/>
    <s v="Corporate"/>
    <x v="0"/>
    <x v="362"/>
    <x v="403"/>
  </r>
  <r>
    <s v="OP-20181299"/>
    <x v="3"/>
    <x v="18"/>
    <x v="4"/>
    <s v="OnePlus Bullets Wireless Z"/>
    <n v="1999"/>
    <n v="1"/>
    <n v="0.1"/>
    <n v="199.9"/>
    <n v="1799.1"/>
    <n v="369.22"/>
    <s v="2020-09-30"/>
    <s v="2020-10-05"/>
    <s v="Student"/>
    <x v="3"/>
    <x v="750"/>
    <x v="748"/>
  </r>
  <r>
    <s v="OP-20181300"/>
    <x v="1"/>
    <x v="15"/>
    <x v="1"/>
    <s v="OnePlus TV 32Y1 HD Ready"/>
    <n v="12999"/>
    <n v="1"/>
    <n v="0.1"/>
    <n v="1299.9000000000001"/>
    <n v="11699.1"/>
    <n v="1671.75"/>
    <s v="2020-07-30"/>
    <s v="2020-08-03"/>
    <s v="Individual"/>
    <x v="4"/>
    <x v="632"/>
    <x v="211"/>
  </r>
  <r>
    <s v="OP-20181301"/>
    <x v="2"/>
    <x v="19"/>
    <x v="0"/>
    <s v="OnePlus Warp Charge 30 Power Adapter"/>
    <n v="1990"/>
    <n v="2"/>
    <n v="0.05"/>
    <n v="199"/>
    <n v="3781"/>
    <n v="937.3"/>
    <s v="2020-08-05"/>
    <s v="2020-08-07"/>
    <s v="Individual"/>
    <x v="1"/>
    <x v="751"/>
    <x v="749"/>
  </r>
  <r>
    <s v="OP-20181302"/>
    <x v="0"/>
    <x v="14"/>
    <x v="3"/>
    <s v="OnePlus 7T Pro"/>
    <n v="53999"/>
    <n v="1"/>
    <n v="0"/>
    <n v="0"/>
    <n v="53999"/>
    <n v="8909.7900000000009"/>
    <s v="2020-09-21"/>
    <s v="2020-09-23"/>
    <s v="Individual"/>
    <x v="0"/>
    <x v="102"/>
    <x v="264"/>
  </r>
  <r>
    <s v="OP-20181303"/>
    <x v="2"/>
    <x v="7"/>
    <x v="0"/>
    <s v="OnePlus Protective Case / Bumper"/>
    <n v="1290"/>
    <n v="1"/>
    <n v="0.08"/>
    <n v="103.2"/>
    <n v="1186.8"/>
    <n v="304.64999999999998"/>
    <s v="2019-09-19"/>
    <s v="2019-09-23"/>
    <s v="Individual"/>
    <x v="4"/>
    <x v="752"/>
    <x v="750"/>
  </r>
  <r>
    <s v="OP-20181304"/>
    <x v="2"/>
    <x v="4"/>
    <x v="3"/>
    <s v="OnePlus 8 Pro"/>
    <n v="54999"/>
    <n v="1"/>
    <n v="0.1"/>
    <n v="5499.9"/>
    <n v="49499.1"/>
    <n v="10380.44"/>
    <s v="2020-06-21"/>
    <s v="2020-06-23"/>
    <s v="Individual"/>
    <x v="0"/>
    <x v="350"/>
    <x v="359"/>
  </r>
  <r>
    <s v="OP-20181305"/>
    <x v="1"/>
    <x v="6"/>
    <x v="1"/>
    <s v="OnePlus TV Q1 55-inch"/>
    <n v="69900"/>
    <n v="1"/>
    <n v="0.05"/>
    <n v="3495"/>
    <n v="66405"/>
    <n v="11309.21"/>
    <s v="2018-02-14"/>
    <s v="2018-02-16"/>
    <s v="Individual"/>
    <x v="3"/>
    <x v="753"/>
    <x v="427"/>
  </r>
  <r>
    <s v="OP-20181306"/>
    <x v="0"/>
    <x v="3"/>
    <x v="0"/>
    <s v="OnePlus Protective Case / Bumper"/>
    <n v="1290"/>
    <n v="3"/>
    <n v="0.05"/>
    <n v="193.5"/>
    <n v="3676.5"/>
    <n v="664.67"/>
    <s v="2020-11-25"/>
    <s v="2020-11-28"/>
    <s v="Corporate"/>
    <x v="1"/>
    <x v="728"/>
    <x v="751"/>
  </r>
  <r>
    <s v="OP-20181307"/>
    <x v="1"/>
    <x v="12"/>
    <x v="4"/>
    <s v="OnePlus Buds Z"/>
    <n v="2999"/>
    <n v="2"/>
    <n v="0.05"/>
    <n v="299.89999999999998"/>
    <n v="5698.1"/>
    <n v="1377.28"/>
    <s v="2019-07-28"/>
    <s v="2019-07-30"/>
    <s v="Individual"/>
    <x v="4"/>
    <x v="626"/>
    <x v="200"/>
  </r>
  <r>
    <s v="OP-20181308"/>
    <x v="3"/>
    <x v="5"/>
    <x v="3"/>
    <s v="OnePlus 8"/>
    <n v="41999"/>
    <n v="2"/>
    <n v="0.1"/>
    <n v="8399.7999999999993"/>
    <n v="75598.2"/>
    <n v="12728.99"/>
    <s v="2018-08-07"/>
    <s v="2018-08-10"/>
    <s v="Corporate"/>
    <x v="3"/>
    <x v="285"/>
    <x v="615"/>
  </r>
  <r>
    <s v="OP-20181309"/>
    <x v="0"/>
    <x v="0"/>
    <x v="3"/>
    <s v="OnePlus 6"/>
    <n v="34999"/>
    <n v="5"/>
    <n v="0.05"/>
    <n v="8749.75"/>
    <n v="166245.25"/>
    <n v="41690.53"/>
    <s v="2020-04-09"/>
    <s v="2020-04-13"/>
    <s v="Retail Partner"/>
    <x v="3"/>
    <x v="689"/>
    <x v="687"/>
  </r>
  <r>
    <s v="OP-20181310"/>
    <x v="0"/>
    <x v="13"/>
    <x v="3"/>
    <s v="OnePlus 7 Pro"/>
    <n v="48999"/>
    <n v="1"/>
    <n v="0"/>
    <n v="0"/>
    <n v="48999"/>
    <n v="12026.81"/>
    <s v="2020-11-27"/>
    <s v="2020-12-01"/>
    <s v="Individual"/>
    <x v="0"/>
    <x v="319"/>
    <x v="232"/>
  </r>
  <r>
    <s v="OP-20181311"/>
    <x v="2"/>
    <x v="4"/>
    <x v="3"/>
    <s v="OnePlus 7"/>
    <n v="32999"/>
    <n v="1"/>
    <n v="0.08"/>
    <n v="2639.92"/>
    <n v="30359.08"/>
    <n v="5897.61"/>
    <s v="2019-10-23"/>
    <s v="2019-10-29"/>
    <s v="Individual"/>
    <x v="3"/>
    <x v="100"/>
    <x v="166"/>
  </r>
  <r>
    <s v="OP-20181312"/>
    <x v="1"/>
    <x v="12"/>
    <x v="3"/>
    <s v="OnePlus 8 Pro"/>
    <n v="54999"/>
    <n v="1"/>
    <n v="0.05"/>
    <n v="2749.95"/>
    <n v="52249.05"/>
    <n v="10008.09"/>
    <s v="2018-04-21"/>
    <s v="2018-04-28"/>
    <s v="Individual"/>
    <x v="0"/>
    <x v="59"/>
    <x v="283"/>
  </r>
  <r>
    <s v="OP-20181313"/>
    <x v="1"/>
    <x v="15"/>
    <x v="0"/>
    <s v="OnePlus Protective Case / Bumper"/>
    <n v="1290"/>
    <n v="1"/>
    <n v="0.05"/>
    <n v="64.5"/>
    <n v="1225.5"/>
    <n v="310.76"/>
    <s v="2020-03-24"/>
    <s v="2020-03-30"/>
    <s v="Individual"/>
    <x v="1"/>
    <x v="714"/>
    <x v="752"/>
  </r>
  <r>
    <s v="OP-20181314"/>
    <x v="1"/>
    <x v="11"/>
    <x v="3"/>
    <s v="OnePlus 7T Pro"/>
    <n v="53999"/>
    <n v="1"/>
    <n v="0.05"/>
    <n v="2699.95"/>
    <n v="51299.05"/>
    <n v="12595.46"/>
    <s v="2019-09-09"/>
    <s v="2019-09-12"/>
    <s v="Individual"/>
    <x v="1"/>
    <x v="754"/>
    <x v="9"/>
  </r>
  <r>
    <s v="OP-20181315"/>
    <x v="0"/>
    <x v="2"/>
    <x v="3"/>
    <s v="OnePlus 8 Pro"/>
    <n v="54999"/>
    <n v="1"/>
    <n v="0.1"/>
    <n v="5499.9"/>
    <n v="49499.1"/>
    <n v="10010.02"/>
    <s v="2020-04-05"/>
    <s v="2020-04-11"/>
    <s v="Individual"/>
    <x v="3"/>
    <x v="545"/>
    <x v="753"/>
  </r>
  <r>
    <s v="OP-20181316"/>
    <x v="2"/>
    <x v="16"/>
    <x v="1"/>
    <s v="OnePlus TV 43Y1 Full HD"/>
    <n v="22999"/>
    <n v="1"/>
    <n v="0.12"/>
    <n v="2759.88"/>
    <n v="20239.12"/>
    <n v="3292.32"/>
    <s v="2019-10-08"/>
    <s v="2019-10-10"/>
    <s v="Individual"/>
    <x v="4"/>
    <x v="69"/>
    <x v="724"/>
  </r>
  <r>
    <s v="OP-20181317"/>
    <x v="3"/>
    <x v="8"/>
    <x v="3"/>
    <s v="OnePlus 7T"/>
    <n v="37999"/>
    <n v="1"/>
    <n v="0.08"/>
    <n v="3039.92"/>
    <n v="34959.08"/>
    <n v="6217.78"/>
    <s v="2020-09-19"/>
    <s v="2020-09-25"/>
    <s v="Individual"/>
    <x v="3"/>
    <x v="31"/>
    <x v="31"/>
  </r>
  <r>
    <s v="OP-20181318"/>
    <x v="1"/>
    <x v="6"/>
    <x v="2"/>
    <s v="OnePlus Nord"/>
    <n v="24999"/>
    <n v="1"/>
    <n v="0.05"/>
    <n v="1249.95"/>
    <n v="23749.05"/>
    <n v="3987.74"/>
    <s v="2019-06-27"/>
    <s v="2019-07-04"/>
    <s v="Individual"/>
    <x v="1"/>
    <x v="755"/>
    <x v="754"/>
  </r>
  <r>
    <s v="OP-20181319"/>
    <x v="3"/>
    <x v="10"/>
    <x v="4"/>
    <s v="OnePlus Buds Z"/>
    <n v="2999"/>
    <n v="1"/>
    <n v="0.08"/>
    <n v="239.92"/>
    <n v="2759.08"/>
    <n v="419.9"/>
    <s v="2019-03-17"/>
    <s v="2019-03-24"/>
    <s v="Individual"/>
    <x v="0"/>
    <x v="713"/>
    <x v="293"/>
  </r>
  <r>
    <s v="OP-20181320"/>
    <x v="1"/>
    <x v="1"/>
    <x v="0"/>
    <s v="OnePlus Type-C Bullets Earphones"/>
    <n v="1490"/>
    <n v="1"/>
    <n v="0.05"/>
    <n v="74.5"/>
    <n v="1415.5"/>
    <n v="212.16"/>
    <s v="2019-12-22"/>
    <s v="2019-12-24"/>
    <s v="Individual"/>
    <x v="3"/>
    <x v="756"/>
    <x v="755"/>
  </r>
  <r>
    <s v="OP-20181321"/>
    <x v="3"/>
    <x v="5"/>
    <x v="1"/>
    <s v="OnePlus TV 32Y1 HD Ready"/>
    <n v="12999"/>
    <n v="1"/>
    <n v="0.05"/>
    <n v="649.95000000000005"/>
    <n v="12349.05"/>
    <n v="3164.24"/>
    <s v="2020-04-25"/>
    <s v="2020-05-02"/>
    <s v="Student"/>
    <x v="0"/>
    <x v="757"/>
    <x v="249"/>
  </r>
  <r>
    <s v="OP-20181322"/>
    <x v="3"/>
    <x v="10"/>
    <x v="3"/>
    <s v="OnePlus 8"/>
    <n v="41999"/>
    <n v="1"/>
    <n v="0.1"/>
    <n v="4199.8999999999996"/>
    <n v="37799.1"/>
    <n v="9497.85"/>
    <s v="2019-05-31"/>
    <s v="2019-06-06"/>
    <s v="Individual"/>
    <x v="0"/>
    <x v="37"/>
    <x v="25"/>
  </r>
  <r>
    <s v="OP-20181323"/>
    <x v="1"/>
    <x v="12"/>
    <x v="1"/>
    <s v="OnePlus TV Q1 55-inch"/>
    <n v="69900"/>
    <n v="1"/>
    <n v="0.1"/>
    <n v="6990"/>
    <n v="62910"/>
    <n v="14666.63"/>
    <s v="2020-03-11"/>
    <s v="2020-03-18"/>
    <s v="Individual"/>
    <x v="3"/>
    <x v="497"/>
    <x v="756"/>
  </r>
  <r>
    <s v="OP-20181324"/>
    <x v="0"/>
    <x v="14"/>
    <x v="4"/>
    <s v="OnePlus Bullets Wireless Z"/>
    <n v="1999"/>
    <n v="2"/>
    <n v="0"/>
    <n v="0"/>
    <n v="3998"/>
    <n v="769.27"/>
    <s v="2020-08-05"/>
    <s v="2020-08-11"/>
    <s v="Individual"/>
    <x v="0"/>
    <x v="751"/>
    <x v="14"/>
  </r>
  <r>
    <s v="OP-20181325"/>
    <x v="0"/>
    <x v="13"/>
    <x v="0"/>
    <s v="OnePlus Type-C Bullets Earphones"/>
    <n v="1490"/>
    <n v="1"/>
    <n v="0.12"/>
    <n v="178.8"/>
    <n v="1311.2"/>
    <n v="195.79"/>
    <s v="2020-07-05"/>
    <s v="2020-07-10"/>
    <s v="Individual"/>
    <x v="0"/>
    <x v="441"/>
    <x v="757"/>
  </r>
  <r>
    <s v="OP-20181326"/>
    <x v="3"/>
    <x v="18"/>
    <x v="4"/>
    <s v="OnePlus Bullets Wireless 2"/>
    <n v="5990"/>
    <n v="4"/>
    <n v="0.08"/>
    <n v="1916.8"/>
    <n v="22043.200000000001"/>
    <n v="3657.37"/>
    <s v="2020-09-14"/>
    <s v="2020-09-19"/>
    <s v="Corporate"/>
    <x v="3"/>
    <x v="155"/>
    <x v="737"/>
  </r>
  <r>
    <s v="OP-20181327"/>
    <x v="0"/>
    <x v="3"/>
    <x v="0"/>
    <s v="OnePlus Type-C Bullets Earphones"/>
    <n v="1490"/>
    <n v="1"/>
    <n v="0.05"/>
    <n v="74.5"/>
    <n v="1415.5"/>
    <n v="366.06"/>
    <s v="2020-01-16"/>
    <s v="2020-01-19"/>
    <s v="Individual"/>
    <x v="5"/>
    <x v="650"/>
    <x v="461"/>
  </r>
  <r>
    <s v="OP-20181328"/>
    <x v="0"/>
    <x v="13"/>
    <x v="1"/>
    <s v="OnePlus TV Q1 55-inch"/>
    <n v="69900"/>
    <n v="1"/>
    <n v="0.05"/>
    <n v="3495"/>
    <n v="66405"/>
    <n v="16820.84"/>
    <s v="2020-03-26"/>
    <s v="2020-04-02"/>
    <s v="Individual"/>
    <x v="3"/>
    <x v="668"/>
    <x v="304"/>
  </r>
  <r>
    <s v="OP-20181329"/>
    <x v="3"/>
    <x v="10"/>
    <x v="1"/>
    <s v="OnePlus TV 43Y1 Full HD"/>
    <n v="22999"/>
    <n v="1"/>
    <n v="0.05"/>
    <n v="1149.95"/>
    <n v="21849.05"/>
    <n v="4814.17"/>
    <s v="2018-05-16"/>
    <s v="2018-05-23"/>
    <s v="Corporate"/>
    <x v="1"/>
    <x v="184"/>
    <x v="339"/>
  </r>
  <r>
    <s v="OP-20181330"/>
    <x v="0"/>
    <x v="0"/>
    <x v="0"/>
    <s v="OnePlus Warp Charge 30 Wireless Charger"/>
    <n v="3990"/>
    <n v="1"/>
    <n v="0.05"/>
    <n v="199.5"/>
    <n v="3790.5"/>
    <n v="616.26"/>
    <s v="2020-10-25"/>
    <s v="2020-10-28"/>
    <s v="Individual"/>
    <x v="4"/>
    <x v="758"/>
    <x v="736"/>
  </r>
  <r>
    <s v="OP-20181331"/>
    <x v="1"/>
    <x v="11"/>
    <x v="1"/>
    <s v="OnePlus TV Q1 55-inch"/>
    <n v="69900"/>
    <n v="1"/>
    <n v="0.12"/>
    <n v="8388"/>
    <n v="61512"/>
    <n v="10048.33"/>
    <s v="2018-04-07"/>
    <s v="2018-04-12"/>
    <s v="Individual"/>
    <x v="0"/>
    <x v="614"/>
    <x v="758"/>
  </r>
  <r>
    <s v="OP-20181332"/>
    <x v="1"/>
    <x v="1"/>
    <x v="3"/>
    <s v="OnePlus 6"/>
    <n v="34999"/>
    <n v="1"/>
    <n v="0.05"/>
    <n v="1749.95"/>
    <n v="33249.050000000003"/>
    <n v="7819.76"/>
    <s v="2018-01-31"/>
    <s v="2018-02-06"/>
    <s v="Corporate"/>
    <x v="0"/>
    <x v="493"/>
    <x v="733"/>
  </r>
  <r>
    <s v="OP-20181333"/>
    <x v="0"/>
    <x v="2"/>
    <x v="0"/>
    <s v="OnePlus Protective Case / Bumper"/>
    <n v="1290"/>
    <n v="2"/>
    <n v="0"/>
    <n v="0"/>
    <n v="2580"/>
    <n v="605.77"/>
    <s v="2018-06-18"/>
    <s v="2018-06-23"/>
    <s v="Individual"/>
    <x v="3"/>
    <x v="711"/>
    <x v="641"/>
  </r>
  <r>
    <s v="OP-20181334"/>
    <x v="3"/>
    <x v="18"/>
    <x v="2"/>
    <s v="OnePlus Nord N10"/>
    <n v="19999"/>
    <n v="4"/>
    <n v="0.05"/>
    <n v="3999.8"/>
    <n v="75996.2"/>
    <n v="14228.72"/>
    <s v="2020-06-22"/>
    <s v="2020-06-25"/>
    <s v="Corporate"/>
    <x v="0"/>
    <x v="759"/>
    <x v="130"/>
  </r>
  <r>
    <s v="OP-20181335"/>
    <x v="2"/>
    <x v="16"/>
    <x v="3"/>
    <s v="OnePlus 8 Pro"/>
    <n v="54999"/>
    <n v="1"/>
    <n v="0"/>
    <n v="0"/>
    <n v="54999"/>
    <n v="13055.97"/>
    <s v="2020-01-15"/>
    <s v="2020-01-21"/>
    <s v="Corporate"/>
    <x v="4"/>
    <x v="760"/>
    <x v="759"/>
  </r>
  <r>
    <s v="OP-20181336"/>
    <x v="2"/>
    <x v="7"/>
    <x v="1"/>
    <s v="OnePlus TV 32Y1 HD Ready"/>
    <n v="12999"/>
    <n v="1"/>
    <n v="0"/>
    <n v="0"/>
    <n v="12999"/>
    <n v="3278.97"/>
    <s v="2020-06-02"/>
    <s v="2020-06-06"/>
    <s v="Corporate"/>
    <x v="3"/>
    <x v="202"/>
    <x v="760"/>
  </r>
  <r>
    <s v="OP-20181337"/>
    <x v="1"/>
    <x v="15"/>
    <x v="2"/>
    <s v="OnePlus Nord N10"/>
    <n v="19999"/>
    <n v="1"/>
    <n v="0.05"/>
    <n v="999.95"/>
    <n v="18999.05"/>
    <n v="3917.2"/>
    <s v="2019-07-15"/>
    <s v="2019-07-20"/>
    <s v="Corporate"/>
    <x v="1"/>
    <x v="302"/>
    <x v="612"/>
  </r>
  <r>
    <s v="OP-20181338"/>
    <x v="3"/>
    <x v="18"/>
    <x v="1"/>
    <s v="OnePlus TV Q1 55-inch"/>
    <n v="69900"/>
    <n v="1"/>
    <n v="0.1"/>
    <n v="6990"/>
    <n v="62910"/>
    <n v="15054.22"/>
    <s v="2018-01-12"/>
    <s v="2018-01-14"/>
    <s v="Individual"/>
    <x v="0"/>
    <x v="258"/>
    <x v="367"/>
  </r>
  <r>
    <s v="OP-20181339"/>
    <x v="0"/>
    <x v="2"/>
    <x v="3"/>
    <s v="OnePlus 7"/>
    <n v="32999"/>
    <n v="2"/>
    <n v="0.05"/>
    <n v="3299.9"/>
    <n v="62698.1"/>
    <n v="12844.55"/>
    <s v="2020-07-03"/>
    <s v="2020-07-07"/>
    <s v="Individual"/>
    <x v="3"/>
    <x v="387"/>
    <x v="230"/>
  </r>
  <r>
    <s v="OP-20181340"/>
    <x v="1"/>
    <x v="11"/>
    <x v="4"/>
    <s v="OnePlus Bullets Wireless Z"/>
    <n v="1999"/>
    <n v="1"/>
    <n v="0.05"/>
    <n v="99.95"/>
    <n v="1899.05"/>
    <n v="355.29"/>
    <s v="2020-04-23"/>
    <s v="2020-04-26"/>
    <s v="Individual"/>
    <x v="0"/>
    <x v="79"/>
    <x v="282"/>
  </r>
  <r>
    <s v="OP-20181341"/>
    <x v="3"/>
    <x v="18"/>
    <x v="0"/>
    <s v="OnePlus Type-C Bullets Earphones"/>
    <n v="1490"/>
    <n v="2"/>
    <n v="0.05"/>
    <n v="149"/>
    <n v="2831"/>
    <n v="634.47"/>
    <s v="2020-09-11"/>
    <s v="2020-09-17"/>
    <s v="Individual"/>
    <x v="3"/>
    <x v="195"/>
    <x v="652"/>
  </r>
  <r>
    <s v="OP-20181342"/>
    <x v="0"/>
    <x v="14"/>
    <x v="3"/>
    <s v="OnePlus 6"/>
    <n v="34999"/>
    <n v="1"/>
    <n v="0.1"/>
    <n v="3499.9"/>
    <n v="31499.1"/>
    <n v="6873.61"/>
    <s v="2019-03-31"/>
    <s v="2019-04-03"/>
    <s v="Individual"/>
    <x v="1"/>
    <x v="615"/>
    <x v="24"/>
  </r>
  <r>
    <s v="OP-20181343"/>
    <x v="1"/>
    <x v="11"/>
    <x v="0"/>
    <s v="OnePlus Warp Charge 30 Wireless Charger"/>
    <n v="3990"/>
    <n v="1"/>
    <n v="0.05"/>
    <n v="199.5"/>
    <n v="3790.5"/>
    <n v="976.14"/>
    <s v="2019-12-03"/>
    <s v="2019-12-10"/>
    <s v="Individual"/>
    <x v="0"/>
    <x v="761"/>
    <x v="592"/>
  </r>
  <r>
    <s v="OP-20181344"/>
    <x v="0"/>
    <x v="0"/>
    <x v="0"/>
    <s v="OnePlus Type-C Bullets Earphones"/>
    <n v="1490"/>
    <n v="2"/>
    <n v="0"/>
    <n v="0"/>
    <n v="2980"/>
    <n v="623.41999999999996"/>
    <s v="2019-01-02"/>
    <s v="2019-01-07"/>
    <s v="Individual"/>
    <x v="1"/>
    <x v="289"/>
    <x v="290"/>
  </r>
  <r>
    <s v="OP-20181345"/>
    <x v="0"/>
    <x v="14"/>
    <x v="0"/>
    <s v="OnePlus Warp Charge 30 Power Adapter"/>
    <n v="1990"/>
    <n v="1"/>
    <n v="0.08"/>
    <n v="159.19999999999999"/>
    <n v="1830.8"/>
    <n v="430.14"/>
    <s v="2018-01-20"/>
    <s v="2018-01-25"/>
    <s v="Individual"/>
    <x v="1"/>
    <x v="762"/>
    <x v="761"/>
  </r>
  <r>
    <s v="OP-20181346"/>
    <x v="0"/>
    <x v="3"/>
    <x v="0"/>
    <s v="OnePlus Warp Charge 30 Power Adapter"/>
    <n v="1990"/>
    <n v="4"/>
    <n v="0.1"/>
    <n v="796"/>
    <n v="7164"/>
    <n v="1556.14"/>
    <s v="2019-03-31"/>
    <s v="2019-04-07"/>
    <s v="Individual"/>
    <x v="0"/>
    <x v="615"/>
    <x v="214"/>
  </r>
  <r>
    <s v="OP-20181347"/>
    <x v="0"/>
    <x v="14"/>
    <x v="1"/>
    <s v="OnePlus TV 43Y1 Full HD"/>
    <n v="22999"/>
    <n v="1"/>
    <n v="0"/>
    <n v="0"/>
    <n v="22999"/>
    <n v="3777.19"/>
    <s v="2018-04-05"/>
    <s v="2018-04-08"/>
    <s v="Corporate"/>
    <x v="1"/>
    <x v="763"/>
    <x v="762"/>
  </r>
  <r>
    <s v="OP-20181348"/>
    <x v="0"/>
    <x v="3"/>
    <x v="0"/>
    <s v="OnePlus Warp Charge 30 Power Adapter"/>
    <n v="1990"/>
    <n v="1"/>
    <n v="0.05"/>
    <n v="99.5"/>
    <n v="1890.5"/>
    <n v="445.13"/>
    <s v="2019-06-18"/>
    <s v="2019-06-21"/>
    <s v="Individual"/>
    <x v="0"/>
    <x v="764"/>
    <x v="763"/>
  </r>
  <r>
    <s v="OP-20181349"/>
    <x v="2"/>
    <x v="4"/>
    <x v="3"/>
    <s v="OnePlus 7"/>
    <n v="32999"/>
    <n v="3"/>
    <n v="0.08"/>
    <n v="7919.76"/>
    <n v="91077.24"/>
    <n v="16285.64"/>
    <s v="2019-12-25"/>
    <s v="2020-01-01"/>
    <s v="Individual"/>
    <x v="0"/>
    <x v="693"/>
    <x v="76"/>
  </r>
  <r>
    <s v="OP-20181350"/>
    <x v="1"/>
    <x v="15"/>
    <x v="1"/>
    <s v="OnePlus TV 43Y1 Full HD"/>
    <n v="22999"/>
    <n v="2"/>
    <n v="0.1"/>
    <n v="4599.8"/>
    <n v="41398.199999999997"/>
    <n v="8338.2900000000009"/>
    <s v="2019-03-03"/>
    <s v="2019-03-07"/>
    <s v="Individual"/>
    <x v="0"/>
    <x v="765"/>
    <x v="682"/>
  </r>
  <r>
    <s v="OP-20181351"/>
    <x v="2"/>
    <x v="4"/>
    <x v="0"/>
    <s v="OnePlus Warp Charge 30 Wireless Charger"/>
    <n v="3990"/>
    <n v="5"/>
    <n v="0.08"/>
    <n v="1596"/>
    <n v="18354"/>
    <n v="4676.34"/>
    <s v="2020-06-12"/>
    <s v="2020-06-16"/>
    <s v="Individual"/>
    <x v="1"/>
    <x v="397"/>
    <x v="764"/>
  </r>
  <r>
    <s v="OP-20181352"/>
    <x v="1"/>
    <x v="1"/>
    <x v="1"/>
    <s v="OnePlus TV 32Y1 HD Ready"/>
    <n v="12999"/>
    <n v="1"/>
    <n v="0.15"/>
    <n v="1949.85"/>
    <n v="11049.15"/>
    <n v="2585"/>
    <s v="2018-12-02"/>
    <s v="2018-12-05"/>
    <s v="Student"/>
    <x v="3"/>
    <x v="189"/>
    <x v="188"/>
  </r>
  <r>
    <s v="OP-20181353"/>
    <x v="3"/>
    <x v="8"/>
    <x v="0"/>
    <s v="OnePlus Warp Charge 30 Power Adapter"/>
    <n v="1990"/>
    <n v="1"/>
    <n v="0.1"/>
    <n v="199"/>
    <n v="1791"/>
    <n v="309.32"/>
    <s v="2020-10-01"/>
    <s v="2020-10-04"/>
    <s v="Student"/>
    <x v="4"/>
    <x v="363"/>
    <x v="765"/>
  </r>
  <r>
    <s v="OP-20181354"/>
    <x v="0"/>
    <x v="2"/>
    <x v="3"/>
    <s v="OnePlus 7 Pro"/>
    <n v="48999"/>
    <n v="4"/>
    <n v="0.05"/>
    <n v="9799.7999999999993"/>
    <n v="186196.2"/>
    <n v="38696.300000000003"/>
    <s v="2020-04-24"/>
    <s v="2020-04-29"/>
    <s v="Individual"/>
    <x v="3"/>
    <x v="766"/>
    <x v="81"/>
  </r>
  <r>
    <s v="OP-20181355"/>
    <x v="2"/>
    <x v="9"/>
    <x v="1"/>
    <s v="OnePlus TV 43Y1 Full HD"/>
    <n v="22999"/>
    <n v="1"/>
    <n v="0.08"/>
    <n v="1839.92"/>
    <n v="21159.08"/>
    <n v="4551.49"/>
    <s v="2018-12-16"/>
    <s v="2018-12-19"/>
    <s v="Individual"/>
    <x v="3"/>
    <x v="68"/>
    <x v="766"/>
  </r>
  <r>
    <s v="OP-20181356"/>
    <x v="2"/>
    <x v="9"/>
    <x v="3"/>
    <s v="OnePlus 8 Pro"/>
    <n v="54999"/>
    <n v="1"/>
    <n v="0.05"/>
    <n v="2749.95"/>
    <n v="52249.05"/>
    <n v="8033.96"/>
    <s v="2020-09-06"/>
    <s v="2020-09-09"/>
    <s v="Individual"/>
    <x v="3"/>
    <x v="213"/>
    <x v="560"/>
  </r>
  <r>
    <s v="OP-20181357"/>
    <x v="2"/>
    <x v="7"/>
    <x v="1"/>
    <s v="OnePlus TV Q1 55-inch"/>
    <n v="69900"/>
    <n v="2"/>
    <n v="0"/>
    <n v="0"/>
    <n v="139800"/>
    <n v="30949.19"/>
    <s v="2019-01-22"/>
    <s v="2019-01-26"/>
    <s v="Individual"/>
    <x v="3"/>
    <x v="588"/>
    <x v="577"/>
  </r>
  <r>
    <s v="OP-20181358"/>
    <x v="2"/>
    <x v="19"/>
    <x v="0"/>
    <s v="OnePlus Type-C Bullets Earphones"/>
    <n v="1490"/>
    <n v="1"/>
    <n v="0"/>
    <n v="0"/>
    <n v="1490"/>
    <n v="381.56"/>
    <s v="2020-10-20"/>
    <s v="2020-10-24"/>
    <s v="Individual"/>
    <x v="0"/>
    <x v="767"/>
    <x v="767"/>
  </r>
  <r>
    <s v="OP-20181359"/>
    <x v="0"/>
    <x v="0"/>
    <x v="1"/>
    <s v="OnePlus TV Q1 55-inch"/>
    <n v="69900"/>
    <n v="1"/>
    <n v="0"/>
    <n v="0"/>
    <n v="69900"/>
    <n v="10502.9"/>
    <s v="2020-02-06"/>
    <s v="2020-02-11"/>
    <s v="Student"/>
    <x v="4"/>
    <x v="768"/>
    <x v="442"/>
  </r>
  <r>
    <s v="OP-20181360"/>
    <x v="1"/>
    <x v="6"/>
    <x v="3"/>
    <s v="OnePlus 8 Pro"/>
    <n v="54999"/>
    <n v="2"/>
    <n v="0.05"/>
    <n v="5499.9"/>
    <n v="104498.1"/>
    <n v="22993.57"/>
    <s v="2019-11-22"/>
    <s v="2019-11-25"/>
    <s v="Individual"/>
    <x v="0"/>
    <x v="410"/>
    <x v="679"/>
  </r>
  <r>
    <s v="OP-20181361"/>
    <x v="2"/>
    <x v="4"/>
    <x v="3"/>
    <s v="OnePlus 8"/>
    <n v="41999"/>
    <n v="2"/>
    <n v="0.05"/>
    <n v="4199.8999999999996"/>
    <n v="79798.100000000006"/>
    <n v="16459.62"/>
    <s v="2020-04-07"/>
    <s v="2020-04-09"/>
    <s v="Individual"/>
    <x v="1"/>
    <x v="769"/>
    <x v="545"/>
  </r>
  <r>
    <s v="OP-20181362"/>
    <x v="0"/>
    <x v="14"/>
    <x v="3"/>
    <s v="OnePlus 7 Pro"/>
    <n v="48999"/>
    <n v="3"/>
    <n v="0.05"/>
    <n v="7349.85"/>
    <n v="139647.15"/>
    <n v="29666.27"/>
    <s v="2020-02-29"/>
    <s v="2020-03-05"/>
    <s v="Individual"/>
    <x v="0"/>
    <x v="180"/>
    <x v="6"/>
  </r>
  <r>
    <s v="OP-20181363"/>
    <x v="1"/>
    <x v="12"/>
    <x v="2"/>
    <s v="OnePlus Nord N10"/>
    <n v="19999"/>
    <n v="5"/>
    <n v="0.05"/>
    <n v="4999.75"/>
    <n v="94995.25"/>
    <n v="22719.99"/>
    <s v="2018-01-21"/>
    <s v="2018-01-23"/>
    <s v="Corporate"/>
    <x v="3"/>
    <x v="770"/>
    <x v="768"/>
  </r>
  <r>
    <s v="OP-20181364"/>
    <x v="0"/>
    <x v="3"/>
    <x v="3"/>
    <s v="OnePlus 7 Pro"/>
    <n v="48999"/>
    <n v="1"/>
    <n v="0"/>
    <n v="0"/>
    <n v="48999"/>
    <n v="8969.33"/>
    <s v="2020-12-28"/>
    <s v="2020-12-30"/>
    <s v="Individual"/>
    <x v="0"/>
    <x v="771"/>
    <x v="746"/>
  </r>
  <r>
    <s v="OP-20181365"/>
    <x v="0"/>
    <x v="0"/>
    <x v="1"/>
    <s v="OnePlus TV 43Y1 Full HD"/>
    <n v="22999"/>
    <n v="1"/>
    <n v="0.08"/>
    <n v="1839.92"/>
    <n v="21159.08"/>
    <n v="3509.01"/>
    <s v="2018-08-11"/>
    <s v="2018-08-13"/>
    <s v="Student"/>
    <x v="1"/>
    <x v="129"/>
    <x v="129"/>
  </r>
  <r>
    <s v="OP-20181366"/>
    <x v="2"/>
    <x v="4"/>
    <x v="2"/>
    <s v="OnePlus Nord N10"/>
    <n v="19999"/>
    <n v="2"/>
    <n v="0.1"/>
    <n v="3999.8"/>
    <n v="35998.199999999997"/>
    <n v="9324.66"/>
    <s v="2019-09-17"/>
    <s v="2019-09-23"/>
    <s v="Individual"/>
    <x v="0"/>
    <x v="772"/>
    <x v="750"/>
  </r>
  <r>
    <s v="OP-20181367"/>
    <x v="1"/>
    <x v="15"/>
    <x v="4"/>
    <s v="OnePlus Bullets Wireless Z"/>
    <n v="1999"/>
    <n v="1"/>
    <n v="0.05"/>
    <n v="99.95"/>
    <n v="1899.05"/>
    <n v="369.57"/>
    <s v="2019-11-22"/>
    <s v="2019-11-24"/>
    <s v="Individual"/>
    <x v="1"/>
    <x v="410"/>
    <x v="769"/>
  </r>
  <r>
    <s v="OP-20181368"/>
    <x v="2"/>
    <x v="7"/>
    <x v="3"/>
    <s v="OnePlus 7"/>
    <n v="32999"/>
    <n v="2"/>
    <n v="0.08"/>
    <n v="5279.84"/>
    <n v="60718.16"/>
    <n v="13273.17"/>
    <s v="2020-07-13"/>
    <s v="2020-07-20"/>
    <s v="Individual"/>
    <x v="2"/>
    <x v="88"/>
    <x v="672"/>
  </r>
  <r>
    <s v="OP-20181369"/>
    <x v="2"/>
    <x v="4"/>
    <x v="0"/>
    <s v="OnePlus Type-C Bullets Earphones"/>
    <n v="1490"/>
    <n v="1"/>
    <n v="0.08"/>
    <n v="119.2"/>
    <n v="1370.8"/>
    <n v="283.8"/>
    <s v="2019-03-17"/>
    <s v="2019-03-23"/>
    <s v="Student"/>
    <x v="3"/>
    <x v="713"/>
    <x v="199"/>
  </r>
  <r>
    <s v="OP-20181370"/>
    <x v="2"/>
    <x v="19"/>
    <x v="1"/>
    <s v="OnePlus TV 32Y1 HD Ready"/>
    <n v="12999"/>
    <n v="1"/>
    <n v="0.08"/>
    <n v="1039.92"/>
    <n v="11959.08"/>
    <n v="2747.4"/>
    <s v="2019-08-06"/>
    <s v="2019-08-12"/>
    <s v="Individual"/>
    <x v="1"/>
    <x v="645"/>
    <x v="417"/>
  </r>
  <r>
    <s v="OP-20181371"/>
    <x v="2"/>
    <x v="7"/>
    <x v="4"/>
    <s v="OnePlus Buds Z"/>
    <n v="2999"/>
    <n v="1"/>
    <n v="0.08"/>
    <n v="239.92"/>
    <n v="2759.08"/>
    <n v="461.63"/>
    <s v="2020-09-28"/>
    <s v="2020-10-05"/>
    <s v="Individual"/>
    <x v="3"/>
    <x v="773"/>
    <x v="748"/>
  </r>
  <r>
    <s v="OP-20181372"/>
    <x v="1"/>
    <x v="6"/>
    <x v="1"/>
    <s v="OnePlus TV 43Y1 Full HD"/>
    <n v="22999"/>
    <n v="1"/>
    <n v="0.05"/>
    <n v="1149.95"/>
    <n v="21849.05"/>
    <n v="4980.51"/>
    <s v="2019-06-12"/>
    <s v="2019-06-16"/>
    <s v="Corporate"/>
    <x v="0"/>
    <x v="304"/>
    <x v="311"/>
  </r>
  <r>
    <s v="OP-20181373"/>
    <x v="1"/>
    <x v="1"/>
    <x v="4"/>
    <s v="OnePlus Bullets Wireless 2"/>
    <n v="5990"/>
    <n v="1"/>
    <n v="0.1"/>
    <n v="599"/>
    <n v="5391"/>
    <n v="1050.3699999999999"/>
    <s v="2019-07-30"/>
    <s v="2019-08-06"/>
    <s v="Individual"/>
    <x v="3"/>
    <x v="774"/>
    <x v="770"/>
  </r>
  <r>
    <s v="OP-20181374"/>
    <x v="0"/>
    <x v="0"/>
    <x v="2"/>
    <s v="OnePlus Nord N10"/>
    <n v="19999"/>
    <n v="3"/>
    <n v="0.1"/>
    <n v="5999.7"/>
    <n v="53997.3"/>
    <n v="7924.93"/>
    <s v="2020-06-14"/>
    <s v="2020-06-17"/>
    <s v="Student"/>
    <x v="3"/>
    <x v="646"/>
    <x v="464"/>
  </r>
  <r>
    <s v="OP-20181375"/>
    <x v="1"/>
    <x v="11"/>
    <x v="0"/>
    <s v="OnePlus Warp Charge 30 Wireless Charger"/>
    <n v="3990"/>
    <n v="1"/>
    <n v="0.05"/>
    <n v="199.5"/>
    <n v="3790.5"/>
    <n v="864.71"/>
    <s v="2019-11-21"/>
    <s v="2019-11-23"/>
    <s v="Individual"/>
    <x v="0"/>
    <x v="701"/>
    <x v="208"/>
  </r>
  <r>
    <s v="OP-20181376"/>
    <x v="1"/>
    <x v="1"/>
    <x v="3"/>
    <s v="OnePlus 6T"/>
    <n v="37999"/>
    <n v="4"/>
    <n v="0.12"/>
    <n v="18239.52"/>
    <n v="133756.48000000001"/>
    <n v="27876.89"/>
    <s v="2019-06-11"/>
    <s v="2019-06-17"/>
    <s v="Retail Partner"/>
    <x v="3"/>
    <x v="775"/>
    <x v="658"/>
  </r>
  <r>
    <s v="OP-20181377"/>
    <x v="2"/>
    <x v="19"/>
    <x v="3"/>
    <s v="OnePlus 6"/>
    <n v="34999"/>
    <n v="1"/>
    <n v="0.1"/>
    <n v="3499.9"/>
    <n v="31499.1"/>
    <n v="5349.31"/>
    <s v="2020-08-24"/>
    <s v="2020-08-31"/>
    <s v="Individual"/>
    <x v="0"/>
    <x v="776"/>
    <x v="747"/>
  </r>
  <r>
    <s v="OP-20181378"/>
    <x v="2"/>
    <x v="16"/>
    <x v="1"/>
    <s v="OnePlus TV 43Y1 Full HD"/>
    <n v="22999"/>
    <n v="2"/>
    <n v="0.08"/>
    <n v="3679.84"/>
    <n v="42318.16"/>
    <n v="9953.1299999999992"/>
    <s v="2018-11-04"/>
    <s v="2018-11-11"/>
    <s v="Student"/>
    <x v="0"/>
    <x v="143"/>
    <x v="508"/>
  </r>
  <r>
    <s v="OP-20181379"/>
    <x v="0"/>
    <x v="0"/>
    <x v="3"/>
    <s v="OnePlus 7 Pro"/>
    <n v="48999"/>
    <n v="2"/>
    <n v="0.05"/>
    <n v="4899.8999999999996"/>
    <n v="93098.1"/>
    <n v="19885.2"/>
    <s v="2018-05-04"/>
    <s v="2018-05-09"/>
    <s v="Individual"/>
    <x v="3"/>
    <x v="777"/>
    <x v="142"/>
  </r>
  <r>
    <s v="OP-20181380"/>
    <x v="3"/>
    <x v="18"/>
    <x v="3"/>
    <s v="OnePlus 6T"/>
    <n v="37999"/>
    <n v="3"/>
    <n v="0.08"/>
    <n v="9119.76"/>
    <n v="104877.24"/>
    <n v="22398.080000000002"/>
    <s v="2018-01-22"/>
    <s v="2018-01-29"/>
    <s v="Individual"/>
    <x v="0"/>
    <x v="778"/>
    <x v="439"/>
  </r>
  <r>
    <s v="OP-20181381"/>
    <x v="1"/>
    <x v="15"/>
    <x v="3"/>
    <s v="OnePlus 7T"/>
    <n v="37999"/>
    <n v="2"/>
    <n v="0"/>
    <n v="0"/>
    <n v="75998"/>
    <n v="11962.68"/>
    <s v="2018-10-30"/>
    <s v="2018-11-05"/>
    <s v="Individual"/>
    <x v="0"/>
    <x v="597"/>
    <x v="588"/>
  </r>
  <r>
    <s v="OP-20181382"/>
    <x v="0"/>
    <x v="2"/>
    <x v="1"/>
    <s v="OnePlus TV Q1 55-inch"/>
    <n v="69900"/>
    <n v="2"/>
    <n v="0.05"/>
    <n v="6990"/>
    <n v="132810"/>
    <n v="29607.18"/>
    <s v="2020-12-08"/>
    <s v="2020-12-15"/>
    <s v="Corporate"/>
    <x v="4"/>
    <x v="779"/>
    <x v="662"/>
  </r>
  <r>
    <s v="OP-20181383"/>
    <x v="0"/>
    <x v="3"/>
    <x v="3"/>
    <s v="OnePlus 6"/>
    <n v="34999"/>
    <n v="1"/>
    <n v="0.05"/>
    <n v="1749.95"/>
    <n v="33249.050000000003"/>
    <n v="6150.4"/>
    <s v="2019-06-13"/>
    <s v="2019-06-19"/>
    <s v="Corporate"/>
    <x v="3"/>
    <x v="780"/>
    <x v="771"/>
  </r>
  <r>
    <s v="OP-20181384"/>
    <x v="1"/>
    <x v="1"/>
    <x v="3"/>
    <s v="OnePlus 7T Pro"/>
    <n v="53999"/>
    <n v="1"/>
    <n v="0.05"/>
    <n v="2699.95"/>
    <n v="51299.05"/>
    <n v="11800.96"/>
    <s v="2019-07-11"/>
    <s v="2019-07-14"/>
    <s v="Individual"/>
    <x v="1"/>
    <x v="531"/>
    <x v="173"/>
  </r>
  <r>
    <s v="OP-20181385"/>
    <x v="0"/>
    <x v="3"/>
    <x v="3"/>
    <s v="OnePlus 7 Pro"/>
    <n v="48999"/>
    <n v="1"/>
    <n v="0.15"/>
    <n v="7349.85"/>
    <n v="41649.15"/>
    <n v="7710.84"/>
    <s v="2020-10-26"/>
    <s v="2020-10-30"/>
    <s v="Individual"/>
    <x v="3"/>
    <x v="346"/>
    <x v="66"/>
  </r>
  <r>
    <s v="OP-20181386"/>
    <x v="1"/>
    <x v="11"/>
    <x v="4"/>
    <s v="OnePlus Bullets Wireless Z"/>
    <n v="1999"/>
    <n v="4"/>
    <n v="0"/>
    <n v="0"/>
    <n v="7996"/>
    <n v="1853.05"/>
    <s v="2018-11-02"/>
    <s v="2018-11-07"/>
    <s v="Individual"/>
    <x v="0"/>
    <x v="273"/>
    <x v="143"/>
  </r>
  <r>
    <s v="OP-20181387"/>
    <x v="0"/>
    <x v="0"/>
    <x v="1"/>
    <s v="OnePlus TV Q1 55-inch"/>
    <n v="69900"/>
    <n v="1"/>
    <n v="0.05"/>
    <n v="3495"/>
    <n v="66405"/>
    <n v="11691.99"/>
    <s v="2018-03-08"/>
    <s v="2018-03-13"/>
    <s v="Student"/>
    <x v="1"/>
    <x v="470"/>
    <x v="649"/>
  </r>
  <r>
    <s v="OP-20181388"/>
    <x v="1"/>
    <x v="11"/>
    <x v="2"/>
    <s v="OnePlus Nord N10"/>
    <n v="19999"/>
    <n v="1"/>
    <n v="0.1"/>
    <n v="1999.9"/>
    <n v="17999.099999999999"/>
    <n v="4617.51"/>
    <s v="2018-06-28"/>
    <s v="2018-06-30"/>
    <s v="Retail Partner"/>
    <x v="0"/>
    <x v="218"/>
    <x v="252"/>
  </r>
  <r>
    <s v="OP-20181389"/>
    <x v="0"/>
    <x v="14"/>
    <x v="0"/>
    <s v="OnePlus Warp Charge 30 Wireless Charger"/>
    <n v="3990"/>
    <n v="1"/>
    <n v="0.1"/>
    <n v="399"/>
    <n v="3591"/>
    <n v="791.63"/>
    <s v="2018-04-23"/>
    <s v="2018-04-27"/>
    <s v="Individual"/>
    <x v="0"/>
    <x v="280"/>
    <x v="509"/>
  </r>
  <r>
    <s v="OP-20181390"/>
    <x v="0"/>
    <x v="3"/>
    <x v="0"/>
    <s v="OnePlus Type-C Bullets Earphones"/>
    <n v="1490"/>
    <n v="1"/>
    <n v="0.05"/>
    <n v="74.5"/>
    <n v="1415.5"/>
    <n v="361.21"/>
    <s v="2019-09-19"/>
    <s v="2019-09-23"/>
    <s v="Individual"/>
    <x v="3"/>
    <x v="752"/>
    <x v="750"/>
  </r>
  <r>
    <s v="OP-20181391"/>
    <x v="0"/>
    <x v="3"/>
    <x v="1"/>
    <s v="OnePlus TV 32Y1 HD Ready"/>
    <n v="12999"/>
    <n v="1"/>
    <n v="0.08"/>
    <n v="1039.92"/>
    <n v="11959.08"/>
    <n v="2697.09"/>
    <s v="2018-03-14"/>
    <s v="2018-03-16"/>
    <s v="Individual"/>
    <x v="0"/>
    <x v="781"/>
    <x v="772"/>
  </r>
  <r>
    <s v="OP-20181392"/>
    <x v="3"/>
    <x v="8"/>
    <x v="3"/>
    <s v="OnePlus 6"/>
    <n v="34999"/>
    <n v="3"/>
    <n v="0.08"/>
    <n v="8399.76"/>
    <n v="96597.24"/>
    <n v="17032.75"/>
    <s v="2020-04-27"/>
    <s v="2020-05-02"/>
    <s v="Individual"/>
    <x v="5"/>
    <x v="206"/>
    <x v="249"/>
  </r>
  <r>
    <s v="OP-20181393"/>
    <x v="2"/>
    <x v="16"/>
    <x v="3"/>
    <s v="OnePlus 6T"/>
    <n v="37999"/>
    <n v="1"/>
    <n v="0.05"/>
    <n v="1899.95"/>
    <n v="36099.050000000003"/>
    <n v="5401.32"/>
    <s v="2019-03-26"/>
    <s v="2019-04-02"/>
    <s v="Corporate"/>
    <x v="3"/>
    <x v="782"/>
    <x v="773"/>
  </r>
  <r>
    <s v="OP-20181394"/>
    <x v="0"/>
    <x v="14"/>
    <x v="3"/>
    <s v="OnePlus 7T Pro"/>
    <n v="53999"/>
    <n v="1"/>
    <n v="0.05"/>
    <n v="2699.95"/>
    <n v="51299.05"/>
    <n v="9801.2000000000007"/>
    <s v="2019-07-31"/>
    <s v="2019-08-05"/>
    <s v="Individual"/>
    <x v="0"/>
    <x v="249"/>
    <x v="30"/>
  </r>
  <r>
    <s v="OP-20181395"/>
    <x v="0"/>
    <x v="13"/>
    <x v="2"/>
    <s v="OnePlus Nord"/>
    <n v="24999"/>
    <n v="3"/>
    <n v="0.08"/>
    <n v="5999.76"/>
    <n v="68997.240000000005"/>
    <n v="14415.73"/>
    <s v="2019-08-25"/>
    <s v="2019-09-01"/>
    <s v="Individual"/>
    <x v="3"/>
    <x v="783"/>
    <x v="585"/>
  </r>
  <r>
    <s v="OP-20181396"/>
    <x v="0"/>
    <x v="13"/>
    <x v="2"/>
    <s v="OnePlus Nord"/>
    <n v="24999"/>
    <n v="3"/>
    <n v="0.05"/>
    <n v="3749.85"/>
    <n v="71247.149999999994"/>
    <n v="13288.16"/>
    <s v="2019-09-11"/>
    <s v="2019-09-18"/>
    <s v="Retail Partner"/>
    <x v="3"/>
    <x v="476"/>
    <x v="580"/>
  </r>
  <r>
    <s v="OP-20181397"/>
    <x v="2"/>
    <x v="19"/>
    <x v="4"/>
    <s v="OnePlus Buds Z"/>
    <n v="2999"/>
    <n v="3"/>
    <n v="0"/>
    <n v="0"/>
    <n v="8997"/>
    <n v="1921.66"/>
    <s v="2019-10-21"/>
    <s v="2019-10-26"/>
    <s v="Individual"/>
    <x v="0"/>
    <x v="278"/>
    <x v="281"/>
  </r>
  <r>
    <s v="OP-20181398"/>
    <x v="0"/>
    <x v="14"/>
    <x v="0"/>
    <s v="OnePlus Protective Case / Bumper"/>
    <n v="1290"/>
    <n v="1"/>
    <n v="0.05"/>
    <n v="64.5"/>
    <n v="1225.5"/>
    <n v="225.5"/>
    <s v="2020-06-19"/>
    <s v="2020-06-26"/>
    <s v="Individual"/>
    <x v="1"/>
    <x v="784"/>
    <x v="477"/>
  </r>
  <r>
    <s v="OP-20181399"/>
    <x v="3"/>
    <x v="18"/>
    <x v="0"/>
    <s v="OnePlus Warp Charge 30 Power Adapter"/>
    <n v="1990"/>
    <n v="2"/>
    <n v="0.08"/>
    <n v="318.39999999999998"/>
    <n v="3661.6"/>
    <n v="603.4"/>
    <s v="2020-01-18"/>
    <s v="2020-01-20"/>
    <s v="Student"/>
    <x v="3"/>
    <x v="785"/>
    <x v="774"/>
  </r>
  <r>
    <s v="OP-20181400"/>
    <x v="0"/>
    <x v="3"/>
    <x v="4"/>
    <s v="OnePlus Buds"/>
    <n v="4990"/>
    <n v="1"/>
    <n v="0.1"/>
    <n v="499"/>
    <n v="4491"/>
    <n v="960.63"/>
    <s v="2020-05-25"/>
    <s v="2020-05-27"/>
    <s v="Individual"/>
    <x v="3"/>
    <x v="313"/>
    <x v="558"/>
  </r>
  <r>
    <s v="OP-20181401"/>
    <x v="3"/>
    <x v="10"/>
    <x v="1"/>
    <s v="OnePlus TV 43Y1 Full HD"/>
    <n v="22999"/>
    <n v="1"/>
    <n v="0.05"/>
    <n v="1149.95"/>
    <n v="21849.05"/>
    <n v="5619.25"/>
    <s v="2019-02-08"/>
    <s v="2019-02-15"/>
    <s v="Individual"/>
    <x v="3"/>
    <x v="20"/>
    <x v="20"/>
  </r>
  <r>
    <s v="OP-20181402"/>
    <x v="0"/>
    <x v="0"/>
    <x v="3"/>
    <s v="OnePlus 8"/>
    <n v="41999"/>
    <n v="1"/>
    <n v="0.05"/>
    <n v="2099.9499999999998"/>
    <n v="39899.050000000003"/>
    <n v="10020.469999999999"/>
    <s v="2019-02-02"/>
    <s v="2019-02-07"/>
    <s v="Individual"/>
    <x v="3"/>
    <x v="22"/>
    <x v="493"/>
  </r>
  <r>
    <s v="OP-20181403"/>
    <x v="1"/>
    <x v="6"/>
    <x v="3"/>
    <s v="OnePlus 7 Pro"/>
    <n v="48999"/>
    <n v="1"/>
    <n v="0.08"/>
    <n v="3919.92"/>
    <n v="45079.08"/>
    <n v="7305.01"/>
    <s v="2020-11-09"/>
    <s v="2020-11-16"/>
    <s v="Individual"/>
    <x v="5"/>
    <x v="549"/>
    <x v="775"/>
  </r>
  <r>
    <s v="OP-20181404"/>
    <x v="1"/>
    <x v="11"/>
    <x v="3"/>
    <s v="OnePlus 6T"/>
    <n v="37999"/>
    <n v="1"/>
    <n v="0.05"/>
    <n v="1899.95"/>
    <n v="36099.050000000003"/>
    <n v="5160.67"/>
    <s v="2018-01-14"/>
    <s v="2018-01-18"/>
    <s v="Student"/>
    <x v="0"/>
    <x v="786"/>
    <x v="671"/>
  </r>
  <r>
    <s v="OP-20181405"/>
    <x v="3"/>
    <x v="18"/>
    <x v="3"/>
    <s v="OnePlus 6T"/>
    <n v="37999"/>
    <n v="1"/>
    <n v="0"/>
    <n v="0"/>
    <n v="37999"/>
    <n v="9833.42"/>
    <s v="2018-05-17"/>
    <s v="2018-05-20"/>
    <s v="Corporate"/>
    <x v="2"/>
    <x v="368"/>
    <x v="347"/>
  </r>
  <r>
    <s v="OP-20181406"/>
    <x v="1"/>
    <x v="15"/>
    <x v="0"/>
    <s v="OnePlus Warp Charge 30 Wireless Charger"/>
    <n v="3990"/>
    <n v="2"/>
    <n v="0.08"/>
    <n v="638.4"/>
    <n v="7341.6"/>
    <n v="1904.15"/>
    <s v="2020-08-26"/>
    <s v="2020-09-01"/>
    <s v="Student"/>
    <x v="1"/>
    <x v="749"/>
    <x v="115"/>
  </r>
  <r>
    <s v="OP-20181407"/>
    <x v="1"/>
    <x v="12"/>
    <x v="4"/>
    <s v="OnePlus Buds Z"/>
    <n v="2999"/>
    <n v="3"/>
    <n v="0.05"/>
    <n v="449.85"/>
    <n v="8547.15"/>
    <n v="1621.51"/>
    <s v="2018-07-11"/>
    <s v="2018-07-17"/>
    <s v="Individual"/>
    <x v="5"/>
    <x v="511"/>
    <x v="323"/>
  </r>
  <r>
    <s v="OP-20181408"/>
    <x v="3"/>
    <x v="5"/>
    <x v="0"/>
    <s v="OnePlus Protective Case / Bumper"/>
    <n v="1290"/>
    <n v="1"/>
    <n v="0.05"/>
    <n v="64.5"/>
    <n v="1225.5"/>
    <n v="209.12"/>
    <s v="2019-07-21"/>
    <s v="2019-07-24"/>
    <s v="Individual"/>
    <x v="1"/>
    <x v="787"/>
    <x v="776"/>
  </r>
  <r>
    <s v="OP-20181409"/>
    <x v="0"/>
    <x v="2"/>
    <x v="3"/>
    <s v="OnePlus 8"/>
    <n v="41999"/>
    <n v="2"/>
    <n v="0.05"/>
    <n v="4199.8999999999996"/>
    <n v="79798.100000000006"/>
    <n v="15424.76"/>
    <s v="2020-11-22"/>
    <s v="2020-11-27"/>
    <s v="Individual"/>
    <x v="3"/>
    <x v="788"/>
    <x v="714"/>
  </r>
  <r>
    <s v="OP-20181410"/>
    <x v="3"/>
    <x v="8"/>
    <x v="4"/>
    <s v="OnePlus Bullets Wireless Z"/>
    <n v="1999"/>
    <n v="2"/>
    <n v="0"/>
    <n v="0"/>
    <n v="3998"/>
    <n v="828.64"/>
    <s v="2018-05-08"/>
    <s v="2018-05-15"/>
    <s v="Individual"/>
    <x v="4"/>
    <x v="93"/>
    <x v="100"/>
  </r>
  <r>
    <s v="OP-20181411"/>
    <x v="0"/>
    <x v="3"/>
    <x v="1"/>
    <s v="OnePlus TV Q1 55-inch"/>
    <n v="69900"/>
    <n v="1"/>
    <n v="0.05"/>
    <n v="3495"/>
    <n v="66405"/>
    <n v="9555.5300000000007"/>
    <s v="2018-10-19"/>
    <s v="2018-10-25"/>
    <s v="Individual"/>
    <x v="3"/>
    <x v="789"/>
    <x v="135"/>
  </r>
  <r>
    <s v="OP-20181412"/>
    <x v="0"/>
    <x v="14"/>
    <x v="2"/>
    <s v="OnePlus Nord"/>
    <n v="24999"/>
    <n v="1"/>
    <n v="0.08"/>
    <n v="1999.92"/>
    <n v="22999.08"/>
    <n v="4903.3500000000004"/>
    <s v="2018-06-20"/>
    <s v="2018-06-25"/>
    <s v="Individual"/>
    <x v="0"/>
    <x v="344"/>
    <x v="706"/>
  </r>
  <r>
    <s v="OP-20181413"/>
    <x v="0"/>
    <x v="2"/>
    <x v="0"/>
    <s v="OnePlus Protective Case / Bumper"/>
    <n v="1290"/>
    <n v="4"/>
    <n v="0.08"/>
    <n v="412.8"/>
    <n v="4747.2"/>
    <n v="1130.01"/>
    <s v="2018-12-28"/>
    <s v="2019-01-01"/>
    <s v="Student"/>
    <x v="4"/>
    <x v="220"/>
    <x v="354"/>
  </r>
  <r>
    <s v="OP-20181414"/>
    <x v="1"/>
    <x v="1"/>
    <x v="0"/>
    <s v="OnePlus Warp Charge 30 Power Adapter"/>
    <n v="1990"/>
    <n v="1"/>
    <n v="0.1"/>
    <n v="199"/>
    <n v="1791"/>
    <n v="327.73"/>
    <s v="2019-08-28"/>
    <s v="2019-09-02"/>
    <s v="Corporate"/>
    <x v="1"/>
    <x v="39"/>
    <x v="777"/>
  </r>
  <r>
    <s v="OP-20181415"/>
    <x v="1"/>
    <x v="11"/>
    <x v="4"/>
    <s v="OnePlus Buds"/>
    <n v="4990"/>
    <n v="3"/>
    <n v="0.1"/>
    <n v="1497"/>
    <n v="13473"/>
    <n v="2093.19"/>
    <s v="2020-10-22"/>
    <s v="2020-10-24"/>
    <s v="Individual"/>
    <x v="4"/>
    <x v="568"/>
    <x v="767"/>
  </r>
  <r>
    <s v="OP-20181416"/>
    <x v="1"/>
    <x v="6"/>
    <x v="3"/>
    <s v="OnePlus 7 Pro"/>
    <n v="48999"/>
    <n v="1"/>
    <n v="0.1"/>
    <n v="4899.8999999999996"/>
    <n v="44099.1"/>
    <n v="10228.64"/>
    <s v="2020-12-08"/>
    <s v="2020-12-14"/>
    <s v="Individual"/>
    <x v="1"/>
    <x v="779"/>
    <x v="431"/>
  </r>
  <r>
    <s v="OP-20181417"/>
    <x v="3"/>
    <x v="8"/>
    <x v="4"/>
    <s v="OnePlus Buds"/>
    <n v="4990"/>
    <n v="1"/>
    <n v="0"/>
    <n v="0"/>
    <n v="4990"/>
    <n v="904.89"/>
    <s v="2018-08-26"/>
    <s v="2018-08-28"/>
    <s v="Individual"/>
    <x v="1"/>
    <x v="790"/>
    <x v="778"/>
  </r>
  <r>
    <s v="OP-20181418"/>
    <x v="0"/>
    <x v="14"/>
    <x v="2"/>
    <s v="OnePlus Nord N10"/>
    <n v="19999"/>
    <n v="4"/>
    <n v="0"/>
    <n v="0"/>
    <n v="79996"/>
    <n v="17485.509999999998"/>
    <s v="2020-07-26"/>
    <s v="2020-07-30"/>
    <s v="Individual"/>
    <x v="3"/>
    <x v="323"/>
    <x v="103"/>
  </r>
  <r>
    <s v="OP-20181419"/>
    <x v="1"/>
    <x v="11"/>
    <x v="0"/>
    <s v="OnePlus Protective Case / Bumper"/>
    <n v="1290"/>
    <n v="3"/>
    <n v="0.05"/>
    <n v="193.5"/>
    <n v="3676.5"/>
    <n v="922.75"/>
    <s v="2018-01-21"/>
    <s v="2018-01-28"/>
    <s v="Individual"/>
    <x v="3"/>
    <x v="770"/>
    <x v="779"/>
  </r>
  <r>
    <s v="OP-20181420"/>
    <x v="1"/>
    <x v="6"/>
    <x v="3"/>
    <s v="OnePlus 6"/>
    <n v="34999"/>
    <n v="5"/>
    <n v="0.12"/>
    <n v="20999.4"/>
    <n v="153995.6"/>
    <n v="21638.51"/>
    <s v="2018-04-17"/>
    <s v="2018-04-23"/>
    <s v="Individual"/>
    <x v="1"/>
    <x v="791"/>
    <x v="61"/>
  </r>
  <r>
    <s v="OP-20181421"/>
    <x v="0"/>
    <x v="3"/>
    <x v="0"/>
    <s v="OnePlus Warp Charge 30 Power Adapter"/>
    <n v="1990"/>
    <n v="1"/>
    <n v="0.05"/>
    <n v="99.5"/>
    <n v="1890.5"/>
    <n v="300.81"/>
    <s v="2020-10-20"/>
    <s v="2020-10-22"/>
    <s v="Retail Partner"/>
    <x v="2"/>
    <x v="767"/>
    <x v="517"/>
  </r>
  <r>
    <s v="OP-20181422"/>
    <x v="0"/>
    <x v="2"/>
    <x v="3"/>
    <s v="OnePlus 7T Pro"/>
    <n v="53999"/>
    <n v="1"/>
    <n v="0"/>
    <n v="0"/>
    <n v="53999"/>
    <n v="8723.18"/>
    <s v="2018-09-05"/>
    <s v="2018-09-12"/>
    <s v="Student"/>
    <x v="0"/>
    <x v="792"/>
    <x v="617"/>
  </r>
  <r>
    <s v="OP-20181423"/>
    <x v="0"/>
    <x v="3"/>
    <x v="0"/>
    <s v="OnePlus Type-C Bullets Earphones"/>
    <n v="1490"/>
    <n v="1"/>
    <n v="0"/>
    <n v="0"/>
    <n v="1490"/>
    <n v="279.35000000000002"/>
    <s v="2020-11-02"/>
    <s v="2020-11-05"/>
    <s v="Individual"/>
    <x v="1"/>
    <x v="566"/>
    <x v="780"/>
  </r>
  <r>
    <s v="OP-20181424"/>
    <x v="0"/>
    <x v="2"/>
    <x v="3"/>
    <s v="OnePlus 7T"/>
    <n v="37999"/>
    <n v="2"/>
    <n v="0.08"/>
    <n v="6079.84"/>
    <n v="69918.16"/>
    <n v="17852.38"/>
    <s v="2019-12-19"/>
    <s v="2019-12-26"/>
    <s v="Individual"/>
    <x v="3"/>
    <x v="266"/>
    <x v="781"/>
  </r>
  <r>
    <s v="OP-20181425"/>
    <x v="3"/>
    <x v="8"/>
    <x v="3"/>
    <s v="OnePlus 7T"/>
    <n v="37999"/>
    <n v="3"/>
    <n v="0"/>
    <n v="0"/>
    <n v="113997"/>
    <n v="28752.26"/>
    <s v="2018-02-07"/>
    <s v="2018-02-14"/>
    <s v="Retail Partner"/>
    <x v="2"/>
    <x v="793"/>
    <x v="782"/>
  </r>
  <r>
    <s v="OP-20181426"/>
    <x v="0"/>
    <x v="14"/>
    <x v="3"/>
    <s v="OnePlus 7T Pro"/>
    <n v="53999"/>
    <n v="1"/>
    <n v="0.05"/>
    <n v="2699.95"/>
    <n v="51299.05"/>
    <n v="13130.41"/>
    <s v="2019-04-10"/>
    <s v="2019-04-14"/>
    <s v="Corporate"/>
    <x v="1"/>
    <x v="352"/>
    <x v="783"/>
  </r>
  <r>
    <s v="OP-20181427"/>
    <x v="0"/>
    <x v="14"/>
    <x v="3"/>
    <s v="OnePlus 7T Pro"/>
    <n v="53999"/>
    <n v="1"/>
    <n v="0.05"/>
    <n v="2699.95"/>
    <n v="51299.05"/>
    <n v="8608.19"/>
    <s v="2020-12-11"/>
    <s v="2020-12-18"/>
    <s v="Student"/>
    <x v="0"/>
    <x v="553"/>
    <x v="784"/>
  </r>
  <r>
    <s v="OP-20181428"/>
    <x v="3"/>
    <x v="10"/>
    <x v="2"/>
    <s v="OnePlus Nord"/>
    <n v="24999"/>
    <n v="1"/>
    <n v="0.12"/>
    <n v="2999.88"/>
    <n v="21999.119999999999"/>
    <n v="3164.92"/>
    <s v="2018-06-11"/>
    <s v="2018-06-15"/>
    <s v="Individual"/>
    <x v="3"/>
    <x v="742"/>
    <x v="739"/>
  </r>
  <r>
    <s v="OP-20181429"/>
    <x v="2"/>
    <x v="16"/>
    <x v="0"/>
    <s v="OnePlus Warp Charge 30 Wireless Charger"/>
    <n v="3990"/>
    <n v="1"/>
    <n v="0.15"/>
    <n v="598.5"/>
    <n v="3391.5"/>
    <n v="793.85"/>
    <s v="2020-06-24"/>
    <s v="2020-06-26"/>
    <s v="Individual"/>
    <x v="0"/>
    <x v="794"/>
    <x v="477"/>
  </r>
  <r>
    <s v="OP-20181430"/>
    <x v="0"/>
    <x v="3"/>
    <x v="2"/>
    <s v="OnePlus Nord N10"/>
    <n v="19999"/>
    <n v="1"/>
    <n v="0.05"/>
    <n v="999.95"/>
    <n v="18999.05"/>
    <n v="2766.19"/>
    <s v="2020-03-20"/>
    <s v="2020-03-23"/>
    <s v="Corporate"/>
    <x v="0"/>
    <x v="315"/>
    <x v="785"/>
  </r>
  <r>
    <s v="OP-20181431"/>
    <x v="0"/>
    <x v="2"/>
    <x v="0"/>
    <s v="OnePlus Type-C Bullets Earphones"/>
    <n v="1490"/>
    <n v="2"/>
    <n v="0.15"/>
    <n v="447"/>
    <n v="2533"/>
    <n v="647.11"/>
    <s v="2019-04-02"/>
    <s v="2019-04-08"/>
    <s v="Individual"/>
    <x v="0"/>
    <x v="169"/>
    <x v="318"/>
  </r>
  <r>
    <s v="OP-20181432"/>
    <x v="2"/>
    <x v="19"/>
    <x v="3"/>
    <s v="OnePlus 8"/>
    <n v="41999"/>
    <n v="1"/>
    <n v="0"/>
    <n v="0"/>
    <n v="41999"/>
    <n v="8806.83"/>
    <s v="2020-05-08"/>
    <s v="2020-05-13"/>
    <s v="Individual"/>
    <x v="4"/>
    <x v="57"/>
    <x v="636"/>
  </r>
  <r>
    <s v="OP-20181433"/>
    <x v="0"/>
    <x v="13"/>
    <x v="3"/>
    <s v="OnePlus 7T Pro"/>
    <n v="53999"/>
    <n v="3"/>
    <n v="0.1"/>
    <n v="16199.7"/>
    <n v="145797.29999999999"/>
    <n v="21232.14"/>
    <s v="2020-08-09"/>
    <s v="2020-08-14"/>
    <s v="Individual"/>
    <x v="1"/>
    <x v="14"/>
    <x v="498"/>
  </r>
  <r>
    <s v="OP-20181434"/>
    <x v="1"/>
    <x v="15"/>
    <x v="3"/>
    <s v="OnePlus 7 Pro"/>
    <n v="48999"/>
    <n v="1"/>
    <n v="0.12"/>
    <n v="5879.88"/>
    <n v="43119.12"/>
    <n v="6147.61"/>
    <s v="2019-10-14"/>
    <s v="2019-10-21"/>
    <s v="Student"/>
    <x v="0"/>
    <x v="795"/>
    <x v="366"/>
  </r>
  <r>
    <s v="OP-20181435"/>
    <x v="0"/>
    <x v="2"/>
    <x v="0"/>
    <s v="OnePlus Warp Charge 30 Power Adapter"/>
    <n v="1990"/>
    <n v="2"/>
    <n v="0.08"/>
    <n v="318.39999999999998"/>
    <n v="3661.6"/>
    <n v="651.94000000000005"/>
    <s v="2019-08-09"/>
    <s v="2019-08-12"/>
    <s v="Corporate"/>
    <x v="1"/>
    <x v="419"/>
    <x v="417"/>
  </r>
  <r>
    <s v="OP-20181436"/>
    <x v="3"/>
    <x v="17"/>
    <x v="1"/>
    <s v="OnePlus TV 32Y1 HD Ready"/>
    <n v="12999"/>
    <n v="1"/>
    <n v="0.08"/>
    <n v="1039.92"/>
    <n v="11959.08"/>
    <n v="2011.98"/>
    <s v="2020-11-03"/>
    <s v="2020-11-09"/>
    <s v="Individual"/>
    <x v="0"/>
    <x v="796"/>
    <x v="583"/>
  </r>
  <r>
    <s v="OP-20181437"/>
    <x v="1"/>
    <x v="15"/>
    <x v="1"/>
    <s v="OnePlus TV Q1 55-inch"/>
    <n v="69900"/>
    <n v="1"/>
    <n v="0.05"/>
    <n v="3495"/>
    <n v="66405"/>
    <n v="9307.33"/>
    <s v="2019-05-04"/>
    <s v="2019-05-10"/>
    <s v="Student"/>
    <x v="1"/>
    <x v="700"/>
    <x v="786"/>
  </r>
  <r>
    <s v="OP-20181438"/>
    <x v="2"/>
    <x v="4"/>
    <x v="1"/>
    <s v="OnePlus TV 32Y1 HD Ready"/>
    <n v="12999"/>
    <n v="1"/>
    <n v="0.08"/>
    <n v="1039.92"/>
    <n v="11959.08"/>
    <n v="2647.25"/>
    <s v="2018-04-23"/>
    <s v="2018-04-29"/>
    <s v="Individual"/>
    <x v="0"/>
    <x v="280"/>
    <x v="787"/>
  </r>
  <r>
    <s v="OP-20181439"/>
    <x v="2"/>
    <x v="4"/>
    <x v="4"/>
    <s v="OnePlus Bullets Wireless 2"/>
    <n v="5990"/>
    <n v="1"/>
    <n v="0"/>
    <n v="0"/>
    <n v="5990"/>
    <n v="1326.55"/>
    <s v="2019-09-16"/>
    <s v="2019-09-22"/>
    <s v="Individual"/>
    <x v="1"/>
    <x v="250"/>
    <x v="552"/>
  </r>
  <r>
    <s v="OP-20181440"/>
    <x v="1"/>
    <x v="15"/>
    <x v="2"/>
    <s v="OnePlus Nord"/>
    <n v="24999"/>
    <n v="1"/>
    <n v="0.1"/>
    <n v="2499.9"/>
    <n v="22499.1"/>
    <n v="4679.07"/>
    <s v="2020-10-13"/>
    <s v="2020-10-16"/>
    <s v="Individual"/>
    <x v="3"/>
    <x v="797"/>
    <x v="352"/>
  </r>
  <r>
    <s v="OP-20181441"/>
    <x v="0"/>
    <x v="14"/>
    <x v="2"/>
    <s v="OnePlus Nord N10"/>
    <n v="19999"/>
    <n v="1"/>
    <n v="0.05"/>
    <n v="999.95"/>
    <n v="18999.05"/>
    <n v="3334.7"/>
    <s v="2020-05-21"/>
    <s v="2020-05-28"/>
    <s v="Individual"/>
    <x v="3"/>
    <x v="80"/>
    <x v="82"/>
  </r>
  <r>
    <s v="OP-20181442"/>
    <x v="2"/>
    <x v="4"/>
    <x v="0"/>
    <s v="OnePlus Type-C Bullets Earphones"/>
    <n v="1490"/>
    <n v="1"/>
    <n v="0.1"/>
    <n v="149"/>
    <n v="1341"/>
    <n v="338.83"/>
    <s v="2020-05-10"/>
    <s v="2020-05-12"/>
    <s v="Individual"/>
    <x v="1"/>
    <x v="652"/>
    <x v="59"/>
  </r>
  <r>
    <s v="OP-20181443"/>
    <x v="2"/>
    <x v="16"/>
    <x v="2"/>
    <s v="OnePlus Nord"/>
    <n v="24999"/>
    <n v="2"/>
    <n v="0.08"/>
    <n v="3999.84"/>
    <n v="45998.16"/>
    <n v="8847.9599999999991"/>
    <s v="2020-11-08"/>
    <s v="2020-11-11"/>
    <s v="Individual"/>
    <x v="1"/>
    <x v="624"/>
    <x v="218"/>
  </r>
  <r>
    <s v="OP-20181444"/>
    <x v="0"/>
    <x v="13"/>
    <x v="4"/>
    <s v="OnePlus Buds"/>
    <n v="4990"/>
    <n v="4"/>
    <n v="0.1"/>
    <n v="1996"/>
    <n v="17964"/>
    <n v="2735.7"/>
    <s v="2020-02-22"/>
    <s v="2020-02-24"/>
    <s v="Corporate"/>
    <x v="0"/>
    <x v="562"/>
    <x v="788"/>
  </r>
  <r>
    <s v="OP-20181445"/>
    <x v="2"/>
    <x v="7"/>
    <x v="0"/>
    <s v="OnePlus Protective Case / Bumper"/>
    <n v="1290"/>
    <n v="1"/>
    <n v="0.05"/>
    <n v="64.5"/>
    <n v="1225.5"/>
    <n v="223.95"/>
    <s v="2018-01-02"/>
    <s v="2018-01-07"/>
    <s v="Individual"/>
    <x v="3"/>
    <x v="127"/>
    <x v="112"/>
  </r>
  <r>
    <s v="OP-20181446"/>
    <x v="1"/>
    <x v="15"/>
    <x v="3"/>
    <s v="OnePlus 8 Pro"/>
    <n v="54999"/>
    <n v="2"/>
    <n v="0.08"/>
    <n v="8799.84"/>
    <n v="101198.16"/>
    <n v="20691.45"/>
    <s v="2019-05-29"/>
    <s v="2019-05-31"/>
    <s v="Individual"/>
    <x v="1"/>
    <x v="91"/>
    <x v="94"/>
  </r>
  <r>
    <s v="OP-20181447"/>
    <x v="0"/>
    <x v="2"/>
    <x v="3"/>
    <s v="OnePlus 6T"/>
    <n v="37999"/>
    <n v="2"/>
    <n v="0.12"/>
    <n v="9119.76"/>
    <n v="66878.240000000005"/>
    <n v="12057.03"/>
    <s v="2018-10-17"/>
    <s v="2018-10-20"/>
    <s v="Corporate"/>
    <x v="0"/>
    <x v="798"/>
    <x v="789"/>
  </r>
  <r>
    <s v="OP-20181448"/>
    <x v="0"/>
    <x v="2"/>
    <x v="4"/>
    <s v="OnePlus Buds"/>
    <n v="4990"/>
    <n v="2"/>
    <n v="0"/>
    <n v="0"/>
    <n v="9980"/>
    <n v="2147.9899999999998"/>
    <s v="2019-03-26"/>
    <s v="2019-03-29"/>
    <s v="Individual"/>
    <x v="1"/>
    <x v="782"/>
    <x v="540"/>
  </r>
  <r>
    <s v="OP-20181449"/>
    <x v="0"/>
    <x v="14"/>
    <x v="4"/>
    <s v="OnePlus Buds"/>
    <n v="4990"/>
    <n v="2"/>
    <n v="0.08"/>
    <n v="798.4"/>
    <n v="9181.6"/>
    <n v="2134.2600000000002"/>
    <s v="2020-01-14"/>
    <s v="2020-01-16"/>
    <s v="Individual"/>
    <x v="4"/>
    <x v="97"/>
    <x v="692"/>
  </r>
  <r>
    <s v="OP-20181450"/>
    <x v="2"/>
    <x v="9"/>
    <x v="3"/>
    <s v="OnePlus 7 Pro"/>
    <n v="48999"/>
    <n v="1"/>
    <n v="0.05"/>
    <n v="2449.9499999999998"/>
    <n v="46549.05"/>
    <n v="8443.2900000000009"/>
    <s v="2020-11-28"/>
    <s v="2020-12-05"/>
    <s v="Individual"/>
    <x v="2"/>
    <x v="462"/>
    <x v="440"/>
  </r>
  <r>
    <s v="OP-20181451"/>
    <x v="1"/>
    <x v="11"/>
    <x v="3"/>
    <s v="OnePlus 7T"/>
    <n v="37999"/>
    <n v="2"/>
    <n v="0"/>
    <n v="0"/>
    <n v="75998"/>
    <n v="11291.22"/>
    <s v="2018-09-06"/>
    <s v="2018-09-12"/>
    <s v="Individual"/>
    <x v="3"/>
    <x v="618"/>
    <x v="617"/>
  </r>
  <r>
    <s v="OP-20181452"/>
    <x v="0"/>
    <x v="0"/>
    <x v="0"/>
    <s v="OnePlus Warp Charge 30 Power Adapter"/>
    <n v="1990"/>
    <n v="1"/>
    <n v="0.08"/>
    <n v="159.19999999999999"/>
    <n v="1830.8"/>
    <n v="317.12"/>
    <s v="2018-02-28"/>
    <s v="2018-03-04"/>
    <s v="Individual"/>
    <x v="3"/>
    <x v="722"/>
    <x v="313"/>
  </r>
  <r>
    <s v="OP-20181453"/>
    <x v="1"/>
    <x v="15"/>
    <x v="0"/>
    <s v="OnePlus Warp Charge 30 Power Adapter"/>
    <n v="1990"/>
    <n v="2"/>
    <n v="0.08"/>
    <n v="318.39999999999998"/>
    <n v="3661.6"/>
    <n v="602.21"/>
    <s v="2020-09-01"/>
    <s v="2020-09-07"/>
    <s v="Individual"/>
    <x v="1"/>
    <x v="677"/>
    <x v="790"/>
  </r>
  <r>
    <s v="OP-20181454"/>
    <x v="1"/>
    <x v="6"/>
    <x v="3"/>
    <s v="OnePlus 8 Pro"/>
    <n v="54999"/>
    <n v="2"/>
    <n v="0.1"/>
    <n v="10999.8"/>
    <n v="98998.2"/>
    <n v="19034.66"/>
    <s v="2019-12-23"/>
    <s v="2019-12-26"/>
    <s v="Individual"/>
    <x v="1"/>
    <x v="685"/>
    <x v="781"/>
  </r>
  <r>
    <s v="OP-20181455"/>
    <x v="1"/>
    <x v="6"/>
    <x v="0"/>
    <s v="OnePlus Protective Case / Bumper"/>
    <n v="1290"/>
    <n v="1"/>
    <n v="0.1"/>
    <n v="129"/>
    <n v="1161"/>
    <n v="188.79"/>
    <s v="2018-02-01"/>
    <s v="2018-02-06"/>
    <s v="Individual"/>
    <x v="1"/>
    <x v="799"/>
    <x v="733"/>
  </r>
  <r>
    <s v="OP-20181456"/>
    <x v="2"/>
    <x v="4"/>
    <x v="3"/>
    <s v="OnePlus 8"/>
    <n v="41999"/>
    <n v="2"/>
    <n v="0.05"/>
    <n v="4199.8999999999996"/>
    <n v="79798.100000000006"/>
    <n v="16206.48"/>
    <s v="2019-02-28"/>
    <s v="2019-03-04"/>
    <s v="Individual"/>
    <x v="0"/>
    <x v="800"/>
    <x v="791"/>
  </r>
  <r>
    <s v="OP-20181457"/>
    <x v="2"/>
    <x v="19"/>
    <x v="0"/>
    <s v="OnePlus Warp Charge 30 Power Adapter"/>
    <n v="1990"/>
    <n v="1"/>
    <n v="0"/>
    <n v="0"/>
    <n v="1990"/>
    <n v="385.01"/>
    <s v="2018-09-17"/>
    <s v="2018-09-19"/>
    <s v="Individual"/>
    <x v="1"/>
    <x v="801"/>
    <x v="243"/>
  </r>
  <r>
    <s v="OP-20181458"/>
    <x v="0"/>
    <x v="14"/>
    <x v="3"/>
    <s v="OnePlus 8"/>
    <n v="41999"/>
    <n v="1"/>
    <n v="0.05"/>
    <n v="2099.9499999999998"/>
    <n v="39899.050000000003"/>
    <n v="6497.02"/>
    <s v="2019-06-02"/>
    <s v="2019-06-05"/>
    <s v="Student"/>
    <x v="3"/>
    <x v="25"/>
    <x v="425"/>
  </r>
  <r>
    <s v="OP-20181459"/>
    <x v="1"/>
    <x v="15"/>
    <x v="3"/>
    <s v="OnePlus 7T Pro"/>
    <n v="53999"/>
    <n v="1"/>
    <n v="0.1"/>
    <n v="5399.9"/>
    <n v="48599.1"/>
    <n v="12586.24"/>
    <s v="2018-03-04"/>
    <s v="2018-03-11"/>
    <s v="Individual"/>
    <x v="1"/>
    <x v="292"/>
    <x v="294"/>
  </r>
  <r>
    <s v="OP-20181460"/>
    <x v="3"/>
    <x v="8"/>
    <x v="0"/>
    <s v="OnePlus Protective Case / Bumper"/>
    <n v="1290"/>
    <n v="1"/>
    <n v="0.05"/>
    <n v="64.5"/>
    <n v="1225.5"/>
    <n v="276.31"/>
    <s v="2020-06-29"/>
    <s v="2020-07-03"/>
    <s v="Individual"/>
    <x v="3"/>
    <x v="661"/>
    <x v="244"/>
  </r>
  <r>
    <s v="OP-20181461"/>
    <x v="1"/>
    <x v="11"/>
    <x v="3"/>
    <s v="OnePlus 6T"/>
    <n v="37999"/>
    <n v="1"/>
    <n v="0.08"/>
    <n v="3039.92"/>
    <n v="34959.08"/>
    <n v="8796.2900000000009"/>
    <s v="2020-12-19"/>
    <s v="2020-12-26"/>
    <s v="Individual"/>
    <x v="0"/>
    <x v="123"/>
    <x v="123"/>
  </r>
  <r>
    <s v="OP-20181462"/>
    <x v="3"/>
    <x v="17"/>
    <x v="4"/>
    <s v="OnePlus Buds"/>
    <n v="4990"/>
    <n v="1"/>
    <n v="0"/>
    <n v="0"/>
    <n v="4990"/>
    <n v="1003.29"/>
    <s v="2018-04-08"/>
    <s v="2018-04-12"/>
    <s v="Retail Partner"/>
    <x v="4"/>
    <x v="802"/>
    <x v="758"/>
  </r>
  <r>
    <s v="OP-20181463"/>
    <x v="1"/>
    <x v="1"/>
    <x v="2"/>
    <s v="OnePlus Nord N10"/>
    <n v="19999"/>
    <n v="1"/>
    <n v="0.1"/>
    <n v="1999.9"/>
    <n v="17999.099999999999"/>
    <n v="3725.69"/>
    <s v="2019-07-30"/>
    <s v="2019-08-04"/>
    <s v="Individual"/>
    <x v="4"/>
    <x v="774"/>
    <x v="11"/>
  </r>
  <r>
    <s v="OP-20181464"/>
    <x v="0"/>
    <x v="2"/>
    <x v="2"/>
    <s v="OnePlus Nord N10"/>
    <n v="19999"/>
    <n v="5"/>
    <n v="0"/>
    <n v="0"/>
    <n v="99995"/>
    <n v="24376.43"/>
    <s v="2018-04-17"/>
    <s v="2018-04-23"/>
    <s v="Student"/>
    <x v="0"/>
    <x v="791"/>
    <x v="61"/>
  </r>
  <r>
    <s v="OP-20181465"/>
    <x v="0"/>
    <x v="13"/>
    <x v="0"/>
    <s v="OnePlus Warp Charge 30 Wireless Charger"/>
    <n v="3990"/>
    <n v="1"/>
    <n v="0.1"/>
    <n v="399"/>
    <n v="3591"/>
    <n v="597.19000000000005"/>
    <s v="2020-07-21"/>
    <s v="2020-07-23"/>
    <s v="Student"/>
    <x v="0"/>
    <x v="648"/>
    <x v="382"/>
  </r>
  <r>
    <s v="OP-20181466"/>
    <x v="0"/>
    <x v="2"/>
    <x v="0"/>
    <s v="OnePlus Protective Case / Bumper"/>
    <n v="1290"/>
    <n v="2"/>
    <n v="0.1"/>
    <n v="258"/>
    <n v="2322"/>
    <n v="339.75"/>
    <s v="2020-09-23"/>
    <s v="2020-09-28"/>
    <s v="Corporate"/>
    <x v="0"/>
    <x v="803"/>
    <x v="519"/>
  </r>
  <r>
    <s v="OP-20181467"/>
    <x v="0"/>
    <x v="14"/>
    <x v="1"/>
    <s v="OnePlus TV 32Y1 HD Ready"/>
    <n v="12999"/>
    <n v="2"/>
    <n v="0.05"/>
    <n v="1299.9000000000001"/>
    <n v="24698.1"/>
    <n v="4891.91"/>
    <s v="2019-04-11"/>
    <s v="2019-04-16"/>
    <s v="Retail Partner"/>
    <x v="1"/>
    <x v="504"/>
    <x v="0"/>
  </r>
  <r>
    <s v="OP-20181468"/>
    <x v="2"/>
    <x v="7"/>
    <x v="1"/>
    <s v="OnePlus TV Q1 55-inch"/>
    <n v="69900"/>
    <n v="1"/>
    <n v="0.05"/>
    <n v="3495"/>
    <n v="66405"/>
    <n v="15517.93"/>
    <s v="2020-04-14"/>
    <s v="2020-04-17"/>
    <s v="Retail Partner"/>
    <x v="3"/>
    <x v="457"/>
    <x v="231"/>
  </r>
  <r>
    <s v="OP-20181469"/>
    <x v="1"/>
    <x v="15"/>
    <x v="1"/>
    <s v="OnePlus TV 43Y1 Full HD"/>
    <n v="22999"/>
    <n v="2"/>
    <n v="0.05"/>
    <n v="2299.9"/>
    <n v="43698.1"/>
    <n v="6229.89"/>
    <s v="2018-10-17"/>
    <s v="2018-10-19"/>
    <s v="Individual"/>
    <x v="0"/>
    <x v="798"/>
    <x v="792"/>
  </r>
  <r>
    <s v="OP-20181470"/>
    <x v="1"/>
    <x v="11"/>
    <x v="3"/>
    <s v="OnePlus 7"/>
    <n v="32999"/>
    <n v="1"/>
    <n v="0.12"/>
    <n v="3959.88"/>
    <n v="29039.119999999999"/>
    <n v="7129.17"/>
    <s v="2019-11-12"/>
    <s v="2019-11-17"/>
    <s v="Individual"/>
    <x v="3"/>
    <x v="804"/>
    <x v="793"/>
  </r>
  <r>
    <s v="OP-20181471"/>
    <x v="1"/>
    <x v="1"/>
    <x v="2"/>
    <s v="OnePlus Nord N10"/>
    <n v="19999"/>
    <n v="4"/>
    <n v="0"/>
    <n v="0"/>
    <n v="79996"/>
    <n v="13103.99"/>
    <s v="2018-09-06"/>
    <s v="2018-09-13"/>
    <s v="Individual"/>
    <x v="0"/>
    <x v="618"/>
    <x v="342"/>
  </r>
  <r>
    <s v="OP-20181472"/>
    <x v="1"/>
    <x v="6"/>
    <x v="3"/>
    <s v="OnePlus 7"/>
    <n v="32999"/>
    <n v="1"/>
    <n v="0.05"/>
    <n v="1649.95"/>
    <n v="31349.05"/>
    <n v="7720.95"/>
    <s v="2020-12-04"/>
    <s v="2020-12-08"/>
    <s v="Individual"/>
    <x v="0"/>
    <x v="805"/>
    <x v="35"/>
  </r>
  <r>
    <s v="OP-20181473"/>
    <x v="0"/>
    <x v="14"/>
    <x v="3"/>
    <s v="OnePlus 6"/>
    <n v="34999"/>
    <n v="1"/>
    <n v="0.05"/>
    <n v="1749.95"/>
    <n v="33249.050000000003"/>
    <n v="4725.83"/>
    <s v="2018-05-03"/>
    <s v="2018-05-06"/>
    <s v="Student"/>
    <x v="3"/>
    <x v="806"/>
    <x v="794"/>
  </r>
  <r>
    <s v="OP-20181474"/>
    <x v="0"/>
    <x v="13"/>
    <x v="3"/>
    <s v="OnePlus 8 Pro"/>
    <n v="54999"/>
    <n v="3"/>
    <n v="0.15"/>
    <n v="24749.55"/>
    <n v="140247.45000000001"/>
    <n v="22689.02"/>
    <s v="2020-02-10"/>
    <s v="2020-02-17"/>
    <s v="Individual"/>
    <x v="3"/>
    <x v="807"/>
    <x v="239"/>
  </r>
  <r>
    <s v="OP-20181475"/>
    <x v="2"/>
    <x v="9"/>
    <x v="0"/>
    <s v="OnePlus Warp Charge 30 Wireless Charger"/>
    <n v="3990"/>
    <n v="1"/>
    <n v="0.08"/>
    <n v="319.2"/>
    <n v="3670.8"/>
    <n v="817.1"/>
    <s v="2019-10-31"/>
    <s v="2019-11-06"/>
    <s v="Individual"/>
    <x v="3"/>
    <x v="808"/>
    <x v="535"/>
  </r>
  <r>
    <s v="OP-20181476"/>
    <x v="0"/>
    <x v="13"/>
    <x v="3"/>
    <s v="OnePlus 6T"/>
    <n v="37999"/>
    <n v="1"/>
    <n v="0.05"/>
    <n v="1899.95"/>
    <n v="36099.050000000003"/>
    <n v="7976.51"/>
    <s v="2019-04-17"/>
    <s v="2019-04-22"/>
    <s v="Individual"/>
    <x v="5"/>
    <x v="809"/>
    <x v="23"/>
  </r>
  <r>
    <s v="OP-20181477"/>
    <x v="0"/>
    <x v="2"/>
    <x v="3"/>
    <s v="OnePlus 7 Pro"/>
    <n v="48999"/>
    <n v="1"/>
    <n v="0.08"/>
    <n v="3919.92"/>
    <n v="45079.08"/>
    <n v="8375.81"/>
    <s v="2018-10-06"/>
    <s v="2018-10-10"/>
    <s v="Student"/>
    <x v="0"/>
    <x v="810"/>
    <x v="297"/>
  </r>
  <r>
    <s v="OP-20181478"/>
    <x v="1"/>
    <x v="11"/>
    <x v="4"/>
    <s v="OnePlus Buds Z"/>
    <n v="2999"/>
    <n v="1"/>
    <n v="0.05"/>
    <n v="149.94999999999999"/>
    <n v="2849.05"/>
    <n v="582.98"/>
    <s v="2020-07-10"/>
    <s v="2020-07-12"/>
    <s v="Student"/>
    <x v="5"/>
    <x v="811"/>
    <x v="383"/>
  </r>
  <r>
    <s v="OP-20181479"/>
    <x v="1"/>
    <x v="12"/>
    <x v="3"/>
    <s v="OnePlus 7"/>
    <n v="32999"/>
    <n v="4"/>
    <n v="0.1"/>
    <n v="13199.6"/>
    <n v="118796.4"/>
    <n v="25405.84"/>
    <s v="2020-05-07"/>
    <s v="2020-05-10"/>
    <s v="Individual"/>
    <x v="0"/>
    <x v="812"/>
    <x v="488"/>
  </r>
  <r>
    <s v="OP-20181480"/>
    <x v="3"/>
    <x v="10"/>
    <x v="4"/>
    <s v="OnePlus Bullets Wireless 2"/>
    <n v="5990"/>
    <n v="2"/>
    <n v="0"/>
    <n v="0"/>
    <n v="11980"/>
    <n v="2445.2399999999998"/>
    <s v="2018-09-26"/>
    <s v="2018-10-02"/>
    <s v="Individual"/>
    <x v="1"/>
    <x v="813"/>
    <x v="345"/>
  </r>
  <r>
    <s v="OP-20181481"/>
    <x v="1"/>
    <x v="15"/>
    <x v="0"/>
    <s v="OnePlus Warp Charge 30 Power Adapter"/>
    <n v="1990"/>
    <n v="1"/>
    <n v="0"/>
    <n v="0"/>
    <n v="1990"/>
    <n v="460.81"/>
    <s v="2018-08-26"/>
    <s v="2018-09-02"/>
    <s v="Individual"/>
    <x v="0"/>
    <x v="814"/>
    <x v="174"/>
  </r>
  <r>
    <s v="OP-20181482"/>
    <x v="3"/>
    <x v="18"/>
    <x v="3"/>
    <s v="OnePlus 7T"/>
    <n v="37999"/>
    <n v="1"/>
    <n v="0"/>
    <n v="0"/>
    <n v="37999"/>
    <n v="9633.52"/>
    <s v="2019-12-10"/>
    <s v="2019-12-15"/>
    <s v="Corporate"/>
    <x v="1"/>
    <x v="815"/>
    <x v="353"/>
  </r>
  <r>
    <s v="OP-20181483"/>
    <x v="0"/>
    <x v="13"/>
    <x v="0"/>
    <s v="OnePlus Warp Charge 30 Power Adapter"/>
    <n v="1990"/>
    <n v="1"/>
    <n v="0.15"/>
    <n v="298.5"/>
    <n v="1691.5"/>
    <n v="398.5"/>
    <s v="2018-09-29"/>
    <s v="2018-10-03"/>
    <s v="Individual"/>
    <x v="3"/>
    <x v="816"/>
    <x v="795"/>
  </r>
  <r>
    <s v="OP-20181484"/>
    <x v="1"/>
    <x v="12"/>
    <x v="3"/>
    <s v="OnePlus 7T Pro"/>
    <n v="53999"/>
    <n v="1"/>
    <n v="0"/>
    <n v="0"/>
    <n v="53999"/>
    <n v="13429.78"/>
    <s v="2020-05-08"/>
    <s v="2020-05-11"/>
    <s v="Individual"/>
    <x v="0"/>
    <x v="817"/>
    <x v="796"/>
  </r>
  <r>
    <s v="OP-20181485"/>
    <x v="3"/>
    <x v="8"/>
    <x v="3"/>
    <s v="OnePlus 7 Pro"/>
    <n v="48999"/>
    <n v="4"/>
    <n v="0.12"/>
    <n v="23519.52"/>
    <n v="172476.48"/>
    <n v="44646.55"/>
    <s v="2020-08-31"/>
    <s v="2020-09-02"/>
    <s v="Individual"/>
    <x v="0"/>
    <x v="818"/>
    <x v="362"/>
  </r>
  <r>
    <s v="OP-20181486"/>
    <x v="3"/>
    <x v="17"/>
    <x v="0"/>
    <s v="OnePlus Type-C Bullets Earphones"/>
    <n v="1490"/>
    <n v="2"/>
    <n v="0"/>
    <n v="0"/>
    <n v="2980"/>
    <n v="742.45"/>
    <s v="2018-02-16"/>
    <s v="2018-02-23"/>
    <s v="Individual"/>
    <x v="3"/>
    <x v="819"/>
    <x v="521"/>
  </r>
  <r>
    <s v="OP-20181487"/>
    <x v="2"/>
    <x v="19"/>
    <x v="4"/>
    <s v="OnePlus Buds"/>
    <n v="4990"/>
    <n v="2"/>
    <n v="0"/>
    <n v="0"/>
    <n v="9980"/>
    <n v="1779.06"/>
    <s v="2019-03-04"/>
    <s v="2019-03-10"/>
    <s v="Corporate"/>
    <x v="0"/>
    <x v="820"/>
    <x v="797"/>
  </r>
  <r>
    <s v="OP-20181488"/>
    <x v="1"/>
    <x v="15"/>
    <x v="1"/>
    <s v="OnePlus TV Q1 55-inch"/>
    <n v="69900"/>
    <n v="2"/>
    <n v="0.05"/>
    <n v="6990"/>
    <n v="132810"/>
    <n v="20917.990000000002"/>
    <s v="2018-07-07"/>
    <s v="2018-07-09"/>
    <s v="Individual"/>
    <x v="1"/>
    <x v="821"/>
    <x v="798"/>
  </r>
  <r>
    <s v="OP-20181489"/>
    <x v="2"/>
    <x v="16"/>
    <x v="1"/>
    <s v="OnePlus TV 32Y1 HD Ready"/>
    <n v="12999"/>
    <n v="1"/>
    <n v="0.15"/>
    <n v="1949.85"/>
    <n v="11049.15"/>
    <n v="2595.13"/>
    <s v="2019-06-02"/>
    <s v="2019-06-08"/>
    <s v="Individual"/>
    <x v="0"/>
    <x v="822"/>
    <x v="799"/>
  </r>
  <r>
    <s v="OP-20181490"/>
    <x v="2"/>
    <x v="19"/>
    <x v="4"/>
    <s v="OnePlus Buds"/>
    <n v="4990"/>
    <n v="1"/>
    <n v="0.1"/>
    <n v="499"/>
    <n v="4491"/>
    <n v="767.1"/>
    <s v="2020-12-24"/>
    <s v="2020-12-28"/>
    <s v="Individual"/>
    <x v="0"/>
    <x v="823"/>
    <x v="89"/>
  </r>
  <r>
    <s v="OP-20181491"/>
    <x v="1"/>
    <x v="11"/>
    <x v="1"/>
    <s v="OnePlus TV Q1 55-inch"/>
    <n v="69900"/>
    <n v="1"/>
    <n v="0.12"/>
    <n v="8388"/>
    <n v="61512"/>
    <n v="10203.76"/>
    <s v="2019-02-12"/>
    <s v="2019-02-19"/>
    <s v="Individual"/>
    <x v="3"/>
    <x v="824"/>
    <x v="800"/>
  </r>
  <r>
    <s v="OP-20181492"/>
    <x v="0"/>
    <x v="2"/>
    <x v="3"/>
    <s v="OnePlus 7T"/>
    <n v="37999"/>
    <n v="4"/>
    <n v="0.1"/>
    <n v="15199.6"/>
    <n v="136796.4"/>
    <n v="20003.650000000001"/>
    <s v="2018-08-11"/>
    <s v="2018-08-16"/>
    <s v="Retail Partner"/>
    <x v="4"/>
    <x v="825"/>
    <x v="390"/>
  </r>
  <r>
    <s v="OP-20181493"/>
    <x v="1"/>
    <x v="11"/>
    <x v="4"/>
    <s v="OnePlus Buds"/>
    <n v="4990"/>
    <n v="4"/>
    <n v="0.08"/>
    <n v="1596.8"/>
    <n v="18363.2"/>
    <n v="4573.1499999999996"/>
    <s v="2019-03-26"/>
    <s v="2019-03-29"/>
    <s v="Student"/>
    <x v="0"/>
    <x v="826"/>
    <x v="540"/>
  </r>
  <r>
    <s v="OP-20181494"/>
    <x v="3"/>
    <x v="5"/>
    <x v="2"/>
    <s v="OnePlus Nord"/>
    <n v="24999"/>
    <n v="1"/>
    <n v="0.05"/>
    <n v="1249.95"/>
    <n v="23749.05"/>
    <n v="4098.5"/>
    <s v="2019-04-01"/>
    <s v="2019-04-05"/>
    <s v="Individual"/>
    <x v="1"/>
    <x v="827"/>
    <x v="620"/>
  </r>
  <r>
    <s v="OP-20181495"/>
    <x v="2"/>
    <x v="4"/>
    <x v="3"/>
    <s v="OnePlus 7 Pro"/>
    <n v="48999"/>
    <n v="1"/>
    <n v="0.08"/>
    <n v="3919.92"/>
    <n v="45079.08"/>
    <n v="6967.27"/>
    <s v="2019-02-18"/>
    <s v="2019-02-23"/>
    <s v="Individual"/>
    <x v="4"/>
    <x v="828"/>
    <x v="248"/>
  </r>
  <r>
    <s v="OP-20181496"/>
    <x v="0"/>
    <x v="13"/>
    <x v="4"/>
    <s v="OnePlus Buds Z"/>
    <n v="2999"/>
    <n v="1"/>
    <n v="0.1"/>
    <n v="299.89999999999998"/>
    <n v="2699.1"/>
    <n v="380.27"/>
    <s v="2019-12-28"/>
    <s v="2020-01-02"/>
    <s v="Individual"/>
    <x v="3"/>
    <x v="829"/>
    <x v="158"/>
  </r>
  <r>
    <s v="OP-20181497"/>
    <x v="0"/>
    <x v="3"/>
    <x v="1"/>
    <s v="OnePlus TV Q1 55-inch"/>
    <n v="69900"/>
    <n v="1"/>
    <n v="0"/>
    <n v="0"/>
    <n v="69900"/>
    <n v="18003"/>
    <s v="2018-03-20"/>
    <s v="2018-03-22"/>
    <s v="Individual"/>
    <x v="0"/>
    <x v="830"/>
    <x v="698"/>
  </r>
  <r>
    <s v="OP-20181498"/>
    <x v="2"/>
    <x v="19"/>
    <x v="3"/>
    <s v="OnePlus 8 Pro"/>
    <n v="54999"/>
    <n v="1"/>
    <n v="0.05"/>
    <n v="2749.95"/>
    <n v="52249.05"/>
    <n v="8232.6299999999992"/>
    <s v="2020-04-18"/>
    <s v="2020-04-24"/>
    <s v="Individual"/>
    <x v="4"/>
    <x v="831"/>
    <x v="495"/>
  </r>
  <r>
    <s v="OP-20181499"/>
    <x v="1"/>
    <x v="1"/>
    <x v="2"/>
    <s v="OnePlus Nord"/>
    <n v="24999"/>
    <n v="3"/>
    <n v="0"/>
    <n v="0"/>
    <n v="74997"/>
    <n v="18382.240000000002"/>
    <s v="2020-04-09"/>
    <s v="2020-04-14"/>
    <s v="Individual"/>
    <x v="0"/>
    <x v="832"/>
    <x v="670"/>
  </r>
  <r>
    <s v="OP-20181500"/>
    <x v="0"/>
    <x v="13"/>
    <x v="3"/>
    <s v="OnePlus 8 Pro"/>
    <n v="54999"/>
    <n v="2"/>
    <n v="0.1"/>
    <n v="10999.8"/>
    <n v="98998.2"/>
    <n v="16914.21"/>
    <s v="2019-12-18"/>
    <s v="2019-12-25"/>
    <s v="Individual"/>
    <x v="1"/>
    <x v="833"/>
    <x v="3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9AC95-8B89-4B2D-812E-00F1402D556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ePlus_Sales_Clean_Dataset.xlsx!OnePlusSalesData">
        <x15:activeTabTopLevelEntity name="[OnePlus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8803EE-E6FF-4677-8B5C-660D2DBBD1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Q11:R17" firstHeaderRow="1" firstDataRow="1" firstDataCol="1"/>
  <pivotFields count="20">
    <pivotField showAll="0"/>
    <pivotField showAll="0"/>
    <pivotField showAll="0"/>
    <pivotField axis="axisRow" showAll="0">
      <items count="6">
        <item x="0"/>
        <item x="4"/>
        <item x="3"/>
        <item x="2"/>
        <item x="1"/>
        <item t="default"/>
      </items>
    </pivotField>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showAll="0"/>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sales" fld="9" baseField="0" baseItem="0" numFmtId="166"/>
  </dataField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AFE88-B9D6-4C1C-90D8-28A3D8451A5E}"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K13:L848" firstHeaderRow="1" firstDataRow="1" firstDataCol="1"/>
  <pivotFields count="20">
    <pivotField showAll="0"/>
    <pivotField showAll="0"/>
    <pivotField showAll="0"/>
    <pivotField showAll="0"/>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axis="axisRow" showAll="0">
      <items count="835">
        <item x="538"/>
        <item x="127"/>
        <item x="109"/>
        <item x="261"/>
        <item x="710"/>
        <item x="731"/>
        <item x="435"/>
        <item x="258"/>
        <item x="417"/>
        <item x="786"/>
        <item x="690"/>
        <item x="519"/>
        <item x="619"/>
        <item x="222"/>
        <item x="762"/>
        <item x="770"/>
        <item x="778"/>
        <item x="527"/>
        <item x="299"/>
        <item x="485"/>
        <item x="673"/>
        <item x="391"/>
        <item x="45"/>
        <item x="738"/>
        <item x="493"/>
        <item x="799"/>
        <item x="793"/>
        <item x="290"/>
        <item x="301"/>
        <item x="95"/>
        <item x="679"/>
        <item x="753"/>
        <item x="288"/>
        <item x="62"/>
        <item x="255"/>
        <item x="733"/>
        <item x="367"/>
        <item x="108"/>
        <item x="416"/>
        <item x="432"/>
        <item x="366"/>
        <item x="722"/>
        <item x="106"/>
        <item x="292"/>
        <item x="354"/>
        <item x="470"/>
        <item x="233"/>
        <item x="322"/>
        <item x="781"/>
        <item x="453"/>
        <item x="688"/>
        <item x="423"/>
        <item x="415"/>
        <item x="49"/>
        <item x="115"/>
        <item x="500"/>
        <item x="444"/>
        <item x="611"/>
        <item x="294"/>
        <item x="183"/>
        <item x="265"/>
        <item x="763"/>
        <item x="41"/>
        <item x="614"/>
        <item x="802"/>
        <item x="21"/>
        <item x="76"/>
        <item x="507"/>
        <item x="151"/>
        <item x="791"/>
        <item x="638"/>
        <item x="324"/>
        <item x="316"/>
        <item x="59"/>
        <item x="411"/>
        <item x="280"/>
        <item x="509"/>
        <item x="514"/>
        <item x="83"/>
        <item x="281"/>
        <item x="141"/>
        <item x="321"/>
        <item x="451"/>
        <item x="777"/>
        <item x="142"/>
        <item x="93"/>
        <item x="96"/>
        <item x="207"/>
        <item x="420"/>
        <item x="139"/>
        <item x="164"/>
        <item x="184"/>
        <item x="368"/>
        <item x="336"/>
        <item x="71"/>
        <item x="328"/>
        <item x="546"/>
        <item x="128"/>
        <item x="379"/>
        <item x="612"/>
        <item x="672"/>
        <item x="609"/>
        <item x="621"/>
        <item x="727"/>
        <item x="134"/>
        <item x="392"/>
        <item x="508"/>
        <item x="140"/>
        <item x="152"/>
        <item x="657"/>
        <item x="474"/>
        <item x="742"/>
        <item x="197"/>
        <item x="317"/>
        <item x="711"/>
        <item x="310"/>
        <item x="344"/>
        <item x="377"/>
        <item x="398"/>
        <item x="251"/>
        <item x="582"/>
        <item x="331"/>
        <item x="218"/>
        <item x="643"/>
        <item x="616"/>
        <item x="191"/>
        <item x="58"/>
        <item x="270"/>
        <item x="12"/>
        <item x="114"/>
        <item x="511"/>
        <item x="311"/>
        <item x="358"/>
        <item x="227"/>
        <item x="447"/>
        <item x="380"/>
        <item x="16"/>
        <item x="8"/>
        <item x="283"/>
        <item x="182"/>
        <item x="558"/>
        <item x="196"/>
        <item x="296"/>
        <item x="312"/>
        <item x="567"/>
        <item x="448"/>
        <item x="190"/>
        <item x="272"/>
        <item x="720"/>
        <item x="426"/>
        <item x="113"/>
        <item x="659"/>
        <item x="285"/>
        <item x="634"/>
        <item x="516"/>
        <item x="215"/>
        <item x="129"/>
        <item x="459"/>
        <item x="383"/>
        <item x="253"/>
        <item x="407"/>
        <item x="408"/>
        <item x="717"/>
        <item x="443"/>
        <item x="66"/>
        <item x="186"/>
        <item x="160"/>
        <item x="790"/>
        <item x="532"/>
        <item x="691"/>
        <item x="175"/>
        <item x="472"/>
        <item x="277"/>
        <item x="172"/>
        <item x="395"/>
        <item x="792"/>
        <item x="618"/>
        <item x="636"/>
        <item x="332"/>
        <item x="524"/>
        <item x="592"/>
        <item x="241"/>
        <item x="287"/>
        <item x="801"/>
        <item x="163"/>
        <item x="370"/>
        <item x="547"/>
        <item x="537"/>
        <item x="165"/>
        <item x="235"/>
        <item x="226"/>
        <item x="607"/>
        <item x="334"/>
        <item x="263"/>
        <item x="1"/>
        <item x="271"/>
        <item x="678"/>
        <item x="349"/>
        <item x="617"/>
        <item x="85"/>
        <item x="87"/>
        <item x="159"/>
        <item x="209"/>
        <item x="798"/>
        <item x="789"/>
        <item x="651"/>
        <item x="248"/>
        <item x="135"/>
        <item x="565"/>
        <item x="579"/>
        <item x="599"/>
        <item x="597"/>
        <item x="273"/>
        <item x="132"/>
        <item x="143"/>
        <item x="430"/>
        <item x="455"/>
        <item x="144"/>
        <item x="719"/>
        <item x="389"/>
        <item x="452"/>
        <item x="67"/>
        <item x="570"/>
        <item x="536"/>
        <item x="13"/>
        <item x="291"/>
        <item x="744"/>
        <item x="72"/>
        <item x="243"/>
        <item x="105"/>
        <item x="454"/>
        <item x="70"/>
        <item x="683"/>
        <item x="696"/>
        <item x="552"/>
        <item x="297"/>
        <item x="399"/>
        <item x="489"/>
        <item x="583"/>
        <item x="189"/>
        <item x="575"/>
        <item x="126"/>
        <item x="308"/>
        <item x="404"/>
        <item x="716"/>
        <item x="625"/>
        <item x="687"/>
        <item x="145"/>
        <item x="219"/>
        <item x="684"/>
        <item x="686"/>
        <item x="68"/>
        <item x="133"/>
        <item x="456"/>
        <item x="605"/>
        <item x="36"/>
        <item x="465"/>
        <item x="705"/>
        <item x="178"/>
        <item x="162"/>
        <item x="220"/>
        <item x="231"/>
        <item x="149"/>
        <item x="442"/>
        <item x="289"/>
        <item x="737"/>
        <item x="628"/>
        <item x="364"/>
        <item x="446"/>
        <item x="644"/>
        <item x="73"/>
        <item x="104"/>
        <item x="660"/>
        <item x="505"/>
        <item x="137"/>
        <item x="572"/>
        <item x="695"/>
        <item x="588"/>
        <item x="3"/>
        <item x="667"/>
        <item x="375"/>
        <item x="282"/>
        <item x="449"/>
        <item x="680"/>
        <item x="543"/>
        <item x="473"/>
        <item x="22"/>
        <item x="748"/>
        <item x="118"/>
        <item x="5"/>
        <item x="17"/>
        <item x="20"/>
        <item x="268"/>
        <item x="237"/>
        <item x="176"/>
        <item x="699"/>
        <item x="671"/>
        <item x="246"/>
        <item x="522"/>
        <item x="458"/>
        <item x="635"/>
        <item x="627"/>
        <item x="740"/>
        <item x="800"/>
        <item x="721"/>
        <item x="765"/>
        <item x="702"/>
        <item x="386"/>
        <item x="658"/>
        <item x="569"/>
        <item x="555"/>
        <item x="300"/>
        <item x="499"/>
        <item x="217"/>
        <item x="501"/>
        <item x="704"/>
        <item x="713"/>
        <item x="421"/>
        <item x="239"/>
        <item x="198"/>
        <item x="487"/>
        <item x="560"/>
        <item x="520"/>
        <item x="782"/>
        <item x="24"/>
        <item x="347"/>
        <item x="615"/>
        <item x="586"/>
        <item x="169"/>
        <item x="682"/>
        <item x="306"/>
        <item x="138"/>
        <item x="512"/>
        <item x="606"/>
        <item x="352"/>
        <item x="504"/>
        <item x="0"/>
        <item x="698"/>
        <item x="23"/>
        <item x="461"/>
        <item x="333"/>
        <item x="185"/>
        <item x="637"/>
        <item x="596"/>
        <item x="427"/>
        <item x="77"/>
        <item x="394"/>
        <item x="362"/>
        <item x="594"/>
        <item x="608"/>
        <item x="166"/>
        <item x="662"/>
        <item x="205"/>
        <item x="709"/>
        <item x="700"/>
        <item x="357"/>
        <item x="260"/>
        <item x="412"/>
        <item x="329"/>
        <item x="94"/>
        <item x="295"/>
        <item x="340"/>
        <item x="181"/>
        <item x="669"/>
        <item x="177"/>
        <item x="192"/>
        <item x="403"/>
        <item x="513"/>
        <item x="274"/>
        <item x="48"/>
        <item x="479"/>
        <item x="708"/>
        <item x="4"/>
        <item x="173"/>
        <item x="468"/>
        <item x="29"/>
        <item x="581"/>
        <item x="91"/>
        <item x="37"/>
        <item x="25"/>
        <item x="724"/>
        <item x="223"/>
        <item x="275"/>
        <item x="723"/>
        <item x="372"/>
        <item x="498"/>
        <item x="676"/>
        <item x="775"/>
        <item x="304"/>
        <item x="780"/>
        <item x="725"/>
        <item x="359"/>
        <item x="252"/>
        <item x="764"/>
        <item x="413"/>
        <item x="471"/>
        <item x="422"/>
        <item x="240"/>
        <item x="755"/>
        <item x="620"/>
        <item x="193"/>
        <item x="414"/>
        <item x="559"/>
        <item x="589"/>
        <item x="590"/>
        <item x="174"/>
        <item x="531"/>
        <item x="236"/>
        <item x="153"/>
        <item x="639"/>
        <item x="302"/>
        <item x="735"/>
        <item x="630"/>
        <item x="703"/>
        <item x="400"/>
        <item x="787"/>
        <item x="730"/>
        <item x="43"/>
        <item x="122"/>
        <item x="649"/>
        <item x="117"/>
        <item x="199"/>
        <item x="626"/>
        <item x="30"/>
        <item x="774"/>
        <item x="249"/>
        <item x="11"/>
        <item x="409"/>
        <item x="645"/>
        <item x="641"/>
        <item x="419"/>
        <item x="201"/>
        <item x="585"/>
        <item x="734"/>
        <item x="601"/>
        <item x="663"/>
        <item x="631"/>
        <item x="382"/>
        <item x="739"/>
        <item x="348"/>
        <item x="526"/>
        <item x="204"/>
        <item x="783"/>
        <item x="39"/>
        <item x="326"/>
        <item x="595"/>
        <item x="629"/>
        <item x="747"/>
        <item x="664"/>
        <item x="9"/>
        <item x="269"/>
        <item x="75"/>
        <item x="754"/>
        <item x="437"/>
        <item x="476"/>
        <item x="580"/>
        <item x="712"/>
        <item x="361"/>
        <item x="556"/>
        <item x="250"/>
        <item x="772"/>
        <item x="602"/>
        <item x="752"/>
        <item x="554"/>
        <item x="539"/>
        <item x="314"/>
        <item x="640"/>
        <item x="425"/>
        <item x="110"/>
        <item x="156"/>
        <item x="194"/>
        <item x="224"/>
        <item x="84"/>
        <item x="18"/>
        <item x="573"/>
        <item x="69"/>
        <item x="604"/>
        <item x="7"/>
        <item x="390"/>
        <item x="741"/>
        <item x="795"/>
        <item x="47"/>
        <item x="434"/>
        <item x="32"/>
        <item x="278"/>
        <item x="100"/>
        <item x="168"/>
        <item x="656"/>
        <item x="148"/>
        <item x="540"/>
        <item x="60"/>
        <item x="541"/>
        <item x="530"/>
        <item x="486"/>
        <item x="339"/>
        <item x="598"/>
        <item x="469"/>
        <item x="228"/>
        <item x="574"/>
        <item x="804"/>
        <item x="154"/>
        <item x="55"/>
        <item x="697"/>
        <item x="101"/>
        <item x="701"/>
        <item x="410"/>
        <item x="124"/>
        <item x="692"/>
        <item x="439"/>
        <item x="50"/>
        <item x="654"/>
        <item x="496"/>
        <item x="761"/>
        <item x="34"/>
        <item x="550"/>
        <item x="401"/>
        <item x="405"/>
        <item x="342"/>
        <item x="65"/>
        <item x="544"/>
        <item x="529"/>
        <item x="338"/>
        <item x="266"/>
        <item x="63"/>
        <item x="371"/>
        <item x="756"/>
        <item x="685"/>
        <item x="693"/>
        <item x="74"/>
        <item x="245"/>
        <item x="158"/>
        <item x="40"/>
        <item x="15"/>
        <item x="551"/>
        <item x="396"/>
        <item x="42"/>
        <item x="495"/>
        <item x="120"/>
        <item x="600"/>
        <item x="257"/>
        <item x="460"/>
        <item x="97"/>
        <item x="760"/>
        <item x="650"/>
        <item x="785"/>
        <item x="655"/>
        <item x="44"/>
        <item x="51"/>
        <item x="276"/>
        <item x="440"/>
        <item x="478"/>
        <item x="515"/>
        <item x="591"/>
        <item x="743"/>
        <item x="28"/>
        <item x="610"/>
        <item x="234"/>
        <item x="119"/>
        <item x="665"/>
        <item x="533"/>
        <item x="736"/>
        <item x="768"/>
        <item x="171"/>
        <item x="593"/>
        <item x="576"/>
        <item x="54"/>
        <item x="238"/>
        <item x="681"/>
        <item x="464"/>
        <item x="381"/>
        <item x="557"/>
        <item x="562"/>
        <item x="170"/>
        <item x="647"/>
        <item x="466"/>
        <item x="150"/>
        <item x="180"/>
        <item x="642"/>
        <item x="6"/>
        <item x="136"/>
        <item x="53"/>
        <item x="675"/>
        <item x="584"/>
        <item x="345"/>
        <item x="305"/>
        <item x="365"/>
        <item x="497"/>
        <item x="286"/>
        <item x="523"/>
        <item x="303"/>
        <item x="343"/>
        <item x="482"/>
        <item x="315"/>
        <item x="483"/>
        <item x="633"/>
        <item x="714"/>
        <item x="745"/>
        <item x="668"/>
        <item x="502"/>
        <item x="298"/>
        <item x="188"/>
        <item x="293"/>
        <item x="267"/>
        <item x="484"/>
        <item x="545"/>
        <item x="769"/>
        <item x="689"/>
        <item x="707"/>
        <item x="230"/>
        <item x="490"/>
        <item x="457"/>
        <item x="418"/>
        <item x="715"/>
        <item x="61"/>
        <item x="746"/>
        <item x="279"/>
        <item x="393"/>
        <item x="200"/>
        <item x="402"/>
        <item x="79"/>
        <item x="766"/>
        <item x="757"/>
        <item x="613"/>
        <item x="206"/>
        <item x="577"/>
        <item x="247"/>
        <item x="706"/>
        <item x="56"/>
        <item x="27"/>
        <item x="309"/>
        <item x="212"/>
        <item x="718"/>
        <item x="491"/>
        <item x="57"/>
        <item x="563"/>
        <item x="652"/>
        <item x="376"/>
        <item x="438"/>
        <item x="10"/>
        <item x="78"/>
        <item x="116"/>
        <item x="147"/>
        <item x="256"/>
        <item x="337"/>
        <item x="330"/>
        <item x="80"/>
        <item x="335"/>
        <item x="313"/>
        <item x="52"/>
        <item x="670"/>
        <item x="603"/>
        <item x="19"/>
        <item x="202"/>
        <item x="107"/>
        <item x="467"/>
        <item x="325"/>
        <item x="211"/>
        <item x="622"/>
        <item x="378"/>
        <item x="179"/>
        <item x="732"/>
        <item x="397"/>
        <item x="406"/>
        <item x="646"/>
        <item x="463"/>
        <item x="587"/>
        <item x="130"/>
        <item x="784"/>
        <item x="369"/>
        <item x="350"/>
        <item x="759"/>
        <item x="481"/>
        <item x="794"/>
        <item x="131"/>
        <item x="242"/>
        <item x="661"/>
        <item x="229"/>
        <item x="387"/>
        <item x="571"/>
        <item x="441"/>
        <item x="307"/>
        <item x="510"/>
        <item x="360"/>
        <item x="88"/>
        <item x="327"/>
        <item x="480"/>
        <item x="26"/>
        <item x="429"/>
        <item x="264"/>
        <item x="653"/>
        <item x="521"/>
        <item x="648"/>
        <item x="92"/>
        <item x="578"/>
        <item x="214"/>
        <item x="323"/>
        <item x="98"/>
        <item x="494"/>
        <item x="632"/>
        <item x="208"/>
        <item x="488"/>
        <item x="528"/>
        <item x="751"/>
        <item x="542"/>
        <item x="14"/>
        <item x="548"/>
        <item x="125"/>
        <item x="2"/>
        <item x="225"/>
        <item x="450"/>
        <item x="729"/>
        <item x="776"/>
        <item x="210"/>
        <item x="749"/>
        <item x="353"/>
        <item x="433"/>
        <item x="112"/>
        <item x="677"/>
        <item x="161"/>
        <item x="320"/>
        <item x="213"/>
        <item x="561"/>
        <item x="103"/>
        <item x="82"/>
        <item x="111"/>
        <item x="195"/>
        <item x="666"/>
        <item x="534"/>
        <item x="155"/>
        <item x="518"/>
        <item x="262"/>
        <item x="564"/>
        <item x="385"/>
        <item x="31"/>
        <item x="535"/>
        <item x="102"/>
        <item x="517"/>
        <item x="803"/>
        <item x="221"/>
        <item x="351"/>
        <item x="503"/>
        <item x="773"/>
        <item x="750"/>
        <item x="363"/>
        <item x="157"/>
        <item x="90"/>
        <item x="436"/>
        <item x="373"/>
        <item x="146"/>
        <item x="356"/>
        <item x="33"/>
        <item x="81"/>
        <item x="187"/>
        <item x="341"/>
        <item x="797"/>
        <item x="284"/>
        <item x="388"/>
        <item x="726"/>
        <item x="767"/>
        <item x="475"/>
        <item x="568"/>
        <item x="64"/>
        <item x="758"/>
        <item x="346"/>
        <item x="89"/>
        <item x="167"/>
        <item x="566"/>
        <item x="796"/>
        <item x="216"/>
        <item x="492"/>
        <item x="428"/>
        <item x="624"/>
        <item x="549"/>
        <item x="477"/>
        <item x="121"/>
        <item x="384"/>
        <item x="203"/>
        <item x="244"/>
        <item x="254"/>
        <item x="623"/>
        <item x="355"/>
        <item x="374"/>
        <item x="788"/>
        <item x="232"/>
        <item x="728"/>
        <item x="319"/>
        <item x="462"/>
        <item x="506"/>
        <item x="431"/>
        <item x="38"/>
        <item x="99"/>
        <item x="259"/>
        <item x="35"/>
        <item x="779"/>
        <item x="424"/>
        <item x="553"/>
        <item x="525"/>
        <item x="445"/>
        <item x="123"/>
        <item x="674"/>
        <item x="86"/>
        <item x="318"/>
        <item x="694"/>
        <item x="771"/>
        <item x="46"/>
        <item x="819"/>
        <item x="830"/>
        <item x="806"/>
        <item x="821"/>
        <item x="825"/>
        <item x="814"/>
        <item x="813"/>
        <item x="816"/>
        <item x="810"/>
        <item x="824"/>
        <item x="828"/>
        <item x="820"/>
        <item x="826"/>
        <item x="827"/>
        <item x="809"/>
        <item x="822"/>
        <item x="808"/>
        <item x="815"/>
        <item x="833"/>
        <item x="829"/>
        <item x="807"/>
        <item x="832"/>
        <item x="831"/>
        <item x="812"/>
        <item x="817"/>
        <item x="811"/>
        <item x="818"/>
        <item x="805"/>
        <item x="823"/>
        <item t="default"/>
      </items>
    </pivotField>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8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t="grand">
      <x/>
    </i>
  </rowItems>
  <colItems count="1">
    <i/>
  </colItems>
  <dataFields count="1">
    <dataField name="Sum of sales" fld="9" baseField="0" baseItem="0" numFmtId="166"/>
  </dataFields>
  <formats count="1">
    <format dxfId="0">
      <pivotArea dataOnly="0" labelOnly="1" fieldPosition="0">
        <references count="1">
          <reference field="15" count="0"/>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55437D-B457-4921-8A33-63EB75D692D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3:I18" firstHeaderRow="1" firstDataRow="1" firstDataCol="1"/>
  <pivotFields count="20">
    <pivotField showAll="0"/>
    <pivotField axis="axisRow" showAll="0">
      <items count="5">
        <item x="3"/>
        <item x="1"/>
        <item x="0"/>
        <item x="2"/>
        <item t="default"/>
      </items>
    </pivotField>
    <pivotField showAll="0"/>
    <pivotField showAll="0"/>
    <pivotField showAll="0"/>
    <pivotField numFmtId="164" showAll="0"/>
    <pivotField numFmtId="3" showAll="0"/>
    <pivotField dataField="1" numFmtId="165" showAll="0"/>
    <pivotField numFmtId="166" showAll="0"/>
    <pivotField numFmtId="166" showAll="0"/>
    <pivotField numFmtId="166" showAll="0"/>
    <pivotField showAll="0"/>
    <pivotField showAll="0"/>
    <pivotField showAll="0"/>
    <pivotField showAll="0"/>
    <pivotField showAll="0"/>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discount" fld="7" baseField="0" baseItem="0" numFmtId="165"/>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5DD02-A90C-45AD-891C-439FFBBC0B2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F18" firstHeaderRow="0" firstDataRow="1" firstDataCol="1"/>
  <pivotFields count="20">
    <pivotField showAll="0"/>
    <pivotField axis="axisRow" showAll="0">
      <items count="5">
        <item x="3"/>
        <item x="1"/>
        <item x="0"/>
        <item x="2"/>
        <item t="default"/>
      </items>
    </pivotField>
    <pivotField showAll="0"/>
    <pivotField showAll="0"/>
    <pivotField showAll="0"/>
    <pivotField numFmtId="164" showAll="0"/>
    <pivotField dataField="1" numFmtId="3" showAll="0"/>
    <pivotField dataField="1" numFmtId="165" showAll="0"/>
    <pivotField dataField="1" numFmtId="166" showAll="0"/>
    <pivotField dataField="1" numFmtId="166" showAll="0"/>
    <pivotField dataField="1" numFmtId="166" showAll="0"/>
    <pivotField showAll="0"/>
    <pivotField showAll="0"/>
    <pivotField showAll="0"/>
    <pivotField showAll="0"/>
    <pivotField showAll="0"/>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Fields count="1">
    <field x="-2"/>
  </colFields>
  <colItems count="5">
    <i>
      <x/>
    </i>
    <i i="1">
      <x v="1"/>
    </i>
    <i i="2">
      <x v="2"/>
    </i>
    <i i="3">
      <x v="3"/>
    </i>
    <i i="4">
      <x v="4"/>
    </i>
  </colItems>
  <dataFields count="5">
    <dataField name="Sum of sales" fld="9" baseField="0" baseItem="0" numFmtId="166"/>
    <dataField name="Sum of profit" fld="10" baseField="0" baseItem="0" numFmtId="166"/>
    <dataField name="Sum of quantity" fld="6" baseField="0" baseItem="0" numFmtId="3"/>
    <dataField name="Sum of discount" fld="7" baseField="0" baseItem="0" numFmtId="165"/>
    <dataField name="Sum of discount_value" fld="8" baseField="0" baseItem="0" numFmtId="166"/>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3"/>
          </reference>
        </references>
      </pivotArea>
    </chartFormat>
    <chartFormat chart="4" format="9"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D09A5-40FA-483A-BFE8-EEEE9190009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10" firstHeaderRow="1" firstDataRow="3" firstDataCol="1"/>
  <pivotFields count="20">
    <pivotField showAll="0"/>
    <pivotField axis="axisRow" showAll="0">
      <items count="5">
        <item x="3"/>
        <item x="1"/>
        <item x="0"/>
        <item x="2"/>
        <item t="default"/>
      </items>
    </pivotField>
    <pivotField showAll="0">
      <items count="21">
        <item x="7"/>
        <item x="2"/>
        <item x="10"/>
        <item x="11"/>
        <item x="13"/>
        <item x="0"/>
        <item x="12"/>
        <item x="8"/>
        <item x="3"/>
        <item x="15"/>
        <item x="14"/>
        <item x="18"/>
        <item x="1"/>
        <item x="16"/>
        <item x="19"/>
        <item x="6"/>
        <item x="17"/>
        <item x="4"/>
        <item x="5"/>
        <item x="9"/>
        <item t="default"/>
      </items>
    </pivotField>
    <pivotField showAll="0"/>
    <pivotField showAll="0"/>
    <pivotField numFmtId="164" showAll="0"/>
    <pivotField numFmtId="3" showAll="0"/>
    <pivotField numFmtId="165" showAll="0"/>
    <pivotField numFmtId="166" showAll="0"/>
    <pivotField dataField="1" numFmtId="166" showAll="0"/>
    <pivotField dataField="1" numFmtId="166" showAll="0"/>
    <pivotField showAll="0"/>
    <pivotField showAll="0"/>
    <pivotField showAll="0"/>
    <pivotField axis="axisCol" showAll="0">
      <items count="7">
        <item x="5"/>
        <item x="0"/>
        <item x="1"/>
        <item x="4"/>
        <item x="2"/>
        <item x="3"/>
        <item t="default"/>
      </items>
    </pivotField>
    <pivotField showAll="0"/>
    <pivotField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Fields count="2">
    <field x="14"/>
    <field x="-2"/>
  </colFields>
  <colItems count="14">
    <i>
      <x/>
      <x/>
    </i>
    <i r="1" i="1">
      <x v="1"/>
    </i>
    <i>
      <x v="1"/>
      <x/>
    </i>
    <i r="1" i="1">
      <x v="1"/>
    </i>
    <i>
      <x v="2"/>
      <x/>
    </i>
    <i r="1" i="1">
      <x v="1"/>
    </i>
    <i>
      <x v="3"/>
      <x/>
    </i>
    <i r="1" i="1">
      <x v="1"/>
    </i>
    <i>
      <x v="4"/>
      <x/>
    </i>
    <i r="1" i="1">
      <x v="1"/>
    </i>
    <i>
      <x v="5"/>
      <x/>
    </i>
    <i r="1" i="1">
      <x v="1"/>
    </i>
    <i t="grand">
      <x/>
    </i>
    <i t="grand" i="1">
      <x/>
    </i>
  </colItems>
  <dataFields count="2">
    <dataField name="Sum of sales" fld="9" baseField="0" baseItem="0" numFmtId="166"/>
    <dataField name="Sum of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67326C-6776-4AB0-AD05-2E02F3959BF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3:O18" firstHeaderRow="1" firstDataRow="1" firstDataCol="1"/>
  <pivotFields count="20">
    <pivotField showAll="0"/>
    <pivotField showAll="0"/>
    <pivotField showAll="0"/>
    <pivotField showAll="0"/>
    <pivotField showAll="0"/>
    <pivotField numFmtId="164" showAll="0"/>
    <pivotField numFmtId="3" showAll="0"/>
    <pivotField numFmtId="165" showAll="0"/>
    <pivotField numFmtId="166" showAll="0"/>
    <pivotField dataField="1" numFmtId="166" showAll="0"/>
    <pivotField numFmtId="166" showAll="0"/>
    <pivotField showAll="0"/>
    <pivotField showAll="0"/>
    <pivotField showAll="0"/>
    <pivotField showAll="0"/>
    <pivotField showAll="0"/>
    <pivotField axis="axisRow" showAll="0">
      <items count="802">
        <item x="127"/>
        <item x="422"/>
        <item x="112"/>
        <item x="688"/>
        <item x="263"/>
        <item x="522"/>
        <item x="367"/>
        <item x="426"/>
        <item x="260"/>
        <item x="610"/>
        <item x="671"/>
        <item x="586"/>
        <item x="523"/>
        <item x="768"/>
        <item x="224"/>
        <item x="761"/>
        <item x="701"/>
        <item x="779"/>
        <item x="439"/>
        <item x="399"/>
        <item x="305"/>
        <item x="659"/>
        <item x="45"/>
        <item x="733"/>
        <item x="291"/>
        <item x="309"/>
        <item x="782"/>
        <item x="427"/>
        <item x="98"/>
        <item x="64"/>
        <item x="105"/>
        <item x="719"/>
        <item x="521"/>
        <item x="721"/>
        <item x="111"/>
        <item x="375"/>
        <item x="731"/>
        <item x="605"/>
        <item x="313"/>
        <item x="292"/>
        <item x="705"/>
        <item x="503"/>
        <item x="109"/>
        <item x="294"/>
        <item x="649"/>
        <item x="575"/>
        <item x="233"/>
        <item x="772"/>
        <item x="454"/>
        <item x="333"/>
        <item x="600"/>
        <item x="698"/>
        <item x="430"/>
        <item x="424"/>
        <item x="657"/>
        <item x="49"/>
        <item x="704"/>
        <item x="298"/>
        <item x="611"/>
        <item x="597"/>
        <item x="447"/>
        <item x="182"/>
        <item x="762"/>
        <item x="268"/>
        <item x="21"/>
        <item x="758"/>
        <item x="40"/>
        <item x="599"/>
        <item x="78"/>
        <item x="730"/>
        <item x="316"/>
        <item x="150"/>
        <item x="331"/>
        <item x="61"/>
        <item x="621"/>
        <item x="418"/>
        <item x="328"/>
        <item x="509"/>
        <item x="283"/>
        <item x="787"/>
        <item x="86"/>
        <item x="284"/>
        <item x="141"/>
        <item x="453"/>
        <item x="332"/>
        <item x="794"/>
        <item x="142"/>
        <item x="96"/>
        <item x="209"/>
        <item x="100"/>
        <item x="460"/>
        <item x="139"/>
        <item x="183"/>
        <item x="347"/>
        <item x="338"/>
        <item x="339"/>
        <item x="73"/>
        <item x="128"/>
        <item x="546"/>
        <item x="598"/>
        <item x="387"/>
        <item x="713"/>
        <item x="134"/>
        <item x="507"/>
        <item x="709"/>
        <item x="400"/>
        <item x="693"/>
        <item x="151"/>
        <item x="644"/>
        <item x="140"/>
        <item x="516"/>
        <item x="739"/>
        <item x="472"/>
        <item x="198"/>
        <item x="524"/>
        <item x="329"/>
        <item x="641"/>
        <item x="322"/>
        <item x="706"/>
        <item x="638"/>
        <item x="385"/>
        <item x="573"/>
        <item x="252"/>
        <item x="259"/>
        <item x="694"/>
        <item x="221"/>
        <item x="190"/>
        <item x="60"/>
        <item x="606"/>
        <item x="656"/>
        <item x="676"/>
        <item x="798"/>
        <item x="12"/>
        <item x="178"/>
        <item x="272"/>
        <item x="117"/>
        <item x="511"/>
        <item x="323"/>
        <item x="364"/>
        <item x="228"/>
        <item x="613"/>
        <item x="286"/>
        <item x="16"/>
        <item x="8"/>
        <item x="181"/>
        <item x="451"/>
        <item x="196"/>
        <item x="301"/>
        <item x="423"/>
        <item x="274"/>
        <item x="189"/>
        <item x="646"/>
        <item x="116"/>
        <item x="615"/>
        <item x="518"/>
        <item x="217"/>
        <item x="129"/>
        <item x="650"/>
        <item x="590"/>
        <item x="390"/>
        <item x="254"/>
        <item x="416"/>
        <item x="393"/>
        <item x="631"/>
        <item x="185"/>
        <item x="726"/>
        <item x="68"/>
        <item x="778"/>
        <item x="567"/>
        <item x="159"/>
        <item x="449"/>
        <item x="174"/>
        <item x="296"/>
        <item x="628"/>
        <item x="279"/>
        <item x="470"/>
        <item x="303"/>
        <item x="566"/>
        <item x="170"/>
        <item x="444"/>
        <item x="617"/>
        <item x="342"/>
        <item x="529"/>
        <item x="243"/>
        <item x="289"/>
        <item x="520"/>
        <item x="162"/>
        <item x="377"/>
        <item x="163"/>
        <item x="547"/>
        <item x="582"/>
        <item x="744"/>
        <item x="226"/>
        <item x="237"/>
        <item x="345"/>
        <item x="795"/>
        <item x="265"/>
        <item x="1"/>
        <item x="241"/>
        <item x="297"/>
        <item x="227"/>
        <item x="273"/>
        <item x="358"/>
        <item x="88"/>
        <item x="90"/>
        <item x="792"/>
        <item x="789"/>
        <item x="212"/>
        <item x="634"/>
        <item x="250"/>
        <item x="135"/>
        <item x="346"/>
        <item x="563"/>
        <item x="588"/>
        <item x="334"/>
        <item x="143"/>
        <item x="132"/>
        <item x="275"/>
        <item x="144"/>
        <item x="508"/>
        <item x="530"/>
        <item x="397"/>
        <item x="266"/>
        <item x="270"/>
        <item x="450"/>
        <item x="69"/>
        <item x="13"/>
        <item x="245"/>
        <item x="74"/>
        <item x="455"/>
        <item x="72"/>
        <item x="665"/>
        <item x="589"/>
        <item x="551"/>
        <item x="302"/>
        <item x="407"/>
        <item x="486"/>
        <item x="574"/>
        <item x="188"/>
        <item x="667"/>
        <item x="320"/>
        <item x="686"/>
        <item x="171"/>
        <item x="126"/>
        <item x="413"/>
        <item x="669"/>
        <item x="222"/>
        <item x="666"/>
        <item x="70"/>
        <item x="766"/>
        <item x="456"/>
        <item x="133"/>
        <item x="36"/>
        <item x="177"/>
        <item x="223"/>
        <item x="466"/>
        <item x="354"/>
        <item x="161"/>
        <item x="149"/>
        <item x="740"/>
        <item x="446"/>
        <item x="729"/>
        <item x="290"/>
        <item x="718"/>
        <item x="632"/>
        <item x="372"/>
        <item x="411"/>
        <item x="75"/>
        <item x="625"/>
        <item x="405"/>
        <item x="537"/>
        <item x="505"/>
        <item x="568"/>
        <item x="725"/>
        <item x="137"/>
        <item x="3"/>
        <item x="577"/>
        <item x="655"/>
        <item x="717"/>
        <item x="314"/>
        <item x="384"/>
        <item x="285"/>
        <item x="490"/>
        <item x="471"/>
        <item x="647"/>
        <item x="544"/>
        <item x="493"/>
        <item x="22"/>
        <item x="5"/>
        <item x="17"/>
        <item x="350"/>
        <item x="191"/>
        <item x="315"/>
        <item x="20"/>
        <item x="175"/>
        <item x="500"/>
        <item x="677"/>
        <item x="800"/>
        <item x="741"/>
        <item x="527"/>
        <item x="248"/>
        <item x="458"/>
        <item x="594"/>
        <item x="616"/>
        <item x="791"/>
        <item x="735"/>
        <item x="682"/>
        <item x="691"/>
        <item x="703"/>
        <item x="797"/>
        <item x="391"/>
        <item x="553"/>
        <item x="307"/>
        <item x="681"/>
        <item x="608"/>
        <item x="220"/>
        <item x="512"/>
        <item x="727"/>
        <item x="497"/>
        <item x="199"/>
        <item x="293"/>
        <item x="240"/>
        <item x="483"/>
        <item x="540"/>
        <item x="525"/>
        <item x="773"/>
        <item x="24"/>
        <item x="620"/>
        <item x="167"/>
        <item x="214"/>
        <item x="318"/>
        <item x="138"/>
        <item x="595"/>
        <item x="783"/>
        <item x="361"/>
        <item x="0"/>
        <item x="601"/>
        <item x="745"/>
        <item x="343"/>
        <item x="184"/>
        <item x="23"/>
        <item x="433"/>
        <item x="436"/>
        <item x="79"/>
        <item x="587"/>
        <item x="403"/>
        <item x="164"/>
        <item x="370"/>
        <item x="607"/>
        <item x="742"/>
        <item x="235"/>
        <item x="635"/>
        <item x="206"/>
        <item x="262"/>
        <item x="648"/>
        <item x="786"/>
        <item x="420"/>
        <item x="340"/>
        <item x="97"/>
        <item x="697"/>
        <item x="299"/>
        <item x="180"/>
        <item x="351"/>
        <item x="176"/>
        <item x="514"/>
        <item x="192"/>
        <item x="412"/>
        <item x="476"/>
        <item x="48"/>
        <item x="276"/>
        <item x="4"/>
        <item x="732"/>
        <item x="172"/>
        <item x="94"/>
        <item x="312"/>
        <item x="29"/>
        <item x="425"/>
        <item x="25"/>
        <item x="277"/>
        <item x="799"/>
        <item x="720"/>
        <item x="708"/>
        <item x="379"/>
        <item x="480"/>
        <item x="311"/>
        <item x="658"/>
        <item x="365"/>
        <item x="771"/>
        <item x="710"/>
        <item x="763"/>
        <item x="253"/>
        <item x="421"/>
        <item x="432"/>
        <item x="627"/>
        <item x="242"/>
        <item x="754"/>
        <item x="602"/>
        <item x="557"/>
        <item x="193"/>
        <item x="584"/>
        <item x="581"/>
        <item x="173"/>
        <item x="238"/>
        <item x="536"/>
        <item x="152"/>
        <item x="549"/>
        <item x="612"/>
        <item x="443"/>
        <item x="685"/>
        <item x="776"/>
        <item x="716"/>
        <item x="408"/>
        <item x="419"/>
        <item x="43"/>
        <item x="200"/>
        <item x="119"/>
        <item x="11"/>
        <item x="30"/>
        <item x="770"/>
        <item x="626"/>
        <item x="728"/>
        <item x="417"/>
        <item x="428"/>
        <item x="210"/>
        <item x="392"/>
        <item x="202"/>
        <item x="539"/>
        <item x="414"/>
        <item x="389"/>
        <item x="734"/>
        <item x="532"/>
        <item x="526"/>
        <item x="205"/>
        <item x="357"/>
        <item x="38"/>
        <item x="585"/>
        <item x="777"/>
        <item x="609"/>
        <item x="336"/>
        <item x="651"/>
        <item x="683"/>
        <item x="743"/>
        <item x="485"/>
        <item x="9"/>
        <item x="479"/>
        <item x="271"/>
        <item x="77"/>
        <item x="381"/>
        <item x="474"/>
        <item x="580"/>
        <item x="554"/>
        <item x="251"/>
        <item x="552"/>
        <item x="750"/>
        <item x="325"/>
        <item x="624"/>
        <item x="434"/>
        <item x="156"/>
        <item x="113"/>
        <item x="194"/>
        <item x="300"/>
        <item x="87"/>
        <item x="18"/>
        <item x="374"/>
        <item x="724"/>
        <item x="593"/>
        <item x="99"/>
        <item x="663"/>
        <item x="7"/>
        <item x="71"/>
        <item x="398"/>
        <item x="47"/>
        <item x="50"/>
        <item x="366"/>
        <item x="32"/>
        <item x="104"/>
        <item x="281"/>
        <item x="166"/>
        <item x="148"/>
        <item x="723"/>
        <item x="618"/>
        <item x="62"/>
        <item x="542"/>
        <item x="535"/>
        <item x="481"/>
        <item x="468"/>
        <item x="349"/>
        <item x="596"/>
        <item x="452"/>
        <item x="229"/>
        <item x="153"/>
        <item x="793"/>
        <item x="569"/>
        <item x="308"/>
        <item x="675"/>
        <item x="56"/>
        <item x="208"/>
        <item x="769"/>
        <item x="679"/>
        <item x="571"/>
        <item x="673"/>
        <item x="124"/>
        <item x="668"/>
        <item x="653"/>
        <item x="559"/>
        <item x="51"/>
        <item x="492"/>
        <item x="689"/>
        <item x="639"/>
        <item x="578"/>
        <item x="642"/>
        <item x="592"/>
        <item x="34"/>
        <item x="409"/>
        <item x="353"/>
        <item x="67"/>
        <item x="541"/>
        <item x="534"/>
        <item x="269"/>
        <item x="348"/>
        <item x="378"/>
        <item x="755"/>
        <item x="306"/>
        <item x="781"/>
        <item x="65"/>
        <item x="146"/>
        <item x="247"/>
        <item x="699"/>
        <item x="76"/>
        <item x="158"/>
        <item x="550"/>
        <item x="660"/>
        <item x="39"/>
        <item x="41"/>
        <item x="15"/>
        <item x="93"/>
        <item x="491"/>
        <item x="42"/>
        <item x="528"/>
        <item x="463"/>
        <item x="258"/>
        <item x="121"/>
        <item x="692"/>
        <item x="101"/>
        <item x="461"/>
        <item x="774"/>
        <item x="759"/>
        <item x="640"/>
        <item x="633"/>
        <item x="278"/>
        <item x="44"/>
        <item x="475"/>
        <item x="52"/>
        <item x="445"/>
        <item x="482"/>
        <item x="504"/>
        <item x="28"/>
        <item x="515"/>
        <item x="234"/>
        <item x="108"/>
        <item x="236"/>
        <item x="120"/>
        <item x="538"/>
        <item x="680"/>
        <item x="442"/>
        <item x="570"/>
        <item x="169"/>
        <item x="57"/>
        <item x="225"/>
        <item x="55"/>
        <item x="239"/>
        <item x="664"/>
        <item x="465"/>
        <item x="388"/>
        <item x="788"/>
        <item x="555"/>
        <item x="674"/>
        <item x="712"/>
        <item x="561"/>
        <item x="168"/>
        <item x="629"/>
        <item x="6"/>
        <item x="54"/>
        <item x="136"/>
        <item x="396"/>
        <item x="356"/>
        <item x="317"/>
        <item x="494"/>
        <item x="373"/>
        <item x="756"/>
        <item x="288"/>
        <item x="310"/>
        <item x="355"/>
        <item x="785"/>
        <item x="429"/>
        <item x="478"/>
        <item x="326"/>
        <item x="695"/>
        <item x="654"/>
        <item x="752"/>
        <item x="304"/>
        <item x="499"/>
        <item x="643"/>
        <item x="295"/>
        <item x="187"/>
        <item x="545"/>
        <item x="753"/>
        <item x="687"/>
        <item x="670"/>
        <item x="645"/>
        <item x="702"/>
        <item x="231"/>
        <item x="457"/>
        <item x="63"/>
        <item x="487"/>
        <item x="401"/>
        <item x="495"/>
        <item x="410"/>
        <item x="282"/>
        <item x="201"/>
        <item x="81"/>
        <item x="207"/>
        <item x="249"/>
        <item x="572"/>
        <item x="501"/>
        <item x="27"/>
        <item x="321"/>
        <item x="58"/>
        <item x="488"/>
        <item x="796"/>
        <item x="59"/>
        <item x="636"/>
        <item x="738"/>
        <item x="10"/>
        <item x="280"/>
        <item x="380"/>
        <item x="118"/>
        <item x="80"/>
        <item x="147"/>
        <item x="257"/>
        <item x="341"/>
        <item x="637"/>
        <item x="558"/>
        <item x="82"/>
        <item x="324"/>
        <item x="53"/>
        <item x="19"/>
        <item x="513"/>
        <item x="760"/>
        <item x="110"/>
        <item x="335"/>
        <item x="203"/>
        <item x="467"/>
        <item x="386"/>
        <item x="179"/>
        <item x="415"/>
        <item x="764"/>
        <item x="464"/>
        <item x="435"/>
        <item x="406"/>
        <item x="622"/>
        <item x="576"/>
        <item x="359"/>
        <item x="510"/>
        <item x="130"/>
        <item x="477"/>
        <item x="376"/>
        <item x="131"/>
        <item x="244"/>
        <item x="603"/>
        <item x="230"/>
        <item x="394"/>
        <item x="757"/>
        <item x="319"/>
        <item x="383"/>
        <item x="368"/>
        <item x="344"/>
        <item x="337"/>
        <item x="91"/>
        <item x="26"/>
        <item x="672"/>
        <item x="327"/>
        <item x="678"/>
        <item x="382"/>
        <item x="267"/>
        <item x="630"/>
        <item x="216"/>
        <item x="95"/>
        <item x="103"/>
        <item x="441"/>
        <item x="690"/>
        <item x="211"/>
        <item x="484"/>
        <item x="707"/>
        <item x="749"/>
        <item x="533"/>
        <item x="543"/>
        <item x="14"/>
        <item x="498"/>
        <item x="255"/>
        <item x="548"/>
        <item x="102"/>
        <item x="125"/>
        <item x="2"/>
        <item x="715"/>
        <item x="213"/>
        <item x="747"/>
        <item x="115"/>
        <item x="362"/>
        <item x="661"/>
        <item x="160"/>
        <item x="790"/>
        <item x="560"/>
        <item x="107"/>
        <item x="85"/>
        <item x="215"/>
        <item x="469"/>
        <item x="619"/>
        <item x="114"/>
        <item x="195"/>
        <item x="652"/>
        <item x="155"/>
        <item x="737"/>
        <item x="562"/>
        <item x="154"/>
        <item x="264"/>
        <item x="83"/>
        <item x="31"/>
        <item x="106"/>
        <item x="519"/>
        <item x="496"/>
        <item x="502"/>
        <item x="360"/>
        <item x="765"/>
        <item x="748"/>
        <item x="92"/>
        <item x="157"/>
        <item x="371"/>
        <item x="33"/>
        <item x="145"/>
        <item x="84"/>
        <item x="219"/>
        <item x="352"/>
        <item x="186"/>
        <item x="287"/>
        <item x="711"/>
        <item x="517"/>
        <item x="395"/>
        <item x="767"/>
        <item x="473"/>
        <item x="736"/>
        <item x="564"/>
        <item x="66"/>
        <item x="579"/>
        <item x="404"/>
        <item x="780"/>
        <item x="165"/>
        <item x="623"/>
        <item x="583"/>
        <item x="489"/>
        <item x="218"/>
        <item x="438"/>
        <item x="122"/>
        <item x="775"/>
        <item x="204"/>
        <item x="369"/>
        <item x="556"/>
        <item x="684"/>
        <item x="604"/>
        <item x="614"/>
        <item x="246"/>
        <item x="256"/>
        <item x="363"/>
        <item x="722"/>
        <item x="714"/>
        <item x="751"/>
        <item x="232"/>
        <item x="462"/>
        <item x="440"/>
        <item x="506"/>
        <item x="37"/>
        <item x="35"/>
        <item x="700"/>
        <item x="261"/>
        <item x="437"/>
        <item x="431"/>
        <item x="662"/>
        <item x="696"/>
        <item x="784"/>
        <item x="531"/>
        <item x="448"/>
        <item x="591"/>
        <item x="123"/>
        <item x="330"/>
        <item x="89"/>
        <item x="565"/>
        <item x="746"/>
        <item x="402"/>
        <item x="197"/>
        <item x="46"/>
        <item x="45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9"/>
    <field x="18"/>
    <field x="17"/>
    <field x="16"/>
  </rowFields>
  <rowItems count="5">
    <i>
      <x v="1"/>
    </i>
    <i>
      <x v="2"/>
    </i>
    <i>
      <x v="3"/>
    </i>
    <i>
      <x v="4"/>
    </i>
    <i t="grand">
      <x/>
    </i>
  </rowItems>
  <colItems count="1">
    <i/>
  </colItems>
  <dataFields count="1">
    <dataField name="Sum of sales" fld="9" baseField="0" baseItem="0" numFmtId="166"/>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3AE777-DF20-4FA0-86B3-211E92036E44}" sourceName="region">
  <pivotTables>
    <pivotTable tabId="5" name="PivotTable8"/>
  </pivotTables>
  <data>
    <tabular pivotCacheId="193850597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011B2D-7388-4A33-9538-24F9CDEFBA8F}" sourceName="city">
  <pivotTables>
    <pivotTable tabId="5" name="PivotTable8"/>
  </pivotTables>
  <data>
    <tabular pivotCacheId="1938505974">
      <items count="20">
        <i x="7" s="1"/>
        <i x="2" s="1"/>
        <i x="10" s="1"/>
        <i x="11" s="1"/>
        <i x="13" s="1"/>
        <i x="0" s="1"/>
        <i x="12" s="1"/>
        <i x="8" s="1"/>
        <i x="3" s="1"/>
        <i x="15" s="1"/>
        <i x="14" s="1"/>
        <i x="18" s="1"/>
        <i x="1" s="1"/>
        <i x="16" s="1"/>
        <i x="19" s="1"/>
        <i x="6" s="1"/>
        <i x="17" s="1"/>
        <i x="4" s="1"/>
        <i x="5"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B0EEBB7-8536-4F98-A371-FEB3B14F6DBD}" sourceName="payment_mode">
  <pivotTables>
    <pivotTable tabId="5" name="PivotTable8"/>
  </pivotTables>
  <data>
    <tabular pivotCacheId="1938505974">
      <items count="6">
        <i x="5" s="1"/>
        <i x="0" s="1"/>
        <i x="1"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4FDA35-0958-4309-ADA3-190EE872A8B8}" sourceName="category">
  <pivotTables>
    <pivotTable tabId="5" name="PivotTable1"/>
  </pivotTables>
  <data>
    <tabular pivotCacheId="1938505974">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F72E67-82B3-4B07-83F9-606F75FA64C7}" cache="Slicer_region" caption="region" style="SlicerStyleDark2" rowHeight="241300"/>
  <slicer name="category 1" xr10:uid="{92BC4B40-ECF8-4DE9-8C34-6F7BB2A19B5E}" cache="Slicer_category" caption="category"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95F010-F53B-4983-8CB9-541734C9BF93}" cache="Slicer_region" caption="region" rowHeight="241300"/>
  <slicer name="city" xr10:uid="{3D68D115-1F25-40CA-A441-0B81AD3350C2}" cache="Slicer_city" caption="city" rowHeight="241300"/>
  <slicer name="payment_mode" xr10:uid="{4675E24B-ECC6-45AD-A863-B24D565FD98C}" cache="Slicer_payment_mode" caption="payment_mode" rowHeight="241300"/>
  <slicer name="category" xr10:uid="{08445B47-7865-4D9E-8249-4EC246F03F47}"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nePlusSalesData" displayName="OnePlusSalesData" ref="A1:Q1502" totalsRowCount="1">
  <autoFilter ref="A1:Q1501" xr:uid="{00000000-0009-0000-0100-000001000000}"/>
  <tableColumns count="17">
    <tableColumn id="1" xr3:uid="{00000000-0010-0000-0000-000001000000}" name="order_id"/>
    <tableColumn id="2" xr3:uid="{00000000-0010-0000-0000-000002000000}" name="region"/>
    <tableColumn id="3" xr3:uid="{00000000-0010-0000-0000-000003000000}" name="city"/>
    <tableColumn id="4" xr3:uid="{00000000-0010-0000-0000-000004000000}" name="category"/>
    <tableColumn id="5" xr3:uid="{00000000-0010-0000-0000-000005000000}" name="product_name"/>
    <tableColumn id="6" xr3:uid="{00000000-0010-0000-0000-000006000000}" name="unit_price"/>
    <tableColumn id="7" xr3:uid="{00000000-0010-0000-0000-000007000000}" name="quantity"/>
    <tableColumn id="8" xr3:uid="{00000000-0010-0000-0000-000008000000}" name="discount"/>
    <tableColumn id="9" xr3:uid="{00000000-0010-0000-0000-000009000000}" name="discount_value" totalsRowFunction="custom" totalsRowDxfId="10">
      <totalsRowFormula>SUM(OnePlusSalesData[discount_value])</totalsRowFormula>
    </tableColumn>
    <tableColumn id="10" xr3:uid="{00000000-0010-0000-0000-00000A000000}" name="sales" totalsRowFunction="custom" totalsRowDxfId="9">
      <totalsRowFormula>SUM(OnePlusSalesData[sales])</totalsRowFormula>
    </tableColumn>
    <tableColumn id="11" xr3:uid="{00000000-0010-0000-0000-00000B000000}" name="profit"/>
    <tableColumn id="12" xr3:uid="{00000000-0010-0000-0000-00000C000000}" name="order_date" dataDxfId="8" totalsRowDxfId="7"/>
    <tableColumn id="13" xr3:uid="{00000000-0010-0000-0000-00000D000000}" name="delivery_date" dataDxfId="6" totalsRowDxfId="5"/>
    <tableColumn id="14" xr3:uid="{00000000-0010-0000-0000-00000E000000}" name="customer_type" dataDxfId="4" totalsRowDxfId="3"/>
    <tableColumn id="15" xr3:uid="{00000000-0010-0000-0000-00000F000000}" name="payment_mode"/>
    <tableColumn id="16" xr3:uid="{B7BD61D3-109C-46E9-B284-E07733C6D639}" name="Order_Month_Date" dataDxfId="2">
      <calculatedColumnFormula>DATEVALUE(OnePlusSalesData[[#This Row],[order_date]])</calculatedColumnFormula>
    </tableColumn>
    <tableColumn id="17" xr3:uid="{005D77BE-7139-44CC-A2AA-1C3508D2C5D4}" name="Delivery_Month_Year" dataDxfId="1">
      <calculatedColumnFormula>DATEVALUE(OnePlusSalesData[[#This Row],[delivery_date]])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Month_Year" xr10:uid="{FE706CF6-4031-4121-9AFA-0EE9BE10F932}" sourceName="Delivery_Month_Year">
  <pivotTables>
    <pivotTable tabId="5" name="PivotTable11"/>
  </pivotTables>
  <state minimalRefreshVersion="6" lastRefreshVersion="6" pivotCacheId="1938505974"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Month_Year 1" xr10:uid="{DAC7924E-DFF2-4D70-9544-4B25906C2C90}" cache="NativeTimeline_Delivery_Month_Year" caption="Delivery_Month_Year" level="2" selectionLevel="2" scrollPosition="2021-06-06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Month_Year" xr10:uid="{06D78E90-BA1D-4822-927F-28D68570F15B}" cache="NativeTimeline_Delivery_Month_Year" caption="Delivery_Month_Year" level="2" selectionLevel="2" scrollPosition="2021-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4C0A-A76B-4D39-A71D-B051109035C5}">
  <dimension ref="A3:B9"/>
  <sheetViews>
    <sheetView topLeftCell="A7" workbookViewId="0">
      <selection activeCell="A3" sqref="A3:B8"/>
    </sheetView>
  </sheetViews>
  <sheetFormatPr defaultRowHeight="14.5" x14ac:dyDescent="0.35"/>
  <cols>
    <col min="1" max="1" width="21.6328125" bestFit="1" customWidth="1"/>
    <col min="2" max="2" width="11.81640625" bestFit="1" customWidth="1"/>
  </cols>
  <sheetData>
    <row r="3" spans="1:2" x14ac:dyDescent="0.35">
      <c r="A3" s="14" t="s">
        <v>2592</v>
      </c>
      <c r="B3" t="s">
        <v>2594</v>
      </c>
    </row>
    <row r="4" spans="1:2" x14ac:dyDescent="0.35">
      <c r="A4" s="15" t="s">
        <v>18</v>
      </c>
      <c r="B4">
        <v>1072083.3999999999</v>
      </c>
    </row>
    <row r="5" spans="1:2" x14ac:dyDescent="0.35">
      <c r="A5" s="15" t="s">
        <v>85</v>
      </c>
      <c r="B5">
        <v>1760912.09</v>
      </c>
    </row>
    <row r="6" spans="1:2" x14ac:dyDescent="0.35">
      <c r="A6" s="15" t="s">
        <v>40</v>
      </c>
      <c r="B6">
        <v>38892840.420000002</v>
      </c>
    </row>
    <row r="7" spans="1:2" x14ac:dyDescent="0.35">
      <c r="A7" s="15" t="s">
        <v>34</v>
      </c>
      <c r="B7">
        <v>4823835.32</v>
      </c>
    </row>
    <row r="8" spans="1:2" x14ac:dyDescent="0.35">
      <c r="A8" s="15" t="s">
        <v>27</v>
      </c>
      <c r="B8">
        <v>8118763.5999999996</v>
      </c>
    </row>
    <row r="9" spans="1:2" x14ac:dyDescent="0.35">
      <c r="A9" s="15" t="s">
        <v>2593</v>
      </c>
      <c r="B9">
        <v>54668434.829999998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C664-C4D1-41A7-8D60-8697BD93DFA4}">
  <dimension ref="A1:AM70"/>
  <sheetViews>
    <sheetView showGridLines="0" tabSelected="1" topLeftCell="S1" zoomScale="50" workbookViewId="0">
      <selection activeCell="AJ1" sqref="AJ1:AL2"/>
    </sheetView>
  </sheetViews>
  <sheetFormatPr defaultRowHeight="14.5" x14ac:dyDescent="0.35"/>
  <sheetData>
    <row r="1" spans="1:39"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3"/>
    </row>
    <row r="2" spans="1:39" x14ac:dyDescent="0.3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3"/>
    </row>
    <row r="3" spans="1:39" x14ac:dyDescent="0.35">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3"/>
    </row>
    <row r="4" spans="1:39" x14ac:dyDescent="0.35">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3"/>
    </row>
    <row r="5" spans="1:39" x14ac:dyDescent="0.35">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3"/>
    </row>
    <row r="6" spans="1:39" x14ac:dyDescent="0.3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3"/>
    </row>
    <row r="7" spans="1:39" x14ac:dyDescent="0.3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3"/>
    </row>
    <row r="8" spans="1:39"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3"/>
    </row>
    <row r="9" spans="1:39"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3"/>
    </row>
    <row r="10" spans="1:39" x14ac:dyDescent="0.3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3"/>
    </row>
    <row r="11" spans="1:39" x14ac:dyDescent="0.3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3"/>
    </row>
    <row r="12" spans="1:39" x14ac:dyDescent="0.3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3"/>
    </row>
    <row r="13" spans="1:39" x14ac:dyDescent="0.3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3"/>
    </row>
    <row r="14" spans="1:39"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3"/>
    </row>
    <row r="15" spans="1:39"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3"/>
    </row>
    <row r="16" spans="1:39"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3"/>
    </row>
    <row r="17" spans="1:39"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3"/>
    </row>
    <row r="18" spans="1:39"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3"/>
    </row>
    <row r="19" spans="1:39"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3"/>
    </row>
    <row r="20" spans="1:39"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3"/>
    </row>
    <row r="21" spans="1:39"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3"/>
    </row>
    <row r="22" spans="1:39"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3"/>
    </row>
    <row r="23" spans="1:39" x14ac:dyDescent="0.3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3"/>
    </row>
    <row r="24" spans="1:39" x14ac:dyDescent="0.3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3"/>
    </row>
    <row r="25" spans="1:39" x14ac:dyDescent="0.3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3"/>
    </row>
    <row r="26" spans="1:39" x14ac:dyDescent="0.3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3"/>
    </row>
    <row r="27" spans="1:39" x14ac:dyDescent="0.3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3"/>
    </row>
    <row r="28" spans="1:39"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3"/>
    </row>
    <row r="29" spans="1:39" x14ac:dyDescent="0.3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3"/>
    </row>
    <row r="30" spans="1:39" x14ac:dyDescent="0.3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3"/>
    </row>
    <row r="31" spans="1:39" x14ac:dyDescent="0.3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3"/>
    </row>
    <row r="32" spans="1:39" x14ac:dyDescent="0.3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3"/>
    </row>
    <row r="33" spans="1:39" x14ac:dyDescent="0.3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3"/>
    </row>
    <row r="34" spans="1:39" x14ac:dyDescent="0.3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3"/>
    </row>
    <row r="35" spans="1:39" x14ac:dyDescent="0.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3"/>
    </row>
    <row r="36" spans="1:39"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3"/>
    </row>
    <row r="37" spans="1:39"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3"/>
    </row>
    <row r="38" spans="1:39" x14ac:dyDescent="0.3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3"/>
    </row>
    <row r="39" spans="1:39" x14ac:dyDescent="0.3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3"/>
    </row>
    <row r="40" spans="1:39" x14ac:dyDescent="0.3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3"/>
    </row>
    <row r="41" spans="1:39" x14ac:dyDescent="0.3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3"/>
    </row>
    <row r="42" spans="1:39"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3"/>
    </row>
    <row r="43" spans="1:39" x14ac:dyDescent="0.3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3"/>
    </row>
    <row r="44" spans="1:39" x14ac:dyDescent="0.3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3"/>
    </row>
    <row r="45" spans="1:39" x14ac:dyDescent="0.3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3"/>
    </row>
    <row r="46" spans="1:39" x14ac:dyDescent="0.3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3"/>
    </row>
    <row r="47" spans="1:39" x14ac:dyDescent="0.3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3"/>
    </row>
    <row r="48" spans="1:39" x14ac:dyDescent="0.3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3"/>
    </row>
    <row r="49" spans="1:39" x14ac:dyDescent="0.3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3"/>
    </row>
    <row r="50" spans="1:39" x14ac:dyDescent="0.3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3"/>
    </row>
    <row r="51" spans="1:39" x14ac:dyDescent="0.3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3"/>
    </row>
    <row r="52" spans="1:39" x14ac:dyDescent="0.3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3"/>
    </row>
    <row r="53" spans="1:39" x14ac:dyDescent="0.3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3"/>
    </row>
    <row r="54" spans="1:39" x14ac:dyDescent="0.3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3"/>
    </row>
    <row r="55" spans="1:39" x14ac:dyDescent="0.3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3"/>
    </row>
    <row r="56" spans="1:39" x14ac:dyDescent="0.3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3"/>
    </row>
    <row r="57" spans="1:39" x14ac:dyDescent="0.3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3"/>
    </row>
    <row r="58" spans="1:39" x14ac:dyDescent="0.3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3"/>
    </row>
    <row r="59" spans="1:39" x14ac:dyDescent="0.3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3"/>
    </row>
    <row r="60" spans="1:39" x14ac:dyDescent="0.3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3"/>
    </row>
    <row r="61" spans="1:39" x14ac:dyDescent="0.3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3"/>
    </row>
    <row r="62" spans="1:39" x14ac:dyDescent="0.3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3"/>
    </row>
    <row r="63" spans="1:39" x14ac:dyDescent="0.3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3"/>
    </row>
    <row r="64" spans="1:39" x14ac:dyDescent="0.3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3"/>
    </row>
    <row r="65" spans="1:39" x14ac:dyDescent="0.3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3"/>
    </row>
    <row r="66" spans="1:39" x14ac:dyDescent="0.3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3"/>
    </row>
    <row r="67" spans="1:39" x14ac:dyDescent="0.3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3"/>
    </row>
    <row r="68" spans="1:39" x14ac:dyDescent="0.3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3"/>
    </row>
    <row r="69" spans="1:39" x14ac:dyDescent="0.3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3"/>
    </row>
    <row r="70" spans="1:39" x14ac:dyDescent="0.3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2"/>
  <sheetViews>
    <sheetView topLeftCell="F1" zoomScale="58" zoomScaleNormal="71" workbookViewId="0">
      <pane ySplit="1" topLeftCell="A1473" activePane="bottomLeft" state="frozen"/>
      <selection pane="bottomLeft" activeCell="P1473" sqref="P1473:P1501"/>
    </sheetView>
  </sheetViews>
  <sheetFormatPr defaultRowHeight="14.5" x14ac:dyDescent="0.35"/>
  <cols>
    <col min="1" max="3" width="14" customWidth="1"/>
    <col min="4" max="4" width="24" customWidth="1"/>
    <col min="5" max="5" width="42" customWidth="1"/>
    <col min="6" max="8" width="14" customWidth="1"/>
    <col min="9" max="9" width="17" customWidth="1"/>
    <col min="10" max="10" width="14.36328125" bestFit="1" customWidth="1"/>
    <col min="11" max="12" width="14" customWidth="1"/>
    <col min="13" max="13" width="16" customWidth="1"/>
    <col min="14" max="14" width="17" customWidth="1"/>
    <col min="15" max="15" width="22" customWidth="1"/>
    <col min="16" max="16" width="20.36328125" bestFit="1" customWidth="1"/>
    <col min="17" max="17" width="22.54296875" bestFit="1" customWidth="1"/>
    <col min="19" max="19" width="14.36328125" bestFit="1" customWidth="1"/>
  </cols>
  <sheetData>
    <row r="1" spans="1:19" ht="2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0" t="s">
        <v>2607</v>
      </c>
      <c r="Q1" s="20" t="s">
        <v>2599</v>
      </c>
    </row>
    <row r="2" spans="1:19" ht="16" x14ac:dyDescent="0.45">
      <c r="A2" s="2" t="s">
        <v>15</v>
      </c>
      <c r="B2" s="2" t="s">
        <v>16</v>
      </c>
      <c r="C2" s="3" t="s">
        <v>17</v>
      </c>
      <c r="D2" s="3" t="s">
        <v>18</v>
      </c>
      <c r="E2" s="3" t="s">
        <v>19</v>
      </c>
      <c r="F2" s="4">
        <v>1990</v>
      </c>
      <c r="G2" s="5">
        <v>2</v>
      </c>
      <c r="H2" s="6">
        <v>0.08</v>
      </c>
      <c r="I2" s="7">
        <v>318.39999999999998</v>
      </c>
      <c r="J2" s="7">
        <v>3661.6</v>
      </c>
      <c r="K2" s="7">
        <v>581.17999999999995</v>
      </c>
      <c r="L2" s="2" t="s">
        <v>20</v>
      </c>
      <c r="M2" s="18" t="s">
        <v>21</v>
      </c>
      <c r="N2" s="3" t="s">
        <v>22</v>
      </c>
      <c r="O2" s="3" t="s">
        <v>23</v>
      </c>
      <c r="P2">
        <f>DATEVALUE(OnePlusSalesData[[#This Row],[order_date]])</f>
        <v>43567</v>
      </c>
      <c r="Q2" s="28">
        <f>DATEVALUE(OnePlusSalesData[[#This Row],[delivery_date]])</f>
        <v>43571</v>
      </c>
    </row>
    <row r="3" spans="1:19" ht="16" x14ac:dyDescent="0.45">
      <c r="A3" s="8" t="s">
        <v>24</v>
      </c>
      <c r="B3" s="8" t="s">
        <v>25</v>
      </c>
      <c r="C3" s="9" t="s">
        <v>26</v>
      </c>
      <c r="D3" s="9" t="s">
        <v>27</v>
      </c>
      <c r="E3" s="9" t="s">
        <v>28</v>
      </c>
      <c r="F3" s="10">
        <v>12999</v>
      </c>
      <c r="G3" s="11">
        <v>1</v>
      </c>
      <c r="H3" s="12">
        <v>0</v>
      </c>
      <c r="I3" s="13">
        <v>0</v>
      </c>
      <c r="J3" s="13">
        <v>12999</v>
      </c>
      <c r="K3" s="13">
        <v>2103.4899999999998</v>
      </c>
      <c r="L3" s="8" t="s">
        <v>29</v>
      </c>
      <c r="M3" s="19" t="s">
        <v>30</v>
      </c>
      <c r="N3" s="9" t="s">
        <v>22</v>
      </c>
      <c r="O3" s="9" t="s">
        <v>31</v>
      </c>
      <c r="P3">
        <f>DATEVALUE(OnePlusSalesData[[#This Row],[order_date]])</f>
        <v>43377</v>
      </c>
      <c r="Q3" s="28">
        <f>DATEVALUE(OnePlusSalesData[[#This Row],[delivery_date]])</f>
        <v>43379</v>
      </c>
    </row>
    <row r="4" spans="1:19" ht="16" x14ac:dyDescent="0.45">
      <c r="A4" s="2" t="s">
        <v>32</v>
      </c>
      <c r="B4" s="2" t="s">
        <v>16</v>
      </c>
      <c r="C4" s="3" t="s">
        <v>33</v>
      </c>
      <c r="D4" s="3" t="s">
        <v>34</v>
      </c>
      <c r="E4" s="3" t="s">
        <v>35</v>
      </c>
      <c r="F4" s="4">
        <v>19999</v>
      </c>
      <c r="G4" s="5">
        <v>1</v>
      </c>
      <c r="H4" s="6">
        <v>0.15</v>
      </c>
      <c r="I4" s="7">
        <v>2999.85</v>
      </c>
      <c r="J4" s="7">
        <v>16999.150000000001</v>
      </c>
      <c r="K4" s="7">
        <v>2854.71</v>
      </c>
      <c r="L4" s="2" t="s">
        <v>36</v>
      </c>
      <c r="M4" s="18" t="s">
        <v>37</v>
      </c>
      <c r="N4" s="3" t="s">
        <v>22</v>
      </c>
      <c r="O4" s="3" t="s">
        <v>31</v>
      </c>
      <c r="P4">
        <f>DATEVALUE(OnePlusSalesData[[#This Row],[order_date]])</f>
        <v>44058</v>
      </c>
      <c r="Q4" s="28">
        <f>DATEVALUE(OnePlusSalesData[[#This Row],[delivery_date]])</f>
        <v>44065</v>
      </c>
    </row>
    <row r="5" spans="1:19" ht="16" x14ac:dyDescent="0.45">
      <c r="A5" s="8" t="s">
        <v>38</v>
      </c>
      <c r="B5" s="8" t="s">
        <v>16</v>
      </c>
      <c r="C5" s="9" t="s">
        <v>39</v>
      </c>
      <c r="D5" s="9" t="s">
        <v>40</v>
      </c>
      <c r="E5" s="9" t="s">
        <v>41</v>
      </c>
      <c r="F5" s="10">
        <v>37999</v>
      </c>
      <c r="G5" s="11">
        <v>2</v>
      </c>
      <c r="H5" s="12">
        <v>0</v>
      </c>
      <c r="I5" s="13">
        <v>0</v>
      </c>
      <c r="J5" s="13">
        <v>75998</v>
      </c>
      <c r="K5" s="13">
        <v>11232.97</v>
      </c>
      <c r="L5" s="8" t="s">
        <v>42</v>
      </c>
      <c r="M5" s="19" t="s">
        <v>43</v>
      </c>
      <c r="N5" s="9" t="s">
        <v>44</v>
      </c>
      <c r="O5" s="9" t="s">
        <v>45</v>
      </c>
      <c r="P5">
        <f>DATEVALUE(OnePlusSalesData[[#This Row],[order_date]])</f>
        <v>43488</v>
      </c>
      <c r="Q5" s="28">
        <f>DATEVALUE(OnePlusSalesData[[#This Row],[delivery_date]])</f>
        <v>43490</v>
      </c>
    </row>
    <row r="6" spans="1:19" ht="16" x14ac:dyDescent="0.45">
      <c r="A6" s="2" t="s">
        <v>46</v>
      </c>
      <c r="B6" s="2" t="s">
        <v>16</v>
      </c>
      <c r="C6" s="3" t="s">
        <v>17</v>
      </c>
      <c r="D6" s="3" t="s">
        <v>40</v>
      </c>
      <c r="E6" s="3" t="s">
        <v>47</v>
      </c>
      <c r="F6" s="4">
        <v>37999</v>
      </c>
      <c r="G6" s="5">
        <v>2</v>
      </c>
      <c r="H6" s="6">
        <v>0.05</v>
      </c>
      <c r="I6" s="7">
        <v>3799.9</v>
      </c>
      <c r="J6" s="7">
        <v>72198.100000000006</v>
      </c>
      <c r="K6" s="7">
        <v>11165.05</v>
      </c>
      <c r="L6" s="2" t="s">
        <v>48</v>
      </c>
      <c r="M6" s="18" t="s">
        <v>49</v>
      </c>
      <c r="N6" s="3" t="s">
        <v>50</v>
      </c>
      <c r="O6" s="3" t="s">
        <v>23</v>
      </c>
      <c r="P6">
        <f>DATEVALUE(OnePlusSalesData[[#This Row],[order_date]])</f>
        <v>43609</v>
      </c>
      <c r="Q6" s="28">
        <f>DATEVALUE(OnePlusSalesData[[#This Row],[delivery_date]])</f>
        <v>43613</v>
      </c>
    </row>
    <row r="7" spans="1:19" ht="16" x14ac:dyDescent="0.45">
      <c r="A7" s="8" t="s">
        <v>51</v>
      </c>
      <c r="B7" s="8" t="s">
        <v>52</v>
      </c>
      <c r="C7" s="9" t="s">
        <v>53</v>
      </c>
      <c r="D7" s="9" t="s">
        <v>40</v>
      </c>
      <c r="E7" s="9" t="s">
        <v>54</v>
      </c>
      <c r="F7" s="10">
        <v>53999</v>
      </c>
      <c r="G7" s="11">
        <v>1</v>
      </c>
      <c r="H7" s="12">
        <v>0.08</v>
      </c>
      <c r="I7" s="13">
        <v>4319.92</v>
      </c>
      <c r="J7" s="13">
        <v>49679.08</v>
      </c>
      <c r="K7" s="13">
        <v>7141.75</v>
      </c>
      <c r="L7" s="8" t="s">
        <v>55</v>
      </c>
      <c r="M7" s="19" t="s">
        <v>56</v>
      </c>
      <c r="N7" s="9" t="s">
        <v>22</v>
      </c>
      <c r="O7" s="9" t="s">
        <v>31</v>
      </c>
      <c r="P7">
        <f>DATEVALUE(OnePlusSalesData[[#This Row],[order_date]])</f>
        <v>43502</v>
      </c>
      <c r="Q7" s="28">
        <f>DATEVALUE(OnePlusSalesData[[#This Row],[delivery_date]])</f>
        <v>43505</v>
      </c>
    </row>
    <row r="8" spans="1:19" ht="16" x14ac:dyDescent="0.45">
      <c r="A8" s="2" t="s">
        <v>57</v>
      </c>
      <c r="B8" s="2" t="s">
        <v>58</v>
      </c>
      <c r="C8" s="3" t="s">
        <v>59</v>
      </c>
      <c r="D8" s="3" t="s">
        <v>40</v>
      </c>
      <c r="E8" s="3" t="s">
        <v>60</v>
      </c>
      <c r="F8" s="4">
        <v>54999</v>
      </c>
      <c r="G8" s="5">
        <v>3</v>
      </c>
      <c r="H8" s="6">
        <v>0.08</v>
      </c>
      <c r="I8" s="7">
        <v>13199.76</v>
      </c>
      <c r="J8" s="7">
        <v>151797.24</v>
      </c>
      <c r="K8" s="7">
        <v>31082.47</v>
      </c>
      <c r="L8" s="2" t="s">
        <v>61</v>
      </c>
      <c r="M8" s="18" t="s">
        <v>62</v>
      </c>
      <c r="N8" s="3" t="s">
        <v>44</v>
      </c>
      <c r="O8" s="3" t="s">
        <v>63</v>
      </c>
      <c r="P8">
        <f>DATEVALUE(OnePlusSalesData[[#This Row],[order_date]])</f>
        <v>43892</v>
      </c>
      <c r="Q8" s="28">
        <f>DATEVALUE(OnePlusSalesData[[#This Row],[delivery_date]])</f>
        <v>43895</v>
      </c>
    </row>
    <row r="9" spans="1:19" ht="16" x14ac:dyDescent="0.45">
      <c r="A9" s="8" t="s">
        <v>64</v>
      </c>
      <c r="B9" s="8" t="s">
        <v>25</v>
      </c>
      <c r="C9" s="9" t="s">
        <v>65</v>
      </c>
      <c r="D9" s="9" t="s">
        <v>18</v>
      </c>
      <c r="E9" s="9" t="s">
        <v>19</v>
      </c>
      <c r="F9" s="10">
        <v>1990</v>
      </c>
      <c r="G9" s="11">
        <v>1</v>
      </c>
      <c r="H9" s="12">
        <v>0</v>
      </c>
      <c r="I9" s="13">
        <v>0</v>
      </c>
      <c r="J9" s="13">
        <v>1990</v>
      </c>
      <c r="K9" s="13">
        <v>379.71</v>
      </c>
      <c r="L9" s="8" t="s">
        <v>66</v>
      </c>
      <c r="M9" s="19" t="s">
        <v>67</v>
      </c>
      <c r="N9" s="9" t="s">
        <v>22</v>
      </c>
      <c r="O9" s="9" t="s">
        <v>63</v>
      </c>
      <c r="P9">
        <f>DATEVALUE(OnePlusSalesData[[#This Row],[order_date]])</f>
        <v>43748</v>
      </c>
      <c r="Q9" s="28">
        <f>DATEVALUE(OnePlusSalesData[[#This Row],[delivery_date]])</f>
        <v>43752</v>
      </c>
    </row>
    <row r="10" spans="1:19" ht="16" x14ac:dyDescent="0.45">
      <c r="A10" s="2" t="s">
        <v>68</v>
      </c>
      <c r="B10" s="2" t="s">
        <v>52</v>
      </c>
      <c r="C10" s="3" t="s">
        <v>69</v>
      </c>
      <c r="D10" s="3" t="s">
        <v>40</v>
      </c>
      <c r="E10" s="3" t="s">
        <v>41</v>
      </c>
      <c r="F10" s="4">
        <v>37999</v>
      </c>
      <c r="G10" s="5">
        <v>4</v>
      </c>
      <c r="H10" s="6">
        <v>0.08</v>
      </c>
      <c r="I10" s="7">
        <v>12159.68</v>
      </c>
      <c r="J10" s="7">
        <v>139836.32</v>
      </c>
      <c r="K10" s="7">
        <v>34930.44</v>
      </c>
      <c r="L10" s="2" t="s">
        <v>70</v>
      </c>
      <c r="M10" s="18" t="s">
        <v>71</v>
      </c>
      <c r="N10" s="3" t="s">
        <v>22</v>
      </c>
      <c r="O10" s="3" t="s">
        <v>23</v>
      </c>
      <c r="P10">
        <f>DATEVALUE(OnePlusSalesData[[#This Row],[order_date]])</f>
        <v>43301</v>
      </c>
      <c r="Q10" s="28">
        <f>DATEVALUE(OnePlusSalesData[[#This Row],[delivery_date]])</f>
        <v>43306</v>
      </c>
      <c r="S10" s="23" t="s">
        <v>2603</v>
      </c>
    </row>
    <row r="11" spans="1:19" ht="16" x14ac:dyDescent="0.45">
      <c r="A11" s="8" t="s">
        <v>72</v>
      </c>
      <c r="B11" s="8" t="s">
        <v>16</v>
      </c>
      <c r="C11" s="9" t="s">
        <v>17</v>
      </c>
      <c r="D11" s="9" t="s">
        <v>40</v>
      </c>
      <c r="E11" s="9" t="s">
        <v>73</v>
      </c>
      <c r="F11" s="10">
        <v>32999</v>
      </c>
      <c r="G11" s="11">
        <v>1</v>
      </c>
      <c r="H11" s="12">
        <v>0.05</v>
      </c>
      <c r="I11" s="13">
        <v>1649.95</v>
      </c>
      <c r="J11" s="13">
        <v>31349.05</v>
      </c>
      <c r="K11" s="13">
        <v>6500.2</v>
      </c>
      <c r="L11" s="8" t="s">
        <v>74</v>
      </c>
      <c r="M11" s="19" t="s">
        <v>75</v>
      </c>
      <c r="N11" s="9" t="s">
        <v>50</v>
      </c>
      <c r="O11" s="9" t="s">
        <v>63</v>
      </c>
      <c r="P11">
        <f>DATEVALUE(OnePlusSalesData[[#This Row],[order_date]])</f>
        <v>43713</v>
      </c>
      <c r="Q11" s="28">
        <f>DATEVALUE(OnePlusSalesData[[#This Row],[delivery_date]])</f>
        <v>43720</v>
      </c>
      <c r="S11" s="16">
        <f>OnePlusSalesData[[#Totals],[sales]]-OnePlusSalesData[[#Totals],[discount_value]]</f>
        <v>51147304.659999713</v>
      </c>
    </row>
    <row r="12" spans="1:19" ht="16" x14ac:dyDescent="0.45">
      <c r="A12" s="2" t="s">
        <v>76</v>
      </c>
      <c r="B12" s="2" t="s">
        <v>25</v>
      </c>
      <c r="C12" s="3" t="s">
        <v>26</v>
      </c>
      <c r="D12" s="3" t="s">
        <v>34</v>
      </c>
      <c r="E12" s="3" t="s">
        <v>77</v>
      </c>
      <c r="F12" s="4">
        <v>24999</v>
      </c>
      <c r="G12" s="5">
        <v>2</v>
      </c>
      <c r="H12" s="6">
        <v>0</v>
      </c>
      <c r="I12" s="7">
        <v>0</v>
      </c>
      <c r="J12" s="7">
        <v>49998</v>
      </c>
      <c r="K12" s="7">
        <v>9635.6299999999992</v>
      </c>
      <c r="L12" s="2" t="s">
        <v>78</v>
      </c>
      <c r="M12" s="18" t="s">
        <v>79</v>
      </c>
      <c r="N12" s="3" t="s">
        <v>22</v>
      </c>
      <c r="O12" s="3" t="s">
        <v>31</v>
      </c>
      <c r="P12">
        <f>DATEVALUE(OnePlusSalesData[[#This Row],[order_date]])</f>
        <v>43964</v>
      </c>
      <c r="Q12" s="28">
        <f>DATEVALUE(OnePlusSalesData[[#This Row],[delivery_date]])</f>
        <v>43966</v>
      </c>
    </row>
    <row r="13" spans="1:19" ht="16" x14ac:dyDescent="0.45">
      <c r="A13" s="8" t="s">
        <v>80</v>
      </c>
      <c r="B13" s="8" t="s">
        <v>58</v>
      </c>
      <c r="C13" s="9" t="s">
        <v>81</v>
      </c>
      <c r="D13" s="9" t="s">
        <v>18</v>
      </c>
      <c r="E13" s="9" t="s">
        <v>19</v>
      </c>
      <c r="F13" s="10">
        <v>1990</v>
      </c>
      <c r="G13" s="11">
        <v>2</v>
      </c>
      <c r="H13" s="12">
        <v>0</v>
      </c>
      <c r="I13" s="13">
        <v>0</v>
      </c>
      <c r="J13" s="13">
        <v>3980</v>
      </c>
      <c r="K13" s="13">
        <v>593.97</v>
      </c>
      <c r="L13" s="8" t="s">
        <v>82</v>
      </c>
      <c r="M13" s="19" t="s">
        <v>83</v>
      </c>
      <c r="N13" s="9" t="s">
        <v>50</v>
      </c>
      <c r="O13" s="9" t="s">
        <v>63</v>
      </c>
      <c r="P13">
        <f>DATEVALUE(OnePlusSalesData[[#This Row],[order_date]])</f>
        <v>43678</v>
      </c>
      <c r="Q13" s="28">
        <f>DATEVALUE(OnePlusSalesData[[#This Row],[delivery_date]])</f>
        <v>43681</v>
      </c>
    </row>
    <row r="14" spans="1:19" ht="16" x14ac:dyDescent="0.45">
      <c r="A14" s="2" t="s">
        <v>84</v>
      </c>
      <c r="B14" s="2" t="s">
        <v>58</v>
      </c>
      <c r="C14" s="3" t="s">
        <v>59</v>
      </c>
      <c r="D14" s="3" t="s">
        <v>85</v>
      </c>
      <c r="E14" s="3" t="s">
        <v>86</v>
      </c>
      <c r="F14" s="4">
        <v>1999</v>
      </c>
      <c r="G14" s="5">
        <v>1</v>
      </c>
      <c r="H14" s="6">
        <v>0.1</v>
      </c>
      <c r="I14" s="7">
        <v>199.9</v>
      </c>
      <c r="J14" s="7">
        <v>1799.1</v>
      </c>
      <c r="K14" s="7">
        <v>368.31</v>
      </c>
      <c r="L14" s="2" t="s">
        <v>87</v>
      </c>
      <c r="M14" s="18" t="s">
        <v>88</v>
      </c>
      <c r="N14" s="3" t="s">
        <v>22</v>
      </c>
      <c r="O14" s="3" t="s">
        <v>63</v>
      </c>
      <c r="P14">
        <f>DATEVALUE(OnePlusSalesData[[#This Row],[order_date]])</f>
        <v>43290</v>
      </c>
      <c r="Q14" s="28">
        <f>DATEVALUE(OnePlusSalesData[[#This Row],[delivery_date]])</f>
        <v>43292</v>
      </c>
      <c r="S14" s="22" t="s">
        <v>2604</v>
      </c>
    </row>
    <row r="15" spans="1:19" ht="16" x14ac:dyDescent="0.45">
      <c r="A15" s="8" t="s">
        <v>89</v>
      </c>
      <c r="B15" s="8" t="s">
        <v>25</v>
      </c>
      <c r="C15" s="9" t="s">
        <v>65</v>
      </c>
      <c r="D15" s="9" t="s">
        <v>34</v>
      </c>
      <c r="E15" s="9" t="s">
        <v>77</v>
      </c>
      <c r="F15" s="10">
        <v>24999</v>
      </c>
      <c r="G15" s="11">
        <v>1</v>
      </c>
      <c r="H15" s="12">
        <v>0</v>
      </c>
      <c r="I15" s="13">
        <v>0</v>
      </c>
      <c r="J15" s="13">
        <v>24999</v>
      </c>
      <c r="K15" s="13">
        <v>5102.0600000000004</v>
      </c>
      <c r="L15" s="8" t="s">
        <v>90</v>
      </c>
      <c r="M15" s="19" t="s">
        <v>91</v>
      </c>
      <c r="N15" s="9" t="s">
        <v>92</v>
      </c>
      <c r="O15" s="9" t="s">
        <v>23</v>
      </c>
      <c r="P15">
        <f>DATEVALUE(OnePlusSalesData[[#This Row],[order_date]])</f>
        <v>43418</v>
      </c>
      <c r="Q15" s="28">
        <f>DATEVALUE(OnePlusSalesData[[#This Row],[delivery_date]])</f>
        <v>43424</v>
      </c>
      <c r="S15" s="24">
        <f>SUM(OnePlusSalesData[quantity])</f>
        <v>2435</v>
      </c>
    </row>
    <row r="16" spans="1:19" ht="16" x14ac:dyDescent="0.45">
      <c r="A16" s="2" t="s">
        <v>93</v>
      </c>
      <c r="B16" s="2" t="s">
        <v>25</v>
      </c>
      <c r="C16" s="3" t="s">
        <v>26</v>
      </c>
      <c r="D16" s="3" t="s">
        <v>34</v>
      </c>
      <c r="E16" s="3" t="s">
        <v>77</v>
      </c>
      <c r="F16" s="4">
        <v>24999</v>
      </c>
      <c r="G16" s="5">
        <v>1</v>
      </c>
      <c r="H16" s="6">
        <v>0</v>
      </c>
      <c r="I16" s="7">
        <v>0</v>
      </c>
      <c r="J16" s="7">
        <v>24999</v>
      </c>
      <c r="K16" s="7">
        <v>4261.58</v>
      </c>
      <c r="L16" s="2" t="s">
        <v>94</v>
      </c>
      <c r="M16" s="18" t="s">
        <v>95</v>
      </c>
      <c r="N16" s="3" t="s">
        <v>22</v>
      </c>
      <c r="O16" s="3" t="s">
        <v>96</v>
      </c>
      <c r="P16">
        <f>DATEVALUE(OnePlusSalesData[[#This Row],[order_date]])</f>
        <v>44052</v>
      </c>
      <c r="Q16" s="28">
        <f>DATEVALUE(OnePlusSalesData[[#This Row],[delivery_date]])</f>
        <v>44054</v>
      </c>
    </row>
    <row r="17" spans="1:19" ht="16" x14ac:dyDescent="0.45">
      <c r="A17" s="8" t="s">
        <v>97</v>
      </c>
      <c r="B17" s="8" t="s">
        <v>16</v>
      </c>
      <c r="C17" s="9" t="s">
        <v>17</v>
      </c>
      <c r="D17" s="9" t="s">
        <v>40</v>
      </c>
      <c r="E17" s="9" t="s">
        <v>98</v>
      </c>
      <c r="F17" s="10">
        <v>34999</v>
      </c>
      <c r="G17" s="11">
        <v>2</v>
      </c>
      <c r="H17" s="12">
        <v>0.08</v>
      </c>
      <c r="I17" s="13">
        <v>5599.84</v>
      </c>
      <c r="J17" s="13">
        <v>64398.16</v>
      </c>
      <c r="K17" s="13">
        <v>13118.69</v>
      </c>
      <c r="L17" s="8" t="s">
        <v>99</v>
      </c>
      <c r="M17" s="19" t="s">
        <v>100</v>
      </c>
      <c r="N17" s="9" t="s">
        <v>22</v>
      </c>
      <c r="O17" s="9" t="s">
        <v>63</v>
      </c>
      <c r="P17">
        <f>DATEVALUE(OnePlusSalesData[[#This Row],[order_date]])</f>
        <v>43830</v>
      </c>
      <c r="Q17" s="28">
        <f>DATEVALUE(OnePlusSalesData[[#This Row],[delivery_date]])</f>
        <v>43837</v>
      </c>
    </row>
    <row r="18" spans="1:19" ht="16" x14ac:dyDescent="0.45">
      <c r="A18" s="2" t="s">
        <v>101</v>
      </c>
      <c r="B18" s="2" t="s">
        <v>52</v>
      </c>
      <c r="C18" s="3" t="s">
        <v>69</v>
      </c>
      <c r="D18" s="3" t="s">
        <v>18</v>
      </c>
      <c r="E18" s="3" t="s">
        <v>102</v>
      </c>
      <c r="F18" s="4">
        <v>1490</v>
      </c>
      <c r="G18" s="5">
        <v>2</v>
      </c>
      <c r="H18" s="6">
        <v>0.05</v>
      </c>
      <c r="I18" s="7">
        <v>149</v>
      </c>
      <c r="J18" s="7">
        <v>2831</v>
      </c>
      <c r="K18" s="7">
        <v>611.15</v>
      </c>
      <c r="L18" s="2" t="s">
        <v>103</v>
      </c>
      <c r="M18" s="18" t="s">
        <v>104</v>
      </c>
      <c r="N18" s="3" t="s">
        <v>22</v>
      </c>
      <c r="O18" s="3" t="s">
        <v>23</v>
      </c>
      <c r="P18">
        <f>DATEVALUE(OnePlusSalesData[[#This Row],[order_date]])</f>
        <v>43298</v>
      </c>
      <c r="Q18" s="28">
        <f>DATEVALUE(OnePlusSalesData[[#This Row],[delivery_date]])</f>
        <v>43305</v>
      </c>
      <c r="S18" s="22" t="s">
        <v>2605</v>
      </c>
    </row>
    <row r="19" spans="1:19" ht="16" x14ac:dyDescent="0.45">
      <c r="A19" s="8" t="s">
        <v>105</v>
      </c>
      <c r="B19" s="8" t="s">
        <v>52</v>
      </c>
      <c r="C19" s="9" t="s">
        <v>106</v>
      </c>
      <c r="D19" s="9" t="s">
        <v>40</v>
      </c>
      <c r="E19" s="9" t="s">
        <v>54</v>
      </c>
      <c r="F19" s="10">
        <v>53999</v>
      </c>
      <c r="G19" s="11">
        <v>2</v>
      </c>
      <c r="H19" s="12">
        <v>0.1</v>
      </c>
      <c r="I19" s="13">
        <v>10799.8</v>
      </c>
      <c r="J19" s="13">
        <v>97198.2</v>
      </c>
      <c r="K19" s="13">
        <v>17409.66</v>
      </c>
      <c r="L19" s="8" t="s">
        <v>107</v>
      </c>
      <c r="M19" s="19" t="s">
        <v>108</v>
      </c>
      <c r="N19" s="9" t="s">
        <v>22</v>
      </c>
      <c r="O19" s="9" t="s">
        <v>23</v>
      </c>
      <c r="P19">
        <f>DATEVALUE(OnePlusSalesData[[#This Row],[order_date]])</f>
        <v>43503</v>
      </c>
      <c r="Q19" s="28">
        <f>DATEVALUE(OnePlusSalesData[[#This Row],[delivery_date]])</f>
        <v>43506</v>
      </c>
      <c r="S19" s="25">
        <f>SUM(OnePlusSalesData[discount])</f>
        <v>89.649999999998599</v>
      </c>
    </row>
    <row r="20" spans="1:19" ht="16" x14ac:dyDescent="0.45">
      <c r="A20" s="2" t="s">
        <v>109</v>
      </c>
      <c r="B20" s="2" t="s">
        <v>52</v>
      </c>
      <c r="C20" s="3" t="s">
        <v>106</v>
      </c>
      <c r="D20" s="3" t="s">
        <v>34</v>
      </c>
      <c r="E20" s="3" t="s">
        <v>77</v>
      </c>
      <c r="F20" s="4">
        <v>24999</v>
      </c>
      <c r="G20" s="5">
        <v>2</v>
      </c>
      <c r="H20" s="6">
        <v>0.05</v>
      </c>
      <c r="I20" s="7">
        <v>2499.9</v>
      </c>
      <c r="J20" s="7">
        <v>47498.1</v>
      </c>
      <c r="K20" s="7">
        <v>11988.88</v>
      </c>
      <c r="L20" s="2" t="s">
        <v>110</v>
      </c>
      <c r="M20" s="18" t="s">
        <v>111</v>
      </c>
      <c r="N20" s="3" t="s">
        <v>22</v>
      </c>
      <c r="O20" s="3" t="s">
        <v>23</v>
      </c>
      <c r="P20">
        <f>DATEVALUE(OnePlusSalesData[[#This Row],[order_date]])</f>
        <v>43741</v>
      </c>
      <c r="Q20" s="28">
        <f>DATEVALUE(OnePlusSalesData[[#This Row],[delivery_date]])</f>
        <v>43745</v>
      </c>
    </row>
    <row r="21" spans="1:19" ht="16" x14ac:dyDescent="0.45">
      <c r="A21" s="8" t="s">
        <v>112</v>
      </c>
      <c r="B21" s="8" t="s">
        <v>58</v>
      </c>
      <c r="C21" s="9" t="s">
        <v>113</v>
      </c>
      <c r="D21" s="9" t="s">
        <v>40</v>
      </c>
      <c r="E21" s="9" t="s">
        <v>73</v>
      </c>
      <c r="F21" s="10">
        <v>32999</v>
      </c>
      <c r="G21" s="11">
        <v>1</v>
      </c>
      <c r="H21" s="12">
        <v>0</v>
      </c>
      <c r="I21" s="13">
        <v>0</v>
      </c>
      <c r="J21" s="13">
        <v>32999</v>
      </c>
      <c r="K21" s="13">
        <v>8509.1299999999992</v>
      </c>
      <c r="L21" s="8" t="s">
        <v>114</v>
      </c>
      <c r="M21" s="19" t="s">
        <v>115</v>
      </c>
      <c r="N21" s="9" t="s">
        <v>44</v>
      </c>
      <c r="O21" s="9" t="s">
        <v>96</v>
      </c>
      <c r="P21">
        <f>DATEVALUE(OnePlusSalesData[[#This Row],[order_date]])</f>
        <v>43981</v>
      </c>
      <c r="Q21" s="28">
        <f>DATEVALUE(OnePlusSalesData[[#This Row],[delivery_date]])</f>
        <v>43984</v>
      </c>
    </row>
    <row r="22" spans="1:19" ht="16" x14ac:dyDescent="0.45">
      <c r="A22" s="2" t="s">
        <v>116</v>
      </c>
      <c r="B22" s="2" t="s">
        <v>16</v>
      </c>
      <c r="C22" s="3" t="s">
        <v>39</v>
      </c>
      <c r="D22" s="3" t="s">
        <v>34</v>
      </c>
      <c r="E22" s="3" t="s">
        <v>77</v>
      </c>
      <c r="F22" s="4">
        <v>24999</v>
      </c>
      <c r="G22" s="5">
        <v>1</v>
      </c>
      <c r="H22" s="6">
        <v>0.08</v>
      </c>
      <c r="I22" s="7">
        <v>1999.92</v>
      </c>
      <c r="J22" s="7">
        <v>22999.08</v>
      </c>
      <c r="K22" s="7">
        <v>5556.56</v>
      </c>
      <c r="L22" s="2" t="s">
        <v>117</v>
      </c>
      <c r="M22" s="18" t="s">
        <v>118</v>
      </c>
      <c r="N22" s="3" t="s">
        <v>92</v>
      </c>
      <c r="O22" s="3" t="s">
        <v>63</v>
      </c>
      <c r="P22">
        <f>DATEVALUE(OnePlusSalesData[[#This Row],[order_date]])</f>
        <v>43504</v>
      </c>
      <c r="Q22" s="28">
        <f>DATEVALUE(OnePlusSalesData[[#This Row],[delivery_date]])</f>
        <v>43511</v>
      </c>
      <c r="S22" s="22" t="s">
        <v>2606</v>
      </c>
    </row>
    <row r="23" spans="1:19" ht="16" x14ac:dyDescent="0.45">
      <c r="A23" s="8" t="s">
        <v>119</v>
      </c>
      <c r="B23" s="8" t="s">
        <v>25</v>
      </c>
      <c r="C23" s="9" t="s">
        <v>120</v>
      </c>
      <c r="D23" s="9" t="s">
        <v>40</v>
      </c>
      <c r="E23" s="9" t="s">
        <v>54</v>
      </c>
      <c r="F23" s="10">
        <v>53999</v>
      </c>
      <c r="G23" s="11">
        <v>2</v>
      </c>
      <c r="H23" s="12">
        <v>0.08</v>
      </c>
      <c r="I23" s="13">
        <v>8639.84</v>
      </c>
      <c r="J23" s="13">
        <v>99358.16</v>
      </c>
      <c r="K23" s="13">
        <v>18348.86</v>
      </c>
      <c r="L23" s="8" t="s">
        <v>121</v>
      </c>
      <c r="M23" s="19" t="s">
        <v>122</v>
      </c>
      <c r="N23" s="9" t="s">
        <v>22</v>
      </c>
      <c r="O23" s="9" t="s">
        <v>23</v>
      </c>
      <c r="P23">
        <f>DATEVALUE(OnePlusSalesData[[#This Row],[order_date]])</f>
        <v>43199</v>
      </c>
      <c r="Q23" s="28">
        <f>DATEVALUE(OnePlusSalesData[[#This Row],[delivery_date]])</f>
        <v>43201</v>
      </c>
      <c r="S23" s="26">
        <f>SUM(K10:K1501)</f>
        <v>10945667.289999986</v>
      </c>
    </row>
    <row r="24" spans="1:19" ht="16" x14ac:dyDescent="0.45">
      <c r="A24" s="2" t="s">
        <v>123</v>
      </c>
      <c r="B24" s="2" t="s">
        <v>16</v>
      </c>
      <c r="C24" s="3" t="s">
        <v>39</v>
      </c>
      <c r="D24" s="3" t="s">
        <v>18</v>
      </c>
      <c r="E24" s="3" t="s">
        <v>124</v>
      </c>
      <c r="F24" s="4">
        <v>3990</v>
      </c>
      <c r="G24" s="5">
        <v>5</v>
      </c>
      <c r="H24" s="6">
        <v>0</v>
      </c>
      <c r="I24" s="7">
        <v>0</v>
      </c>
      <c r="J24" s="7">
        <v>19950</v>
      </c>
      <c r="K24" s="7">
        <v>2836.27</v>
      </c>
      <c r="L24" s="2" t="s">
        <v>125</v>
      </c>
      <c r="M24" s="18" t="s">
        <v>117</v>
      </c>
      <c r="N24" s="3" t="s">
        <v>22</v>
      </c>
      <c r="O24" s="3" t="s">
        <v>31</v>
      </c>
      <c r="P24">
        <f>DATEVALUE(OnePlusSalesData[[#This Row],[order_date]])</f>
        <v>43498</v>
      </c>
      <c r="Q24" s="28">
        <f>DATEVALUE(OnePlusSalesData[[#This Row],[delivery_date]])</f>
        <v>43504</v>
      </c>
    </row>
    <row r="25" spans="1:19" ht="16" x14ac:dyDescent="0.45">
      <c r="A25" s="8" t="s">
        <v>126</v>
      </c>
      <c r="B25" s="8" t="s">
        <v>52</v>
      </c>
      <c r="C25" s="9" t="s">
        <v>69</v>
      </c>
      <c r="D25" s="9" t="s">
        <v>18</v>
      </c>
      <c r="E25" s="9" t="s">
        <v>102</v>
      </c>
      <c r="F25" s="10">
        <v>1490</v>
      </c>
      <c r="G25" s="11">
        <v>1</v>
      </c>
      <c r="H25" s="12">
        <v>0.05</v>
      </c>
      <c r="I25" s="13">
        <v>74.5</v>
      </c>
      <c r="J25" s="13">
        <v>1415.5</v>
      </c>
      <c r="K25" s="13">
        <v>284.60000000000002</v>
      </c>
      <c r="L25" s="8" t="s">
        <v>127</v>
      </c>
      <c r="M25" s="19" t="s">
        <v>128</v>
      </c>
      <c r="N25" s="9" t="s">
        <v>22</v>
      </c>
      <c r="O25" s="9" t="s">
        <v>96</v>
      </c>
      <c r="P25">
        <f>DATEVALUE(OnePlusSalesData[[#This Row],[order_date]])</f>
        <v>43570</v>
      </c>
      <c r="Q25" s="28">
        <f>DATEVALUE(OnePlusSalesData[[#This Row],[delivery_date]])</f>
        <v>43577</v>
      </c>
    </row>
    <row r="26" spans="1:19" ht="16" x14ac:dyDescent="0.45">
      <c r="A26" s="2" t="s">
        <v>129</v>
      </c>
      <c r="B26" s="2" t="s">
        <v>16</v>
      </c>
      <c r="C26" s="3" t="s">
        <v>39</v>
      </c>
      <c r="D26" s="3" t="s">
        <v>40</v>
      </c>
      <c r="E26" s="3" t="s">
        <v>47</v>
      </c>
      <c r="F26" s="4">
        <v>37999</v>
      </c>
      <c r="G26" s="5">
        <v>1</v>
      </c>
      <c r="H26" s="6">
        <v>0.08</v>
      </c>
      <c r="I26" s="7">
        <v>3039.92</v>
      </c>
      <c r="J26" s="7">
        <v>34959.08</v>
      </c>
      <c r="K26" s="7">
        <v>7700.47</v>
      </c>
      <c r="L26" s="2" t="s">
        <v>130</v>
      </c>
      <c r="M26" s="18" t="s">
        <v>131</v>
      </c>
      <c r="N26" s="3" t="s">
        <v>92</v>
      </c>
      <c r="O26" s="3" t="s">
        <v>23</v>
      </c>
      <c r="P26">
        <f>DATEVALUE(OnePlusSalesData[[#This Row],[order_date]])</f>
        <v>43553</v>
      </c>
      <c r="Q26" s="28">
        <f>DATEVALUE(OnePlusSalesData[[#This Row],[delivery_date]])</f>
        <v>43558</v>
      </c>
    </row>
    <row r="27" spans="1:19" ht="16" x14ac:dyDescent="0.45">
      <c r="A27" s="8" t="s">
        <v>132</v>
      </c>
      <c r="B27" s="8" t="s">
        <v>25</v>
      </c>
      <c r="C27" s="9" t="s">
        <v>133</v>
      </c>
      <c r="D27" s="9" t="s">
        <v>18</v>
      </c>
      <c r="E27" s="9" t="s">
        <v>102</v>
      </c>
      <c r="F27" s="10">
        <v>1490</v>
      </c>
      <c r="G27" s="11">
        <v>5</v>
      </c>
      <c r="H27" s="12">
        <v>0.05</v>
      </c>
      <c r="I27" s="13">
        <v>372.5</v>
      </c>
      <c r="J27" s="13">
        <v>7077.5</v>
      </c>
      <c r="K27" s="13">
        <v>1228.28</v>
      </c>
      <c r="L27" s="8" t="s">
        <v>134</v>
      </c>
      <c r="M27" s="19" t="s">
        <v>135</v>
      </c>
      <c r="N27" s="9" t="s">
        <v>92</v>
      </c>
      <c r="O27" s="9" t="s">
        <v>96</v>
      </c>
      <c r="P27">
        <f>DATEVALUE(OnePlusSalesData[[#This Row],[order_date]])</f>
        <v>43618</v>
      </c>
      <c r="Q27" s="28">
        <f>DATEVALUE(OnePlusSalesData[[#This Row],[delivery_date]])</f>
        <v>43622</v>
      </c>
    </row>
    <row r="28" spans="1:19" ht="16" x14ac:dyDescent="0.45">
      <c r="A28" s="2" t="s">
        <v>136</v>
      </c>
      <c r="B28" s="2" t="s">
        <v>16</v>
      </c>
      <c r="C28" s="3" t="s">
        <v>17</v>
      </c>
      <c r="D28" s="3" t="s">
        <v>40</v>
      </c>
      <c r="E28" s="3" t="s">
        <v>73</v>
      </c>
      <c r="F28" s="4">
        <v>32999</v>
      </c>
      <c r="G28" s="5">
        <v>5</v>
      </c>
      <c r="H28" s="6">
        <v>0</v>
      </c>
      <c r="I28" s="7">
        <v>0</v>
      </c>
      <c r="J28" s="7">
        <v>164995</v>
      </c>
      <c r="K28" s="7">
        <v>29151.919999999998</v>
      </c>
      <c r="L28" s="2" t="s">
        <v>137</v>
      </c>
      <c r="M28" s="18" t="s">
        <v>138</v>
      </c>
      <c r="N28" s="3" t="s">
        <v>22</v>
      </c>
      <c r="O28" s="3" t="s">
        <v>23</v>
      </c>
      <c r="P28">
        <f>DATEVALUE(OnePlusSalesData[[#This Row],[order_date]])</f>
        <v>44028</v>
      </c>
      <c r="Q28" s="28">
        <f>DATEVALUE(OnePlusSalesData[[#This Row],[delivery_date]])</f>
        <v>44030</v>
      </c>
    </row>
    <row r="29" spans="1:19" ht="16" x14ac:dyDescent="0.45">
      <c r="A29" s="8" t="s">
        <v>139</v>
      </c>
      <c r="B29" s="8" t="s">
        <v>16</v>
      </c>
      <c r="C29" s="9" t="s">
        <v>140</v>
      </c>
      <c r="D29" s="9" t="s">
        <v>40</v>
      </c>
      <c r="E29" s="9" t="s">
        <v>73</v>
      </c>
      <c r="F29" s="10">
        <v>32999</v>
      </c>
      <c r="G29" s="11">
        <v>1</v>
      </c>
      <c r="H29" s="12">
        <v>0</v>
      </c>
      <c r="I29" s="13">
        <v>0</v>
      </c>
      <c r="J29" s="13">
        <v>32999</v>
      </c>
      <c r="K29" s="13">
        <v>7055.21</v>
      </c>
      <c r="L29" s="8" t="s">
        <v>141</v>
      </c>
      <c r="M29" s="19" t="s">
        <v>142</v>
      </c>
      <c r="N29" s="9" t="s">
        <v>22</v>
      </c>
      <c r="O29" s="9" t="s">
        <v>23</v>
      </c>
      <c r="P29">
        <f>DATEVALUE(OnePlusSalesData[[#This Row],[order_date]])</f>
        <v>43954</v>
      </c>
      <c r="Q29" s="28">
        <f>DATEVALUE(OnePlusSalesData[[#This Row],[delivery_date]])</f>
        <v>43957</v>
      </c>
    </row>
    <row r="30" spans="1:19" ht="16" x14ac:dyDescent="0.45">
      <c r="A30" s="2" t="s">
        <v>143</v>
      </c>
      <c r="B30" s="2" t="s">
        <v>16</v>
      </c>
      <c r="C30" s="3" t="s">
        <v>33</v>
      </c>
      <c r="D30" s="3" t="s">
        <v>34</v>
      </c>
      <c r="E30" s="3" t="s">
        <v>77</v>
      </c>
      <c r="F30" s="4">
        <v>24999</v>
      </c>
      <c r="G30" s="5">
        <v>2</v>
      </c>
      <c r="H30" s="6">
        <v>0.05</v>
      </c>
      <c r="I30" s="7">
        <v>2499.9</v>
      </c>
      <c r="J30" s="7">
        <v>47498.1</v>
      </c>
      <c r="K30" s="7">
        <v>8323.14</v>
      </c>
      <c r="L30" s="2" t="s">
        <v>144</v>
      </c>
      <c r="M30" s="18" t="s">
        <v>145</v>
      </c>
      <c r="N30" s="3" t="s">
        <v>50</v>
      </c>
      <c r="O30" s="3" t="s">
        <v>146</v>
      </c>
      <c r="P30">
        <f>DATEVALUE(OnePlusSalesData[[#This Row],[order_date]])</f>
        <v>43859</v>
      </c>
      <c r="Q30" s="28">
        <f>DATEVALUE(OnePlusSalesData[[#This Row],[delivery_date]])</f>
        <v>43862</v>
      </c>
    </row>
    <row r="31" spans="1:19" ht="16" x14ac:dyDescent="0.45">
      <c r="A31" s="8" t="s">
        <v>147</v>
      </c>
      <c r="B31" s="8" t="s">
        <v>58</v>
      </c>
      <c r="C31" s="9" t="s">
        <v>113</v>
      </c>
      <c r="D31" s="9" t="s">
        <v>40</v>
      </c>
      <c r="E31" s="9" t="s">
        <v>148</v>
      </c>
      <c r="F31" s="10">
        <v>41999</v>
      </c>
      <c r="G31" s="11">
        <v>1</v>
      </c>
      <c r="H31" s="12">
        <v>0.1</v>
      </c>
      <c r="I31" s="13">
        <v>4199.8999999999996</v>
      </c>
      <c r="J31" s="13">
        <v>37799.1</v>
      </c>
      <c r="K31" s="13">
        <v>8240.0400000000009</v>
      </c>
      <c r="L31" s="8" t="s">
        <v>149</v>
      </c>
      <c r="M31" s="19" t="s">
        <v>150</v>
      </c>
      <c r="N31" s="9" t="s">
        <v>92</v>
      </c>
      <c r="O31" s="9" t="s">
        <v>146</v>
      </c>
      <c r="P31">
        <f>DATEVALUE(OnePlusSalesData[[#This Row],[order_date]])</f>
        <v>43612</v>
      </c>
      <c r="Q31" s="28">
        <f>DATEVALUE(OnePlusSalesData[[#This Row],[delivery_date]])</f>
        <v>43619</v>
      </c>
    </row>
    <row r="32" spans="1:19" ht="16" x14ac:dyDescent="0.45">
      <c r="A32" s="2" t="s">
        <v>151</v>
      </c>
      <c r="B32" s="2" t="s">
        <v>16</v>
      </c>
      <c r="C32" s="3" t="s">
        <v>152</v>
      </c>
      <c r="D32" s="3" t="s">
        <v>40</v>
      </c>
      <c r="E32" s="3" t="s">
        <v>47</v>
      </c>
      <c r="F32" s="4">
        <v>37999</v>
      </c>
      <c r="G32" s="5">
        <v>1</v>
      </c>
      <c r="H32" s="6">
        <v>0.08</v>
      </c>
      <c r="I32" s="7">
        <v>3039.92</v>
      </c>
      <c r="J32" s="7">
        <v>34959.08</v>
      </c>
      <c r="K32" s="7">
        <v>5045.05</v>
      </c>
      <c r="L32" s="2" t="s">
        <v>153</v>
      </c>
      <c r="M32" s="18" t="s">
        <v>154</v>
      </c>
      <c r="N32" s="3" t="s">
        <v>22</v>
      </c>
      <c r="O32" s="3" t="s">
        <v>63</v>
      </c>
      <c r="P32">
        <f>DATEVALUE(OnePlusSalesData[[#This Row],[order_date]])</f>
        <v>43675</v>
      </c>
      <c r="Q32" s="28">
        <f>DATEVALUE(OnePlusSalesData[[#This Row],[delivery_date]])</f>
        <v>43682</v>
      </c>
    </row>
    <row r="33" spans="1:17" ht="16" x14ac:dyDescent="0.45">
      <c r="A33" s="8" t="s">
        <v>155</v>
      </c>
      <c r="B33" s="8" t="s">
        <v>25</v>
      </c>
      <c r="C33" s="9" t="s">
        <v>120</v>
      </c>
      <c r="D33" s="9" t="s">
        <v>34</v>
      </c>
      <c r="E33" s="9" t="s">
        <v>35</v>
      </c>
      <c r="F33" s="10">
        <v>19999</v>
      </c>
      <c r="G33" s="11">
        <v>3</v>
      </c>
      <c r="H33" s="12">
        <v>0.05</v>
      </c>
      <c r="I33" s="13">
        <v>2999.85</v>
      </c>
      <c r="J33" s="13">
        <v>56997.15</v>
      </c>
      <c r="K33" s="13">
        <v>8848.65</v>
      </c>
      <c r="L33" s="8" t="s">
        <v>156</v>
      </c>
      <c r="M33" s="19" t="s">
        <v>157</v>
      </c>
      <c r="N33" s="9" t="s">
        <v>22</v>
      </c>
      <c r="O33" s="9" t="s">
        <v>96</v>
      </c>
      <c r="P33">
        <f>DATEVALUE(OnePlusSalesData[[#This Row],[order_date]])</f>
        <v>44093</v>
      </c>
      <c r="Q33" s="28">
        <f>DATEVALUE(OnePlusSalesData[[#This Row],[delivery_date]])</f>
        <v>44099</v>
      </c>
    </row>
    <row r="34" spans="1:17" ht="16" x14ac:dyDescent="0.45">
      <c r="A34" s="2" t="s">
        <v>158</v>
      </c>
      <c r="B34" s="2" t="s">
        <v>16</v>
      </c>
      <c r="C34" s="3" t="s">
        <v>17</v>
      </c>
      <c r="D34" s="3" t="s">
        <v>27</v>
      </c>
      <c r="E34" s="3" t="s">
        <v>159</v>
      </c>
      <c r="F34" s="4">
        <v>22999</v>
      </c>
      <c r="G34" s="5">
        <v>1</v>
      </c>
      <c r="H34" s="6">
        <v>0.08</v>
      </c>
      <c r="I34" s="7">
        <v>1839.92</v>
      </c>
      <c r="J34" s="7">
        <v>21159.08</v>
      </c>
      <c r="K34" s="7">
        <v>3313.56</v>
      </c>
      <c r="L34" s="2" t="s">
        <v>160</v>
      </c>
      <c r="M34" s="18" t="s">
        <v>161</v>
      </c>
      <c r="N34" s="3" t="s">
        <v>44</v>
      </c>
      <c r="O34" s="3" t="s">
        <v>63</v>
      </c>
      <c r="P34">
        <f>DATEVALUE(OnePlusSalesData[[#This Row],[order_date]])</f>
        <v>43756</v>
      </c>
      <c r="Q34" s="28">
        <f>DATEVALUE(OnePlusSalesData[[#This Row],[delivery_date]])</f>
        <v>43762</v>
      </c>
    </row>
    <row r="35" spans="1:17" ht="16" x14ac:dyDescent="0.45">
      <c r="A35" s="8" t="s">
        <v>162</v>
      </c>
      <c r="B35" s="8" t="s">
        <v>25</v>
      </c>
      <c r="C35" s="9" t="s">
        <v>26</v>
      </c>
      <c r="D35" s="9" t="s">
        <v>40</v>
      </c>
      <c r="E35" s="9" t="s">
        <v>41</v>
      </c>
      <c r="F35" s="10">
        <v>37999</v>
      </c>
      <c r="G35" s="11">
        <v>1</v>
      </c>
      <c r="H35" s="12">
        <v>0</v>
      </c>
      <c r="I35" s="13">
        <v>0</v>
      </c>
      <c r="J35" s="13">
        <v>37999</v>
      </c>
      <c r="K35" s="13">
        <v>7272.92</v>
      </c>
      <c r="L35" s="8" t="s">
        <v>163</v>
      </c>
      <c r="M35" s="19" t="s">
        <v>164</v>
      </c>
      <c r="N35" s="9" t="s">
        <v>22</v>
      </c>
      <c r="O35" s="9" t="s">
        <v>23</v>
      </c>
      <c r="P35">
        <f>DATEVALUE(OnePlusSalesData[[#This Row],[order_date]])</f>
        <v>44113</v>
      </c>
      <c r="Q35" s="28">
        <f>DATEVALUE(OnePlusSalesData[[#This Row],[delivery_date]])</f>
        <v>44115</v>
      </c>
    </row>
    <row r="36" spans="1:17" ht="16" x14ac:dyDescent="0.45">
      <c r="A36" s="2" t="s">
        <v>165</v>
      </c>
      <c r="B36" s="2" t="s">
        <v>25</v>
      </c>
      <c r="C36" s="3" t="s">
        <v>133</v>
      </c>
      <c r="D36" s="3" t="s">
        <v>40</v>
      </c>
      <c r="E36" s="3" t="s">
        <v>60</v>
      </c>
      <c r="F36" s="4">
        <v>54999</v>
      </c>
      <c r="G36" s="5">
        <v>4</v>
      </c>
      <c r="H36" s="6">
        <v>0.08</v>
      </c>
      <c r="I36" s="7">
        <v>17599.68</v>
      </c>
      <c r="J36" s="7">
        <v>202396.32</v>
      </c>
      <c r="K36" s="7">
        <v>40884.78</v>
      </c>
      <c r="L36" s="2" t="s">
        <v>166</v>
      </c>
      <c r="M36" s="18" t="s">
        <v>167</v>
      </c>
      <c r="N36" s="3" t="s">
        <v>22</v>
      </c>
      <c r="O36" s="3" t="s">
        <v>31</v>
      </c>
      <c r="P36">
        <f>DATEVALUE(OnePlusSalesData[[#This Row],[order_date]])</f>
        <v>43804</v>
      </c>
      <c r="Q36" s="28">
        <f>DATEVALUE(OnePlusSalesData[[#This Row],[delivery_date]])</f>
        <v>43810</v>
      </c>
    </row>
    <row r="37" spans="1:17" ht="16" x14ac:dyDescent="0.45">
      <c r="A37" s="8" t="s">
        <v>168</v>
      </c>
      <c r="B37" s="8" t="s">
        <v>25</v>
      </c>
      <c r="C37" s="9" t="s">
        <v>26</v>
      </c>
      <c r="D37" s="9" t="s">
        <v>40</v>
      </c>
      <c r="E37" s="9" t="s">
        <v>41</v>
      </c>
      <c r="F37" s="10">
        <v>37999</v>
      </c>
      <c r="G37" s="11">
        <v>1</v>
      </c>
      <c r="H37" s="12">
        <v>0.05</v>
      </c>
      <c r="I37" s="13">
        <v>1899.95</v>
      </c>
      <c r="J37" s="13">
        <v>36099.050000000003</v>
      </c>
      <c r="K37" s="13">
        <v>5451.53</v>
      </c>
      <c r="L37" s="8" t="s">
        <v>169</v>
      </c>
      <c r="M37" s="19" t="s">
        <v>170</v>
      </c>
      <c r="N37" s="9" t="s">
        <v>22</v>
      </c>
      <c r="O37" s="9" t="s">
        <v>96</v>
      </c>
      <c r="P37">
        <f>DATEVALUE(OnePlusSalesData[[#This Row],[order_date]])</f>
        <v>44171</v>
      </c>
      <c r="Q37" s="28">
        <f>DATEVALUE(OnePlusSalesData[[#This Row],[delivery_date]])</f>
        <v>44173</v>
      </c>
    </row>
    <row r="38" spans="1:17" ht="16" x14ac:dyDescent="0.45">
      <c r="A38" s="2" t="s">
        <v>171</v>
      </c>
      <c r="B38" s="2" t="s">
        <v>25</v>
      </c>
      <c r="C38" s="3" t="s">
        <v>172</v>
      </c>
      <c r="D38" s="3" t="s">
        <v>18</v>
      </c>
      <c r="E38" s="3" t="s">
        <v>124</v>
      </c>
      <c r="F38" s="4">
        <v>3990</v>
      </c>
      <c r="G38" s="5">
        <v>2</v>
      </c>
      <c r="H38" s="6">
        <v>0.05</v>
      </c>
      <c r="I38" s="7">
        <v>399</v>
      </c>
      <c r="J38" s="7">
        <v>7581</v>
      </c>
      <c r="K38" s="7">
        <v>1484.06</v>
      </c>
      <c r="L38" s="2" t="s">
        <v>173</v>
      </c>
      <c r="M38" s="18" t="s">
        <v>174</v>
      </c>
      <c r="N38" s="3" t="s">
        <v>22</v>
      </c>
      <c r="O38" s="3" t="s">
        <v>63</v>
      </c>
      <c r="P38">
        <f>DATEVALUE(OnePlusSalesData[[#This Row],[order_date]])</f>
        <v>43457</v>
      </c>
      <c r="Q38" s="28">
        <f>DATEVALUE(OnePlusSalesData[[#This Row],[delivery_date]])</f>
        <v>43460</v>
      </c>
    </row>
    <row r="39" spans="1:17" ht="16" x14ac:dyDescent="0.45">
      <c r="A39" s="8" t="s">
        <v>175</v>
      </c>
      <c r="B39" s="8" t="s">
        <v>25</v>
      </c>
      <c r="C39" s="9" t="s">
        <v>172</v>
      </c>
      <c r="D39" s="9" t="s">
        <v>27</v>
      </c>
      <c r="E39" s="9" t="s">
        <v>176</v>
      </c>
      <c r="F39" s="10">
        <v>69900</v>
      </c>
      <c r="G39" s="11">
        <v>1</v>
      </c>
      <c r="H39" s="12">
        <v>0.1</v>
      </c>
      <c r="I39" s="13">
        <v>6990</v>
      </c>
      <c r="J39" s="13">
        <v>62910</v>
      </c>
      <c r="K39" s="13">
        <v>13780.01</v>
      </c>
      <c r="L39" s="8" t="s">
        <v>177</v>
      </c>
      <c r="M39" s="19" t="s">
        <v>150</v>
      </c>
      <c r="N39" s="9" t="s">
        <v>22</v>
      </c>
      <c r="O39" s="9" t="s">
        <v>63</v>
      </c>
      <c r="P39">
        <f>DATEVALUE(OnePlusSalesData[[#This Row],[order_date]])</f>
        <v>43616</v>
      </c>
      <c r="Q39" s="28">
        <f>DATEVALUE(OnePlusSalesData[[#This Row],[delivery_date]])</f>
        <v>43619</v>
      </c>
    </row>
    <row r="40" spans="1:17" ht="16" x14ac:dyDescent="0.45">
      <c r="A40" s="2" t="s">
        <v>178</v>
      </c>
      <c r="B40" s="2" t="s">
        <v>58</v>
      </c>
      <c r="C40" s="3" t="s">
        <v>59</v>
      </c>
      <c r="D40" s="3" t="s">
        <v>18</v>
      </c>
      <c r="E40" s="3" t="s">
        <v>179</v>
      </c>
      <c r="F40" s="4">
        <v>1290</v>
      </c>
      <c r="G40" s="5">
        <v>1</v>
      </c>
      <c r="H40" s="6">
        <v>0</v>
      </c>
      <c r="I40" s="7">
        <v>0</v>
      </c>
      <c r="J40" s="7">
        <v>1290</v>
      </c>
      <c r="K40" s="7">
        <v>306.17</v>
      </c>
      <c r="L40" s="2" t="s">
        <v>180</v>
      </c>
      <c r="M40" s="18" t="s">
        <v>181</v>
      </c>
      <c r="N40" s="3" t="s">
        <v>22</v>
      </c>
      <c r="O40" s="3" t="s">
        <v>23</v>
      </c>
      <c r="P40">
        <f>DATEVALUE(OnePlusSalesData[[#This Row],[order_date]])</f>
        <v>44167</v>
      </c>
      <c r="Q40" s="28">
        <f>DATEVALUE(OnePlusSalesData[[#This Row],[delivery_date]])</f>
        <v>44172</v>
      </c>
    </row>
    <row r="41" spans="1:17" ht="16" x14ac:dyDescent="0.45">
      <c r="A41" s="8" t="s">
        <v>182</v>
      </c>
      <c r="B41" s="8" t="s">
        <v>16</v>
      </c>
      <c r="C41" s="9" t="s">
        <v>17</v>
      </c>
      <c r="D41" s="9" t="s">
        <v>27</v>
      </c>
      <c r="E41" s="9" t="s">
        <v>176</v>
      </c>
      <c r="F41" s="10">
        <v>69900</v>
      </c>
      <c r="G41" s="11">
        <v>2</v>
      </c>
      <c r="H41" s="12">
        <v>0.05</v>
      </c>
      <c r="I41" s="13">
        <v>6990</v>
      </c>
      <c r="J41" s="13">
        <v>132810</v>
      </c>
      <c r="K41" s="13">
        <v>29043.78</v>
      </c>
      <c r="L41" s="8" t="s">
        <v>183</v>
      </c>
      <c r="M41" s="19" t="s">
        <v>184</v>
      </c>
      <c r="N41" s="9" t="s">
        <v>92</v>
      </c>
      <c r="O41" s="9" t="s">
        <v>23</v>
      </c>
      <c r="P41">
        <f>DATEVALUE(OnePlusSalesData[[#This Row],[order_date]])</f>
        <v>43705</v>
      </c>
      <c r="Q41" s="28">
        <f>DATEVALUE(OnePlusSalesData[[#This Row],[delivery_date]])</f>
        <v>43708</v>
      </c>
    </row>
    <row r="42" spans="1:17" ht="16" x14ac:dyDescent="0.45">
      <c r="A42" s="2" t="s">
        <v>185</v>
      </c>
      <c r="B42" s="2" t="s">
        <v>25</v>
      </c>
      <c r="C42" s="3" t="s">
        <v>120</v>
      </c>
      <c r="D42" s="3" t="s">
        <v>27</v>
      </c>
      <c r="E42" s="3" t="s">
        <v>28</v>
      </c>
      <c r="F42" s="4">
        <v>12999</v>
      </c>
      <c r="G42" s="5">
        <v>1</v>
      </c>
      <c r="H42" s="6">
        <v>0.12</v>
      </c>
      <c r="I42" s="7">
        <v>1559.88</v>
      </c>
      <c r="J42" s="7">
        <v>11439.12</v>
      </c>
      <c r="K42" s="7">
        <v>1655.27</v>
      </c>
      <c r="L42" s="2" t="s">
        <v>186</v>
      </c>
      <c r="M42" s="18" t="s">
        <v>187</v>
      </c>
      <c r="N42" s="3" t="s">
        <v>44</v>
      </c>
      <c r="O42" s="3" t="s">
        <v>31</v>
      </c>
      <c r="P42">
        <f>DATEVALUE(OnePlusSalesData[[#This Row],[order_date]])</f>
        <v>43829</v>
      </c>
      <c r="Q42" s="28">
        <f>DATEVALUE(OnePlusSalesData[[#This Row],[delivery_date]])</f>
        <v>43835</v>
      </c>
    </row>
    <row r="43" spans="1:17" ht="16" x14ac:dyDescent="0.45">
      <c r="A43" s="8" t="s">
        <v>188</v>
      </c>
      <c r="B43" s="8" t="s">
        <v>16</v>
      </c>
      <c r="C43" s="9" t="s">
        <v>39</v>
      </c>
      <c r="D43" s="9" t="s">
        <v>18</v>
      </c>
      <c r="E43" s="9" t="s">
        <v>102</v>
      </c>
      <c r="F43" s="10">
        <v>1490</v>
      </c>
      <c r="G43" s="11">
        <v>2</v>
      </c>
      <c r="H43" s="12">
        <v>0</v>
      </c>
      <c r="I43" s="13">
        <v>0</v>
      </c>
      <c r="J43" s="13">
        <v>2980</v>
      </c>
      <c r="K43" s="13">
        <v>506.61</v>
      </c>
      <c r="L43" s="8" t="s">
        <v>189</v>
      </c>
      <c r="M43" s="19" t="s">
        <v>190</v>
      </c>
      <c r="N43" s="9" t="s">
        <v>22</v>
      </c>
      <c r="O43" s="9" t="s">
        <v>23</v>
      </c>
      <c r="P43">
        <f>DATEVALUE(OnePlusSalesData[[#This Row],[order_date]])</f>
        <v>43196</v>
      </c>
      <c r="Q43" s="28">
        <f>DATEVALUE(OnePlusSalesData[[#This Row],[delivery_date]])</f>
        <v>43203</v>
      </c>
    </row>
    <row r="44" spans="1:17" ht="16" x14ac:dyDescent="0.45">
      <c r="A44" s="2" t="s">
        <v>191</v>
      </c>
      <c r="B44" s="2" t="s">
        <v>52</v>
      </c>
      <c r="C44" s="3" t="s">
        <v>192</v>
      </c>
      <c r="D44" s="3" t="s">
        <v>40</v>
      </c>
      <c r="E44" s="3" t="s">
        <v>73</v>
      </c>
      <c r="F44" s="4">
        <v>32999</v>
      </c>
      <c r="G44" s="5">
        <v>1</v>
      </c>
      <c r="H44" s="6">
        <v>0.12</v>
      </c>
      <c r="I44" s="7">
        <v>3959.88</v>
      </c>
      <c r="J44" s="7">
        <v>29039.119999999999</v>
      </c>
      <c r="K44" s="7">
        <v>5826.13</v>
      </c>
      <c r="L44" s="2" t="s">
        <v>186</v>
      </c>
      <c r="M44" s="18" t="s">
        <v>193</v>
      </c>
      <c r="N44" s="3" t="s">
        <v>22</v>
      </c>
      <c r="O44" s="3" t="s">
        <v>23</v>
      </c>
      <c r="P44">
        <f>DATEVALUE(OnePlusSalesData[[#This Row],[order_date]])</f>
        <v>43829</v>
      </c>
      <c r="Q44" s="28">
        <f>DATEVALUE(OnePlusSalesData[[#This Row],[delivery_date]])</f>
        <v>43836</v>
      </c>
    </row>
    <row r="45" spans="1:17" ht="16" x14ac:dyDescent="0.45">
      <c r="A45" s="8" t="s">
        <v>194</v>
      </c>
      <c r="B45" s="8" t="s">
        <v>25</v>
      </c>
      <c r="C45" s="9" t="s">
        <v>65</v>
      </c>
      <c r="D45" s="9" t="s">
        <v>34</v>
      </c>
      <c r="E45" s="9" t="s">
        <v>77</v>
      </c>
      <c r="F45" s="10">
        <v>24999</v>
      </c>
      <c r="G45" s="11">
        <v>3</v>
      </c>
      <c r="H45" s="12">
        <v>0.05</v>
      </c>
      <c r="I45" s="13">
        <v>3749.85</v>
      </c>
      <c r="J45" s="13">
        <v>71247.149999999994</v>
      </c>
      <c r="K45" s="13">
        <v>18154.919999999998</v>
      </c>
      <c r="L45" s="8" t="s">
        <v>187</v>
      </c>
      <c r="M45" s="19" t="s">
        <v>195</v>
      </c>
      <c r="N45" s="9" t="s">
        <v>22</v>
      </c>
      <c r="O45" s="9" t="s">
        <v>63</v>
      </c>
      <c r="P45">
        <f>DATEVALUE(OnePlusSalesData[[#This Row],[order_date]])</f>
        <v>43835</v>
      </c>
      <c r="Q45" s="28">
        <f>DATEVALUE(OnePlusSalesData[[#This Row],[delivery_date]])</f>
        <v>43840</v>
      </c>
    </row>
    <row r="46" spans="1:17" ht="16" x14ac:dyDescent="0.45">
      <c r="A46" s="2" t="s">
        <v>196</v>
      </c>
      <c r="B46" s="2" t="s">
        <v>16</v>
      </c>
      <c r="C46" s="3" t="s">
        <v>39</v>
      </c>
      <c r="D46" s="3" t="s">
        <v>85</v>
      </c>
      <c r="E46" s="3" t="s">
        <v>86</v>
      </c>
      <c r="F46" s="4">
        <v>1999</v>
      </c>
      <c r="G46" s="5">
        <v>1</v>
      </c>
      <c r="H46" s="6">
        <v>0.08</v>
      </c>
      <c r="I46" s="7">
        <v>159.91999999999999</v>
      </c>
      <c r="J46" s="7">
        <v>1839.08</v>
      </c>
      <c r="K46" s="7">
        <v>423.51</v>
      </c>
      <c r="L46" s="2" t="s">
        <v>197</v>
      </c>
      <c r="M46" s="18" t="s">
        <v>153</v>
      </c>
      <c r="N46" s="3" t="s">
        <v>44</v>
      </c>
      <c r="O46" s="3" t="s">
        <v>96</v>
      </c>
      <c r="P46">
        <f>DATEVALUE(OnePlusSalesData[[#This Row],[order_date]])</f>
        <v>43669</v>
      </c>
      <c r="Q46" s="28">
        <f>DATEVALUE(OnePlusSalesData[[#This Row],[delivery_date]])</f>
        <v>43675</v>
      </c>
    </row>
    <row r="47" spans="1:17" ht="16" x14ac:dyDescent="0.45">
      <c r="A47" s="8" t="s">
        <v>198</v>
      </c>
      <c r="B47" s="8" t="s">
        <v>58</v>
      </c>
      <c r="C47" s="9" t="s">
        <v>113</v>
      </c>
      <c r="D47" s="9" t="s">
        <v>40</v>
      </c>
      <c r="E47" s="9" t="s">
        <v>41</v>
      </c>
      <c r="F47" s="10">
        <v>37999</v>
      </c>
      <c r="G47" s="11">
        <v>2</v>
      </c>
      <c r="H47" s="12">
        <v>0.05</v>
      </c>
      <c r="I47" s="13">
        <v>3799.9</v>
      </c>
      <c r="J47" s="13">
        <v>72198.100000000006</v>
      </c>
      <c r="K47" s="13">
        <v>16222.9</v>
      </c>
      <c r="L47" s="8" t="s">
        <v>199</v>
      </c>
      <c r="M47" s="19" t="s">
        <v>200</v>
      </c>
      <c r="N47" s="9" t="s">
        <v>92</v>
      </c>
      <c r="O47" s="9" t="s">
        <v>45</v>
      </c>
      <c r="P47">
        <f>DATEVALUE(OnePlusSalesData[[#This Row],[order_date]])</f>
        <v>43851</v>
      </c>
      <c r="Q47" s="28">
        <f>DATEVALUE(OnePlusSalesData[[#This Row],[delivery_date]])</f>
        <v>43856</v>
      </c>
    </row>
    <row r="48" spans="1:17" ht="16" x14ac:dyDescent="0.45">
      <c r="A48" s="2" t="s">
        <v>201</v>
      </c>
      <c r="B48" s="2" t="s">
        <v>58</v>
      </c>
      <c r="C48" s="3" t="s">
        <v>81</v>
      </c>
      <c r="D48" s="3" t="s">
        <v>40</v>
      </c>
      <c r="E48" s="3" t="s">
        <v>60</v>
      </c>
      <c r="F48" s="4">
        <v>54999</v>
      </c>
      <c r="G48" s="5">
        <v>1</v>
      </c>
      <c r="H48" s="6">
        <v>0.1</v>
      </c>
      <c r="I48" s="7">
        <v>5499.9</v>
      </c>
      <c r="J48" s="7">
        <v>49499.1</v>
      </c>
      <c r="K48" s="7">
        <v>11124.88</v>
      </c>
      <c r="L48" s="2" t="s">
        <v>202</v>
      </c>
      <c r="M48" s="18" t="s">
        <v>203</v>
      </c>
      <c r="N48" s="3" t="s">
        <v>22</v>
      </c>
      <c r="O48" s="3" t="s">
        <v>63</v>
      </c>
      <c r="P48">
        <f>DATEVALUE(OnePlusSalesData[[#This Row],[order_date]])</f>
        <v>43129</v>
      </c>
      <c r="Q48" s="28">
        <f>DATEVALUE(OnePlusSalesData[[#This Row],[delivery_date]])</f>
        <v>43135</v>
      </c>
    </row>
    <row r="49" spans="1:17" ht="16" x14ac:dyDescent="0.45">
      <c r="A49" s="8" t="s">
        <v>204</v>
      </c>
      <c r="B49" s="8" t="s">
        <v>58</v>
      </c>
      <c r="C49" s="9" t="s">
        <v>59</v>
      </c>
      <c r="D49" s="9" t="s">
        <v>18</v>
      </c>
      <c r="E49" s="9" t="s">
        <v>102</v>
      </c>
      <c r="F49" s="10">
        <v>1490</v>
      </c>
      <c r="G49" s="11">
        <v>4</v>
      </c>
      <c r="H49" s="12">
        <v>0.15</v>
      </c>
      <c r="I49" s="13">
        <v>894</v>
      </c>
      <c r="J49" s="13">
        <v>5066</v>
      </c>
      <c r="K49" s="13">
        <v>1167.23</v>
      </c>
      <c r="L49" s="8" t="s">
        <v>205</v>
      </c>
      <c r="M49" s="19" t="s">
        <v>206</v>
      </c>
      <c r="N49" s="9" t="s">
        <v>22</v>
      </c>
      <c r="O49" s="9" t="s">
        <v>63</v>
      </c>
      <c r="P49">
        <f>DATEVALUE(OnePlusSalesData[[#This Row],[order_date]])</f>
        <v>44194</v>
      </c>
      <c r="Q49" s="28">
        <f>DATEVALUE(OnePlusSalesData[[#This Row],[delivery_date]])</f>
        <v>44199</v>
      </c>
    </row>
    <row r="50" spans="1:17" ht="16" x14ac:dyDescent="0.45">
      <c r="A50" s="2" t="s">
        <v>207</v>
      </c>
      <c r="B50" s="2" t="s">
        <v>16</v>
      </c>
      <c r="C50" s="3" t="s">
        <v>39</v>
      </c>
      <c r="D50" s="3" t="s">
        <v>34</v>
      </c>
      <c r="E50" s="3" t="s">
        <v>35</v>
      </c>
      <c r="F50" s="4">
        <v>19999</v>
      </c>
      <c r="G50" s="5">
        <v>3</v>
      </c>
      <c r="H50" s="6">
        <v>0</v>
      </c>
      <c r="I50" s="7">
        <v>0</v>
      </c>
      <c r="J50" s="7">
        <v>59997</v>
      </c>
      <c r="K50" s="7">
        <v>11946.3</v>
      </c>
      <c r="L50" s="2" t="s">
        <v>208</v>
      </c>
      <c r="M50" s="18" t="s">
        <v>160</v>
      </c>
      <c r="N50" s="3" t="s">
        <v>22</v>
      </c>
      <c r="O50" s="3" t="s">
        <v>23</v>
      </c>
      <c r="P50">
        <f>DATEVALUE(OnePlusSalesData[[#This Row],[order_date]])</f>
        <v>43753</v>
      </c>
      <c r="Q50" s="28">
        <f>DATEVALUE(OnePlusSalesData[[#This Row],[delivery_date]])</f>
        <v>43756</v>
      </c>
    </row>
    <row r="51" spans="1:17" ht="16" x14ac:dyDescent="0.45">
      <c r="A51" s="8" t="s">
        <v>209</v>
      </c>
      <c r="B51" s="8" t="s">
        <v>25</v>
      </c>
      <c r="C51" s="9" t="s">
        <v>65</v>
      </c>
      <c r="D51" s="9" t="s">
        <v>34</v>
      </c>
      <c r="E51" s="9" t="s">
        <v>77</v>
      </c>
      <c r="F51" s="10">
        <v>24999</v>
      </c>
      <c r="G51" s="11">
        <v>2</v>
      </c>
      <c r="H51" s="12">
        <v>0.08</v>
      </c>
      <c r="I51" s="13">
        <v>3999.84</v>
      </c>
      <c r="J51" s="13">
        <v>45998.16</v>
      </c>
      <c r="K51" s="13">
        <v>7750.73</v>
      </c>
      <c r="L51" s="8" t="s">
        <v>210</v>
      </c>
      <c r="M51" s="19" t="s">
        <v>211</v>
      </c>
      <c r="N51" s="9" t="s">
        <v>22</v>
      </c>
      <c r="O51" s="9" t="s">
        <v>146</v>
      </c>
      <c r="P51">
        <f>DATEVALUE(OnePlusSalesData[[#This Row],[order_date]])</f>
        <v>43605</v>
      </c>
      <c r="Q51" s="28">
        <f>DATEVALUE(OnePlusSalesData[[#This Row],[delivery_date]])</f>
        <v>43610</v>
      </c>
    </row>
    <row r="52" spans="1:17" ht="16" x14ac:dyDescent="0.45">
      <c r="A52" s="2" t="s">
        <v>212</v>
      </c>
      <c r="B52" s="2" t="s">
        <v>25</v>
      </c>
      <c r="C52" s="3" t="s">
        <v>172</v>
      </c>
      <c r="D52" s="3" t="s">
        <v>85</v>
      </c>
      <c r="E52" s="3" t="s">
        <v>86</v>
      </c>
      <c r="F52" s="4">
        <v>1999</v>
      </c>
      <c r="G52" s="5">
        <v>5</v>
      </c>
      <c r="H52" s="6">
        <v>0.08</v>
      </c>
      <c r="I52" s="7">
        <v>799.6</v>
      </c>
      <c r="J52" s="7">
        <v>9195.4</v>
      </c>
      <c r="K52" s="7">
        <v>1643.42</v>
      </c>
      <c r="L52" s="2" t="s">
        <v>213</v>
      </c>
      <c r="M52" s="18" t="s">
        <v>214</v>
      </c>
      <c r="N52" s="3" t="s">
        <v>44</v>
      </c>
      <c r="O52" s="3" t="s">
        <v>96</v>
      </c>
      <c r="P52">
        <f>DATEVALUE(OnePlusSalesData[[#This Row],[order_date]])</f>
        <v>43180</v>
      </c>
      <c r="Q52" s="28">
        <f>DATEVALUE(OnePlusSalesData[[#This Row],[delivery_date]])</f>
        <v>43187</v>
      </c>
    </row>
    <row r="53" spans="1:17" ht="16" x14ac:dyDescent="0.45">
      <c r="A53" s="8" t="s">
        <v>215</v>
      </c>
      <c r="B53" s="8" t="s">
        <v>25</v>
      </c>
      <c r="C53" s="9" t="s">
        <v>26</v>
      </c>
      <c r="D53" s="9" t="s">
        <v>27</v>
      </c>
      <c r="E53" s="9" t="s">
        <v>159</v>
      </c>
      <c r="F53" s="10">
        <v>22999</v>
      </c>
      <c r="G53" s="11">
        <v>1</v>
      </c>
      <c r="H53" s="12">
        <v>0</v>
      </c>
      <c r="I53" s="13">
        <v>0</v>
      </c>
      <c r="J53" s="13">
        <v>22999</v>
      </c>
      <c r="K53" s="13">
        <v>3818.23</v>
      </c>
      <c r="L53" s="8" t="s">
        <v>160</v>
      </c>
      <c r="M53" s="19" t="s">
        <v>216</v>
      </c>
      <c r="N53" s="9" t="s">
        <v>50</v>
      </c>
      <c r="O53" s="9" t="s">
        <v>96</v>
      </c>
      <c r="P53">
        <f>DATEVALUE(OnePlusSalesData[[#This Row],[order_date]])</f>
        <v>43756</v>
      </c>
      <c r="Q53" s="28">
        <f>DATEVALUE(OnePlusSalesData[[#This Row],[delivery_date]])</f>
        <v>43758</v>
      </c>
    </row>
    <row r="54" spans="1:17" ht="16" x14ac:dyDescent="0.45">
      <c r="A54" s="2" t="s">
        <v>217</v>
      </c>
      <c r="B54" s="2" t="s">
        <v>25</v>
      </c>
      <c r="C54" s="3" t="s">
        <v>120</v>
      </c>
      <c r="D54" s="3" t="s">
        <v>27</v>
      </c>
      <c r="E54" s="3" t="s">
        <v>28</v>
      </c>
      <c r="F54" s="4">
        <v>12999</v>
      </c>
      <c r="G54" s="5">
        <v>1</v>
      </c>
      <c r="H54" s="6">
        <v>0</v>
      </c>
      <c r="I54" s="7">
        <v>0</v>
      </c>
      <c r="J54" s="7">
        <v>12999</v>
      </c>
      <c r="K54" s="7">
        <v>2543.17</v>
      </c>
      <c r="L54" s="2" t="s">
        <v>218</v>
      </c>
      <c r="M54" s="18" t="s">
        <v>219</v>
      </c>
      <c r="N54" s="3" t="s">
        <v>22</v>
      </c>
      <c r="O54" s="3" t="s">
        <v>23</v>
      </c>
      <c r="P54">
        <f>DATEVALUE(OnePlusSalesData[[#This Row],[order_date]])</f>
        <v>43798</v>
      </c>
      <c r="Q54" s="28">
        <f>DATEVALUE(OnePlusSalesData[[#This Row],[delivery_date]])</f>
        <v>43803</v>
      </c>
    </row>
    <row r="55" spans="1:17" ht="16" x14ac:dyDescent="0.45">
      <c r="A55" s="8" t="s">
        <v>220</v>
      </c>
      <c r="B55" s="8" t="s">
        <v>58</v>
      </c>
      <c r="C55" s="9" t="s">
        <v>221</v>
      </c>
      <c r="D55" s="9" t="s">
        <v>18</v>
      </c>
      <c r="E55" s="9" t="s">
        <v>102</v>
      </c>
      <c r="F55" s="10">
        <v>1490</v>
      </c>
      <c r="G55" s="11">
        <v>1</v>
      </c>
      <c r="H55" s="12">
        <v>0.05</v>
      </c>
      <c r="I55" s="13">
        <v>74.5</v>
      </c>
      <c r="J55" s="13">
        <v>1415.5</v>
      </c>
      <c r="K55" s="13">
        <v>300.56</v>
      </c>
      <c r="L55" s="8" t="s">
        <v>222</v>
      </c>
      <c r="M55" s="19" t="s">
        <v>223</v>
      </c>
      <c r="N55" s="9" t="s">
        <v>22</v>
      </c>
      <c r="O55" s="9" t="s">
        <v>23</v>
      </c>
      <c r="P55">
        <f>DATEVALUE(OnePlusSalesData[[#This Row],[order_date]])</f>
        <v>43852</v>
      </c>
      <c r="Q55" s="28">
        <f>DATEVALUE(OnePlusSalesData[[#This Row],[delivery_date]])</f>
        <v>43858</v>
      </c>
    </row>
    <row r="56" spans="1:17" ht="16" x14ac:dyDescent="0.45">
      <c r="A56" s="2" t="s">
        <v>224</v>
      </c>
      <c r="B56" s="2" t="s">
        <v>58</v>
      </c>
      <c r="C56" s="3" t="s">
        <v>221</v>
      </c>
      <c r="D56" s="3" t="s">
        <v>40</v>
      </c>
      <c r="E56" s="3" t="s">
        <v>41</v>
      </c>
      <c r="F56" s="4">
        <v>37999</v>
      </c>
      <c r="G56" s="5">
        <v>2</v>
      </c>
      <c r="H56" s="6">
        <v>0.05</v>
      </c>
      <c r="I56" s="7">
        <v>3799.9</v>
      </c>
      <c r="J56" s="7">
        <v>72198.100000000006</v>
      </c>
      <c r="K56" s="7">
        <v>18188.68</v>
      </c>
      <c r="L56" s="2" t="s">
        <v>225</v>
      </c>
      <c r="M56" s="18" t="s">
        <v>226</v>
      </c>
      <c r="N56" s="3" t="s">
        <v>22</v>
      </c>
      <c r="O56" s="3" t="s">
        <v>31</v>
      </c>
      <c r="P56">
        <f>DATEVALUE(OnePlusSalesData[[#This Row],[order_date]])</f>
        <v>43977</v>
      </c>
      <c r="Q56" s="28">
        <f>DATEVALUE(OnePlusSalesData[[#This Row],[delivery_date]])</f>
        <v>43983</v>
      </c>
    </row>
    <row r="57" spans="1:17" ht="16" x14ac:dyDescent="0.45">
      <c r="A57" s="8" t="s">
        <v>227</v>
      </c>
      <c r="B57" s="8" t="s">
        <v>52</v>
      </c>
      <c r="C57" s="9" t="s">
        <v>192</v>
      </c>
      <c r="D57" s="9" t="s">
        <v>85</v>
      </c>
      <c r="E57" s="9" t="s">
        <v>228</v>
      </c>
      <c r="F57" s="10">
        <v>5990</v>
      </c>
      <c r="G57" s="11">
        <v>1</v>
      </c>
      <c r="H57" s="12">
        <v>0.05</v>
      </c>
      <c r="I57" s="13">
        <v>299.5</v>
      </c>
      <c r="J57" s="13">
        <v>5690.5</v>
      </c>
      <c r="K57" s="13">
        <v>1458.99</v>
      </c>
      <c r="L57" s="8" t="s">
        <v>62</v>
      </c>
      <c r="M57" s="19" t="s">
        <v>229</v>
      </c>
      <c r="N57" s="9" t="s">
        <v>50</v>
      </c>
      <c r="O57" s="9" t="s">
        <v>31</v>
      </c>
      <c r="P57">
        <f>DATEVALUE(OnePlusSalesData[[#This Row],[order_date]])</f>
        <v>43895</v>
      </c>
      <c r="Q57" s="28">
        <f>DATEVALUE(OnePlusSalesData[[#This Row],[delivery_date]])</f>
        <v>43897</v>
      </c>
    </row>
    <row r="58" spans="1:17" ht="16" x14ac:dyDescent="0.45">
      <c r="A58" s="2" t="s">
        <v>230</v>
      </c>
      <c r="B58" s="2" t="s">
        <v>16</v>
      </c>
      <c r="C58" s="3" t="s">
        <v>33</v>
      </c>
      <c r="D58" s="3" t="s">
        <v>27</v>
      </c>
      <c r="E58" s="3" t="s">
        <v>28</v>
      </c>
      <c r="F58" s="4">
        <v>12999</v>
      </c>
      <c r="G58" s="5">
        <v>1</v>
      </c>
      <c r="H58" s="6">
        <v>0.1</v>
      </c>
      <c r="I58" s="7">
        <v>1299.9000000000001</v>
      </c>
      <c r="J58" s="7">
        <v>11699.1</v>
      </c>
      <c r="K58" s="7">
        <v>2779.1</v>
      </c>
      <c r="L58" s="2" t="s">
        <v>231</v>
      </c>
      <c r="M58" s="18" t="s">
        <v>232</v>
      </c>
      <c r="N58" s="3" t="s">
        <v>22</v>
      </c>
      <c r="O58" s="3" t="s">
        <v>63</v>
      </c>
      <c r="P58">
        <f>DATEVALUE(OnePlusSalesData[[#This Row],[order_date]])</f>
        <v>43871</v>
      </c>
      <c r="Q58" s="28">
        <f>DATEVALUE(OnePlusSalesData[[#This Row],[delivery_date]])</f>
        <v>43877</v>
      </c>
    </row>
    <row r="59" spans="1:17" ht="16" x14ac:dyDescent="0.45">
      <c r="A59" s="8" t="s">
        <v>233</v>
      </c>
      <c r="B59" s="8" t="s">
        <v>52</v>
      </c>
      <c r="C59" s="9" t="s">
        <v>69</v>
      </c>
      <c r="D59" s="9" t="s">
        <v>18</v>
      </c>
      <c r="E59" s="9" t="s">
        <v>102</v>
      </c>
      <c r="F59" s="10">
        <v>1490</v>
      </c>
      <c r="G59" s="11">
        <v>1</v>
      </c>
      <c r="H59" s="12">
        <v>0</v>
      </c>
      <c r="I59" s="13">
        <v>0</v>
      </c>
      <c r="J59" s="13">
        <v>1490</v>
      </c>
      <c r="K59" s="13">
        <v>253.56</v>
      </c>
      <c r="L59" s="8" t="s">
        <v>234</v>
      </c>
      <c r="M59" s="19" t="s">
        <v>235</v>
      </c>
      <c r="N59" s="9" t="s">
        <v>22</v>
      </c>
      <c r="O59" s="9" t="s">
        <v>146</v>
      </c>
      <c r="P59">
        <f>DATEVALUE(OnePlusSalesData[[#This Row],[order_date]])</f>
        <v>43785</v>
      </c>
      <c r="Q59" s="28">
        <f>DATEVALUE(OnePlusSalesData[[#This Row],[delivery_date]])</f>
        <v>43791</v>
      </c>
    </row>
    <row r="60" spans="1:17" ht="16" x14ac:dyDescent="0.45">
      <c r="A60" s="2" t="s">
        <v>236</v>
      </c>
      <c r="B60" s="2" t="s">
        <v>52</v>
      </c>
      <c r="C60" s="3" t="s">
        <v>53</v>
      </c>
      <c r="D60" s="3" t="s">
        <v>40</v>
      </c>
      <c r="E60" s="3" t="s">
        <v>60</v>
      </c>
      <c r="F60" s="4">
        <v>54999</v>
      </c>
      <c r="G60" s="5">
        <v>1</v>
      </c>
      <c r="H60" s="6">
        <v>0.05</v>
      </c>
      <c r="I60" s="7">
        <v>2749.95</v>
      </c>
      <c r="J60" s="7">
        <v>52249.05</v>
      </c>
      <c r="K60" s="7">
        <v>10300.65</v>
      </c>
      <c r="L60" s="2" t="s">
        <v>231</v>
      </c>
      <c r="M60" s="18" t="s">
        <v>237</v>
      </c>
      <c r="N60" s="3" t="s">
        <v>22</v>
      </c>
      <c r="O60" s="3" t="s">
        <v>45</v>
      </c>
      <c r="P60">
        <f>DATEVALUE(OnePlusSalesData[[#This Row],[order_date]])</f>
        <v>43871</v>
      </c>
      <c r="Q60" s="28">
        <f>DATEVALUE(OnePlusSalesData[[#This Row],[delivery_date]])</f>
        <v>43875</v>
      </c>
    </row>
    <row r="61" spans="1:17" ht="16" x14ac:dyDescent="0.45">
      <c r="A61" s="8" t="s">
        <v>238</v>
      </c>
      <c r="B61" s="8" t="s">
        <v>58</v>
      </c>
      <c r="C61" s="9" t="s">
        <v>221</v>
      </c>
      <c r="D61" s="9" t="s">
        <v>18</v>
      </c>
      <c r="E61" s="9" t="s">
        <v>102</v>
      </c>
      <c r="F61" s="10">
        <v>1490</v>
      </c>
      <c r="G61" s="11">
        <v>1</v>
      </c>
      <c r="H61" s="12">
        <v>0</v>
      </c>
      <c r="I61" s="13">
        <v>0</v>
      </c>
      <c r="J61" s="13">
        <v>1490</v>
      </c>
      <c r="K61" s="13">
        <v>343.62</v>
      </c>
      <c r="L61" s="8" t="s">
        <v>239</v>
      </c>
      <c r="M61" s="19" t="s">
        <v>240</v>
      </c>
      <c r="N61" s="9" t="s">
        <v>92</v>
      </c>
      <c r="O61" s="9" t="s">
        <v>23</v>
      </c>
      <c r="P61">
        <f>DATEVALUE(OnePlusSalesData[[#This Row],[order_date]])</f>
        <v>43953</v>
      </c>
      <c r="Q61" s="28">
        <f>DATEVALUE(OnePlusSalesData[[#This Row],[delivery_date]])</f>
        <v>43960</v>
      </c>
    </row>
    <row r="62" spans="1:17" ht="16" x14ac:dyDescent="0.45">
      <c r="A62" s="2" t="s">
        <v>241</v>
      </c>
      <c r="B62" s="2" t="s">
        <v>25</v>
      </c>
      <c r="C62" s="3" t="s">
        <v>120</v>
      </c>
      <c r="D62" s="3" t="s">
        <v>40</v>
      </c>
      <c r="E62" s="3" t="s">
        <v>47</v>
      </c>
      <c r="F62" s="4">
        <v>37999</v>
      </c>
      <c r="G62" s="5">
        <v>1</v>
      </c>
      <c r="H62" s="6">
        <v>0.08</v>
      </c>
      <c r="I62" s="7">
        <v>3039.92</v>
      </c>
      <c r="J62" s="7">
        <v>34959.08</v>
      </c>
      <c r="K62" s="7">
        <v>6539.77</v>
      </c>
      <c r="L62" s="2" t="s">
        <v>242</v>
      </c>
      <c r="M62" s="18" t="s">
        <v>243</v>
      </c>
      <c r="N62" s="3" t="s">
        <v>50</v>
      </c>
      <c r="O62" s="3" t="s">
        <v>23</v>
      </c>
      <c r="P62">
        <f>DATEVALUE(OnePlusSalesData[[#This Row],[order_date]])</f>
        <v>43959</v>
      </c>
      <c r="Q62" s="28">
        <f>DATEVALUE(OnePlusSalesData[[#This Row],[delivery_date]])</f>
        <v>43963</v>
      </c>
    </row>
    <row r="63" spans="1:17" ht="16" x14ac:dyDescent="0.45">
      <c r="A63" s="8" t="s">
        <v>244</v>
      </c>
      <c r="B63" s="8" t="s">
        <v>16</v>
      </c>
      <c r="C63" s="9" t="s">
        <v>152</v>
      </c>
      <c r="D63" s="9" t="s">
        <v>34</v>
      </c>
      <c r="E63" s="9" t="s">
        <v>35</v>
      </c>
      <c r="F63" s="10">
        <v>19999</v>
      </c>
      <c r="G63" s="11">
        <v>3</v>
      </c>
      <c r="H63" s="12">
        <v>0.12</v>
      </c>
      <c r="I63" s="13">
        <v>7199.64</v>
      </c>
      <c r="J63" s="13">
        <v>52797.36</v>
      </c>
      <c r="K63" s="13">
        <v>8323.44</v>
      </c>
      <c r="L63" s="8" t="s">
        <v>245</v>
      </c>
      <c r="M63" s="19" t="s">
        <v>246</v>
      </c>
      <c r="N63" s="9" t="s">
        <v>22</v>
      </c>
      <c r="O63" s="9" t="s">
        <v>23</v>
      </c>
      <c r="P63">
        <f>DATEVALUE(OnePlusSalesData[[#This Row],[order_date]])</f>
        <v>43284</v>
      </c>
      <c r="Q63" s="28">
        <f>DATEVALUE(OnePlusSalesData[[#This Row],[delivery_date]])</f>
        <v>43286</v>
      </c>
    </row>
    <row r="64" spans="1:17" ht="16" x14ac:dyDescent="0.45">
      <c r="A64" s="2" t="s">
        <v>247</v>
      </c>
      <c r="B64" s="2" t="s">
        <v>16</v>
      </c>
      <c r="C64" s="3" t="s">
        <v>140</v>
      </c>
      <c r="D64" s="3" t="s">
        <v>40</v>
      </c>
      <c r="E64" s="3" t="s">
        <v>54</v>
      </c>
      <c r="F64" s="4">
        <v>53999</v>
      </c>
      <c r="G64" s="5">
        <v>1</v>
      </c>
      <c r="H64" s="6">
        <v>0.05</v>
      </c>
      <c r="I64" s="7">
        <v>2699.95</v>
      </c>
      <c r="J64" s="7">
        <v>51299.05</v>
      </c>
      <c r="K64" s="7">
        <v>11081.01</v>
      </c>
      <c r="L64" s="2" t="s">
        <v>248</v>
      </c>
      <c r="M64" s="18" t="s">
        <v>249</v>
      </c>
      <c r="N64" s="3" t="s">
        <v>22</v>
      </c>
      <c r="O64" s="3" t="s">
        <v>63</v>
      </c>
      <c r="P64">
        <f>DATEVALUE(OnePlusSalesData[[#This Row],[order_date]])</f>
        <v>43211</v>
      </c>
      <c r="Q64" s="28">
        <f>DATEVALUE(OnePlusSalesData[[#This Row],[delivery_date]])</f>
        <v>43213</v>
      </c>
    </row>
    <row r="65" spans="1:17" ht="16" x14ac:dyDescent="0.45">
      <c r="A65" s="8" t="s">
        <v>250</v>
      </c>
      <c r="B65" s="8" t="s">
        <v>16</v>
      </c>
      <c r="C65" s="9" t="s">
        <v>152</v>
      </c>
      <c r="D65" s="9" t="s">
        <v>40</v>
      </c>
      <c r="E65" s="9" t="s">
        <v>60</v>
      </c>
      <c r="F65" s="10">
        <v>54999</v>
      </c>
      <c r="G65" s="11">
        <v>2</v>
      </c>
      <c r="H65" s="12">
        <v>0.05</v>
      </c>
      <c r="I65" s="13">
        <v>5499.9</v>
      </c>
      <c r="J65" s="13">
        <v>104498.1</v>
      </c>
      <c r="K65" s="13">
        <v>25593.48</v>
      </c>
      <c r="L65" s="8" t="s">
        <v>251</v>
      </c>
      <c r="M65" s="19" t="s">
        <v>252</v>
      </c>
      <c r="N65" s="9" t="s">
        <v>44</v>
      </c>
      <c r="O65" s="9" t="s">
        <v>63</v>
      </c>
      <c r="P65">
        <f>DATEVALUE(OnePlusSalesData[[#This Row],[order_date]])</f>
        <v>43767</v>
      </c>
      <c r="Q65" s="28">
        <f>DATEVALUE(OnePlusSalesData[[#This Row],[delivery_date]])</f>
        <v>43773</v>
      </c>
    </row>
    <row r="66" spans="1:17" ht="16" x14ac:dyDescent="0.45">
      <c r="A66" s="2" t="s">
        <v>253</v>
      </c>
      <c r="B66" s="2" t="s">
        <v>25</v>
      </c>
      <c r="C66" s="3" t="s">
        <v>65</v>
      </c>
      <c r="D66" s="3" t="s">
        <v>40</v>
      </c>
      <c r="E66" s="3" t="s">
        <v>41</v>
      </c>
      <c r="F66" s="4">
        <v>37999</v>
      </c>
      <c r="G66" s="5">
        <v>1</v>
      </c>
      <c r="H66" s="6">
        <v>0.05</v>
      </c>
      <c r="I66" s="7">
        <v>1899.95</v>
      </c>
      <c r="J66" s="7">
        <v>36099.050000000003</v>
      </c>
      <c r="K66" s="7">
        <v>5191.6400000000003</v>
      </c>
      <c r="L66" s="2" t="s">
        <v>254</v>
      </c>
      <c r="M66" s="18" t="s">
        <v>255</v>
      </c>
      <c r="N66" s="3" t="s">
        <v>22</v>
      </c>
      <c r="O66" s="3" t="s">
        <v>31</v>
      </c>
      <c r="P66">
        <f>DATEVALUE(OnePlusSalesData[[#This Row],[order_date]])</f>
        <v>43938</v>
      </c>
      <c r="Q66" s="28">
        <f>DATEVALUE(OnePlusSalesData[[#This Row],[delivery_date]])</f>
        <v>43940</v>
      </c>
    </row>
    <row r="67" spans="1:17" ht="16" x14ac:dyDescent="0.45">
      <c r="A67" s="8" t="s">
        <v>256</v>
      </c>
      <c r="B67" s="8" t="s">
        <v>58</v>
      </c>
      <c r="C67" s="9" t="s">
        <v>257</v>
      </c>
      <c r="D67" s="9" t="s">
        <v>85</v>
      </c>
      <c r="E67" s="9" t="s">
        <v>258</v>
      </c>
      <c r="F67" s="10">
        <v>2999</v>
      </c>
      <c r="G67" s="11">
        <v>1</v>
      </c>
      <c r="H67" s="12">
        <v>0.05</v>
      </c>
      <c r="I67" s="13">
        <v>149.94999999999999</v>
      </c>
      <c r="J67" s="13">
        <v>2849.05</v>
      </c>
      <c r="K67" s="13">
        <v>430.42</v>
      </c>
      <c r="L67" s="8" t="s">
        <v>259</v>
      </c>
      <c r="M67" s="19" t="s">
        <v>260</v>
      </c>
      <c r="N67" s="9" t="s">
        <v>92</v>
      </c>
      <c r="O67" s="9" t="s">
        <v>31</v>
      </c>
      <c r="P67">
        <f>DATEVALUE(OnePlusSalesData[[#This Row],[order_date]])</f>
        <v>43147</v>
      </c>
      <c r="Q67" s="28">
        <f>DATEVALUE(OnePlusSalesData[[#This Row],[delivery_date]])</f>
        <v>43149</v>
      </c>
    </row>
    <row r="68" spans="1:17" ht="16" x14ac:dyDescent="0.45">
      <c r="A68" s="2" t="s">
        <v>261</v>
      </c>
      <c r="B68" s="2" t="s">
        <v>25</v>
      </c>
      <c r="C68" s="3" t="s">
        <v>65</v>
      </c>
      <c r="D68" s="3" t="s">
        <v>18</v>
      </c>
      <c r="E68" s="3" t="s">
        <v>102</v>
      </c>
      <c r="F68" s="4">
        <v>1490</v>
      </c>
      <c r="G68" s="5">
        <v>1</v>
      </c>
      <c r="H68" s="6">
        <v>0.1</v>
      </c>
      <c r="I68" s="7">
        <v>149</v>
      </c>
      <c r="J68" s="7">
        <v>1341</v>
      </c>
      <c r="K68" s="7">
        <v>308.14999999999998</v>
      </c>
      <c r="L68" s="2" t="s">
        <v>262</v>
      </c>
      <c r="M68" s="18" t="s">
        <v>263</v>
      </c>
      <c r="N68" s="3" t="s">
        <v>22</v>
      </c>
      <c r="O68" s="3" t="s">
        <v>63</v>
      </c>
      <c r="P68">
        <f>DATEVALUE(OnePlusSalesData[[#This Row],[order_date]])</f>
        <v>43819</v>
      </c>
      <c r="Q68" s="28">
        <f>DATEVALUE(OnePlusSalesData[[#This Row],[delivery_date]])</f>
        <v>43826</v>
      </c>
    </row>
    <row r="69" spans="1:17" ht="16" x14ac:dyDescent="0.45">
      <c r="A69" s="8" t="s">
        <v>264</v>
      </c>
      <c r="B69" s="8" t="s">
        <v>16</v>
      </c>
      <c r="C69" s="9" t="s">
        <v>140</v>
      </c>
      <c r="D69" s="9" t="s">
        <v>85</v>
      </c>
      <c r="E69" s="9" t="s">
        <v>265</v>
      </c>
      <c r="F69" s="10">
        <v>4990</v>
      </c>
      <c r="G69" s="11">
        <v>1</v>
      </c>
      <c r="H69" s="12">
        <v>0</v>
      </c>
      <c r="I69" s="13">
        <v>0</v>
      </c>
      <c r="J69" s="13">
        <v>4990</v>
      </c>
      <c r="K69" s="13">
        <v>778.31</v>
      </c>
      <c r="L69" s="8" t="s">
        <v>266</v>
      </c>
      <c r="M69" s="19" t="s">
        <v>267</v>
      </c>
      <c r="N69" s="9" t="s">
        <v>92</v>
      </c>
      <c r="O69" s="9" t="s">
        <v>23</v>
      </c>
      <c r="P69">
        <f>DATEVALUE(OnePlusSalesData[[#This Row],[order_date]])</f>
        <v>44127</v>
      </c>
      <c r="Q69" s="28">
        <f>DATEVALUE(OnePlusSalesData[[#This Row],[delivery_date]])</f>
        <v>44134</v>
      </c>
    </row>
    <row r="70" spans="1:17" ht="16" x14ac:dyDescent="0.45">
      <c r="A70" s="2" t="s">
        <v>268</v>
      </c>
      <c r="B70" s="2" t="s">
        <v>58</v>
      </c>
      <c r="C70" s="3" t="s">
        <v>221</v>
      </c>
      <c r="D70" s="3" t="s">
        <v>27</v>
      </c>
      <c r="E70" s="3" t="s">
        <v>176</v>
      </c>
      <c r="F70" s="4">
        <v>69900</v>
      </c>
      <c r="G70" s="5">
        <v>1</v>
      </c>
      <c r="H70" s="6">
        <v>0.05</v>
      </c>
      <c r="I70" s="7">
        <v>3495</v>
      </c>
      <c r="J70" s="7">
        <v>66405</v>
      </c>
      <c r="K70" s="7">
        <v>12303.13</v>
      </c>
      <c r="L70" s="2" t="s">
        <v>269</v>
      </c>
      <c r="M70" s="18" t="s">
        <v>270</v>
      </c>
      <c r="N70" s="3" t="s">
        <v>50</v>
      </c>
      <c r="O70" s="3" t="s">
        <v>23</v>
      </c>
      <c r="P70">
        <f>DATEVALUE(OnePlusSalesData[[#This Row],[order_date]])</f>
        <v>43814</v>
      </c>
      <c r="Q70" s="28">
        <f>DATEVALUE(OnePlusSalesData[[#This Row],[delivery_date]])</f>
        <v>43816</v>
      </c>
    </row>
    <row r="71" spans="1:17" ht="16" x14ac:dyDescent="0.45">
      <c r="A71" s="8" t="s">
        <v>271</v>
      </c>
      <c r="B71" s="8" t="s">
        <v>16</v>
      </c>
      <c r="C71" s="9" t="s">
        <v>33</v>
      </c>
      <c r="D71" s="9" t="s">
        <v>18</v>
      </c>
      <c r="E71" s="9" t="s">
        <v>102</v>
      </c>
      <c r="F71" s="10">
        <v>1490</v>
      </c>
      <c r="G71" s="11">
        <v>1</v>
      </c>
      <c r="H71" s="12">
        <v>0.05</v>
      </c>
      <c r="I71" s="13">
        <v>74.5</v>
      </c>
      <c r="J71" s="13">
        <v>1415.5</v>
      </c>
      <c r="K71" s="13">
        <v>258.49</v>
      </c>
      <c r="L71" s="8" t="s">
        <v>272</v>
      </c>
      <c r="M71" s="19" t="s">
        <v>273</v>
      </c>
      <c r="N71" s="9" t="s">
        <v>22</v>
      </c>
      <c r="O71" s="9" t="s">
        <v>63</v>
      </c>
      <c r="P71">
        <f>DATEVALUE(OnePlusSalesData[[#This Row],[order_date]])</f>
        <v>43333</v>
      </c>
      <c r="Q71" s="28">
        <f>DATEVALUE(OnePlusSalesData[[#This Row],[delivery_date]])</f>
        <v>43339</v>
      </c>
    </row>
    <row r="72" spans="1:17" ht="16" x14ac:dyDescent="0.45">
      <c r="A72" s="2" t="s">
        <v>274</v>
      </c>
      <c r="B72" s="2" t="s">
        <v>52</v>
      </c>
      <c r="C72" s="3" t="s">
        <v>192</v>
      </c>
      <c r="D72" s="3" t="s">
        <v>85</v>
      </c>
      <c r="E72" s="3" t="s">
        <v>86</v>
      </c>
      <c r="F72" s="4">
        <v>1999</v>
      </c>
      <c r="G72" s="5">
        <v>1</v>
      </c>
      <c r="H72" s="6">
        <v>0.05</v>
      </c>
      <c r="I72" s="7">
        <v>99.95</v>
      </c>
      <c r="J72" s="7">
        <v>1899.05</v>
      </c>
      <c r="K72" s="7">
        <v>348.61</v>
      </c>
      <c r="L72" s="2" t="s">
        <v>275</v>
      </c>
      <c r="M72" s="18" t="s">
        <v>276</v>
      </c>
      <c r="N72" s="3" t="s">
        <v>22</v>
      </c>
      <c r="O72" s="3" t="s">
        <v>96</v>
      </c>
      <c r="P72">
        <f>DATEVALUE(OnePlusSalesData[[#This Row],[order_date]])</f>
        <v>43415</v>
      </c>
      <c r="Q72" s="28">
        <f>DATEVALUE(OnePlusSalesData[[#This Row],[delivery_date]])</f>
        <v>43421</v>
      </c>
    </row>
    <row r="73" spans="1:17" ht="16" x14ac:dyDescent="0.45">
      <c r="A73" s="8" t="s">
        <v>277</v>
      </c>
      <c r="B73" s="8" t="s">
        <v>25</v>
      </c>
      <c r="C73" s="9" t="s">
        <v>65</v>
      </c>
      <c r="D73" s="9" t="s">
        <v>40</v>
      </c>
      <c r="E73" s="9" t="s">
        <v>54</v>
      </c>
      <c r="F73" s="10">
        <v>53999</v>
      </c>
      <c r="G73" s="11">
        <v>1</v>
      </c>
      <c r="H73" s="12">
        <v>0.05</v>
      </c>
      <c r="I73" s="13">
        <v>2699.95</v>
      </c>
      <c r="J73" s="13">
        <v>51299.05</v>
      </c>
      <c r="K73" s="13">
        <v>12419.4</v>
      </c>
      <c r="L73" s="8" t="s">
        <v>278</v>
      </c>
      <c r="M73" s="19" t="s">
        <v>279</v>
      </c>
      <c r="N73" s="9" t="s">
        <v>22</v>
      </c>
      <c r="O73" s="9" t="s">
        <v>31</v>
      </c>
      <c r="P73">
        <f>DATEVALUE(OnePlusSalesData[[#This Row],[order_date]])</f>
        <v>43450</v>
      </c>
      <c r="Q73" s="28">
        <f>DATEVALUE(OnePlusSalesData[[#This Row],[delivery_date]])</f>
        <v>43452</v>
      </c>
    </row>
    <row r="74" spans="1:17" ht="16" x14ac:dyDescent="0.45">
      <c r="A74" s="2" t="s">
        <v>280</v>
      </c>
      <c r="B74" s="2" t="s">
        <v>16</v>
      </c>
      <c r="C74" s="3" t="s">
        <v>152</v>
      </c>
      <c r="D74" s="3" t="s">
        <v>40</v>
      </c>
      <c r="E74" s="3" t="s">
        <v>54</v>
      </c>
      <c r="F74" s="4">
        <v>53999</v>
      </c>
      <c r="G74" s="5">
        <v>1</v>
      </c>
      <c r="H74" s="6">
        <v>0.12</v>
      </c>
      <c r="I74" s="7">
        <v>6479.88</v>
      </c>
      <c r="J74" s="7">
        <v>47519.12</v>
      </c>
      <c r="K74" s="7">
        <v>11588.05</v>
      </c>
      <c r="L74" s="2" t="s">
        <v>281</v>
      </c>
      <c r="M74" s="18" t="s">
        <v>208</v>
      </c>
      <c r="N74" s="3" t="s">
        <v>22</v>
      </c>
      <c r="O74" s="3" t="s">
        <v>23</v>
      </c>
      <c r="P74">
        <f>DATEVALUE(OnePlusSalesData[[#This Row],[order_date]])</f>
        <v>43746</v>
      </c>
      <c r="Q74" s="28">
        <f>DATEVALUE(OnePlusSalesData[[#This Row],[delivery_date]])</f>
        <v>43753</v>
      </c>
    </row>
    <row r="75" spans="1:17" ht="16" x14ac:dyDescent="0.45">
      <c r="A75" s="8" t="s">
        <v>282</v>
      </c>
      <c r="B75" s="8" t="s">
        <v>52</v>
      </c>
      <c r="C75" s="9" t="s">
        <v>192</v>
      </c>
      <c r="D75" s="9" t="s">
        <v>40</v>
      </c>
      <c r="E75" s="9" t="s">
        <v>47</v>
      </c>
      <c r="F75" s="10">
        <v>37999</v>
      </c>
      <c r="G75" s="11">
        <v>1</v>
      </c>
      <c r="H75" s="12">
        <v>0.08</v>
      </c>
      <c r="I75" s="13">
        <v>3039.92</v>
      </c>
      <c r="J75" s="13">
        <v>34959.08</v>
      </c>
      <c r="K75" s="13">
        <v>6068.81</v>
      </c>
      <c r="L75" s="8" t="s">
        <v>283</v>
      </c>
      <c r="M75" s="19" t="s">
        <v>284</v>
      </c>
      <c r="N75" s="9" t="s">
        <v>22</v>
      </c>
      <c r="O75" s="9" t="s">
        <v>31</v>
      </c>
      <c r="P75">
        <f>DATEVALUE(OnePlusSalesData[[#This Row],[order_date]])</f>
        <v>43426</v>
      </c>
      <c r="Q75" s="28">
        <f>DATEVALUE(OnePlusSalesData[[#This Row],[delivery_date]])</f>
        <v>43429</v>
      </c>
    </row>
    <row r="76" spans="1:17" ht="16" x14ac:dyDescent="0.45">
      <c r="A76" s="2" t="s">
        <v>285</v>
      </c>
      <c r="B76" s="2" t="s">
        <v>16</v>
      </c>
      <c r="C76" s="3" t="s">
        <v>33</v>
      </c>
      <c r="D76" s="3" t="s">
        <v>85</v>
      </c>
      <c r="E76" s="3" t="s">
        <v>86</v>
      </c>
      <c r="F76" s="4">
        <v>1999</v>
      </c>
      <c r="G76" s="5">
        <v>1</v>
      </c>
      <c r="H76" s="6">
        <v>0.08</v>
      </c>
      <c r="I76" s="7">
        <v>159.91999999999999</v>
      </c>
      <c r="J76" s="7">
        <v>1839.08</v>
      </c>
      <c r="K76" s="7">
        <v>321.17</v>
      </c>
      <c r="L76" s="2" t="s">
        <v>286</v>
      </c>
      <c r="M76" s="18" t="s">
        <v>287</v>
      </c>
      <c r="N76" s="3" t="s">
        <v>22</v>
      </c>
      <c r="O76" s="3" t="s">
        <v>63</v>
      </c>
      <c r="P76">
        <f>DATEVALUE(OnePlusSalesData[[#This Row],[order_date]])</f>
        <v>43239</v>
      </c>
      <c r="Q76" s="28">
        <f>DATEVALUE(OnePlusSalesData[[#This Row],[delivery_date]])</f>
        <v>43244</v>
      </c>
    </row>
    <row r="77" spans="1:17" ht="16" x14ac:dyDescent="0.45">
      <c r="A77" s="8" t="s">
        <v>288</v>
      </c>
      <c r="B77" s="8" t="s">
        <v>16</v>
      </c>
      <c r="C77" s="9" t="s">
        <v>140</v>
      </c>
      <c r="D77" s="9" t="s">
        <v>40</v>
      </c>
      <c r="E77" s="9" t="s">
        <v>41</v>
      </c>
      <c r="F77" s="10">
        <v>37999</v>
      </c>
      <c r="G77" s="11">
        <v>1</v>
      </c>
      <c r="H77" s="12">
        <v>0.15</v>
      </c>
      <c r="I77" s="13">
        <v>5699.85</v>
      </c>
      <c r="J77" s="13">
        <v>32299.15</v>
      </c>
      <c r="K77" s="13">
        <v>5771.29</v>
      </c>
      <c r="L77" s="8" t="s">
        <v>276</v>
      </c>
      <c r="M77" s="19" t="s">
        <v>289</v>
      </c>
      <c r="N77" s="9" t="s">
        <v>22</v>
      </c>
      <c r="O77" s="9" t="s">
        <v>23</v>
      </c>
      <c r="P77">
        <f>DATEVALUE(OnePlusSalesData[[#This Row],[order_date]])</f>
        <v>43421</v>
      </c>
      <c r="Q77" s="28">
        <f>DATEVALUE(OnePlusSalesData[[#This Row],[delivery_date]])</f>
        <v>43427</v>
      </c>
    </row>
    <row r="78" spans="1:17" ht="16" x14ac:dyDescent="0.45">
      <c r="A78" s="2" t="s">
        <v>290</v>
      </c>
      <c r="B78" s="2" t="s">
        <v>16</v>
      </c>
      <c r="C78" s="3" t="s">
        <v>39</v>
      </c>
      <c r="D78" s="3" t="s">
        <v>18</v>
      </c>
      <c r="E78" s="3" t="s">
        <v>102</v>
      </c>
      <c r="F78" s="4">
        <v>1490</v>
      </c>
      <c r="G78" s="5">
        <v>3</v>
      </c>
      <c r="H78" s="6">
        <v>0.08</v>
      </c>
      <c r="I78" s="7">
        <v>357.6</v>
      </c>
      <c r="J78" s="7">
        <v>4112.3999999999996</v>
      </c>
      <c r="K78" s="7">
        <v>777.33</v>
      </c>
      <c r="L78" s="2" t="s">
        <v>291</v>
      </c>
      <c r="M78" s="18" t="s">
        <v>292</v>
      </c>
      <c r="N78" s="3" t="s">
        <v>44</v>
      </c>
      <c r="O78" s="3" t="s">
        <v>23</v>
      </c>
      <c r="P78">
        <f>DATEVALUE(OnePlusSalesData[[#This Row],[order_date]])</f>
        <v>43476</v>
      </c>
      <c r="Q78" s="28">
        <f>DATEVALUE(OnePlusSalesData[[#This Row],[delivery_date]])</f>
        <v>43480</v>
      </c>
    </row>
    <row r="79" spans="1:17" ht="16" x14ac:dyDescent="0.45">
      <c r="A79" s="8" t="s">
        <v>293</v>
      </c>
      <c r="B79" s="8" t="s">
        <v>25</v>
      </c>
      <c r="C79" s="9" t="s">
        <v>120</v>
      </c>
      <c r="D79" s="9" t="s">
        <v>40</v>
      </c>
      <c r="E79" s="9" t="s">
        <v>60</v>
      </c>
      <c r="F79" s="10">
        <v>54999</v>
      </c>
      <c r="G79" s="11">
        <v>3</v>
      </c>
      <c r="H79" s="12">
        <v>0.1</v>
      </c>
      <c r="I79" s="13">
        <v>16499.7</v>
      </c>
      <c r="J79" s="13">
        <v>148497.29999999999</v>
      </c>
      <c r="K79" s="13">
        <v>35037.11</v>
      </c>
      <c r="L79" s="8" t="s">
        <v>294</v>
      </c>
      <c r="M79" s="19" t="s">
        <v>295</v>
      </c>
      <c r="N79" s="9" t="s">
        <v>50</v>
      </c>
      <c r="O79" s="9" t="s">
        <v>63</v>
      </c>
      <c r="P79">
        <f>DATEVALUE(OnePlusSalesData[[#This Row],[order_date]])</f>
        <v>43825</v>
      </c>
      <c r="Q79" s="28">
        <f>DATEVALUE(OnePlusSalesData[[#This Row],[delivery_date]])</f>
        <v>43831</v>
      </c>
    </row>
    <row r="80" spans="1:17" ht="16" x14ac:dyDescent="0.45">
      <c r="A80" s="2" t="s">
        <v>296</v>
      </c>
      <c r="B80" s="2" t="s">
        <v>16</v>
      </c>
      <c r="C80" s="3" t="s">
        <v>152</v>
      </c>
      <c r="D80" s="3" t="s">
        <v>85</v>
      </c>
      <c r="E80" s="3" t="s">
        <v>265</v>
      </c>
      <c r="F80" s="4">
        <v>4990</v>
      </c>
      <c r="G80" s="5">
        <v>1</v>
      </c>
      <c r="H80" s="6">
        <v>0.08</v>
      </c>
      <c r="I80" s="7">
        <v>399.2</v>
      </c>
      <c r="J80" s="7">
        <v>4590.8</v>
      </c>
      <c r="K80" s="7">
        <v>891.69</v>
      </c>
      <c r="L80" s="2" t="s">
        <v>297</v>
      </c>
      <c r="M80" s="18" t="s">
        <v>298</v>
      </c>
      <c r="N80" s="3" t="s">
        <v>50</v>
      </c>
      <c r="O80" s="3" t="s">
        <v>63</v>
      </c>
      <c r="P80">
        <f>DATEVALUE(OnePlusSalesData[[#This Row],[order_date]])</f>
        <v>43716</v>
      </c>
      <c r="Q80" s="28">
        <f>DATEVALUE(OnePlusSalesData[[#This Row],[delivery_date]])</f>
        <v>43723</v>
      </c>
    </row>
    <row r="81" spans="1:17" ht="16" x14ac:dyDescent="0.45">
      <c r="A81" s="8" t="s">
        <v>299</v>
      </c>
      <c r="B81" s="8" t="s">
        <v>16</v>
      </c>
      <c r="C81" s="9" t="s">
        <v>33</v>
      </c>
      <c r="D81" s="9" t="s">
        <v>18</v>
      </c>
      <c r="E81" s="9" t="s">
        <v>102</v>
      </c>
      <c r="F81" s="10">
        <v>1490</v>
      </c>
      <c r="G81" s="11">
        <v>3</v>
      </c>
      <c r="H81" s="12">
        <v>0.05</v>
      </c>
      <c r="I81" s="13">
        <v>223.5</v>
      </c>
      <c r="J81" s="13">
        <v>4246.5</v>
      </c>
      <c r="K81" s="13">
        <v>871.49</v>
      </c>
      <c r="L81" s="8" t="s">
        <v>300</v>
      </c>
      <c r="M81" s="19" t="s">
        <v>301</v>
      </c>
      <c r="N81" s="9" t="s">
        <v>22</v>
      </c>
      <c r="O81" s="9" t="s">
        <v>31</v>
      </c>
      <c r="P81">
        <f>DATEVALUE(OnePlusSalesData[[#This Row],[order_date]])</f>
        <v>43204</v>
      </c>
      <c r="Q81" s="28">
        <f>DATEVALUE(OnePlusSalesData[[#This Row],[delivery_date]])</f>
        <v>43208</v>
      </c>
    </row>
    <row r="82" spans="1:17" ht="16" x14ac:dyDescent="0.45">
      <c r="A82" s="2" t="s">
        <v>302</v>
      </c>
      <c r="B82" s="2" t="s">
        <v>16</v>
      </c>
      <c r="C82" s="3" t="s">
        <v>39</v>
      </c>
      <c r="D82" s="3" t="s">
        <v>40</v>
      </c>
      <c r="E82" s="3" t="s">
        <v>60</v>
      </c>
      <c r="F82" s="4">
        <v>54999</v>
      </c>
      <c r="G82" s="5">
        <v>2</v>
      </c>
      <c r="H82" s="6">
        <v>0</v>
      </c>
      <c r="I82" s="7">
        <v>0</v>
      </c>
      <c r="J82" s="7">
        <v>109998</v>
      </c>
      <c r="K82" s="7">
        <v>26997.41</v>
      </c>
      <c r="L82" s="2" t="s">
        <v>303</v>
      </c>
      <c r="M82" s="18" t="s">
        <v>304</v>
      </c>
      <c r="N82" s="3" t="s">
        <v>92</v>
      </c>
      <c r="O82" s="3" t="s">
        <v>23</v>
      </c>
      <c r="P82">
        <f>DATEVALUE(OnePlusSalesData[[#This Row],[order_date]])</f>
        <v>43578</v>
      </c>
      <c r="Q82" s="28">
        <f>DATEVALUE(OnePlusSalesData[[#This Row],[delivery_date]])</f>
        <v>43582</v>
      </c>
    </row>
    <row r="83" spans="1:17" ht="16" x14ac:dyDescent="0.45">
      <c r="A83" s="8" t="s">
        <v>305</v>
      </c>
      <c r="B83" s="8" t="s">
        <v>16</v>
      </c>
      <c r="C83" s="9" t="s">
        <v>17</v>
      </c>
      <c r="D83" s="9" t="s">
        <v>40</v>
      </c>
      <c r="E83" s="9" t="s">
        <v>98</v>
      </c>
      <c r="F83" s="10">
        <v>34999</v>
      </c>
      <c r="G83" s="11">
        <v>1</v>
      </c>
      <c r="H83" s="12">
        <v>0.08</v>
      </c>
      <c r="I83" s="13">
        <v>2799.92</v>
      </c>
      <c r="J83" s="13">
        <v>32199.08</v>
      </c>
      <c r="K83" s="13">
        <v>7453.93</v>
      </c>
      <c r="L83" s="8" t="s">
        <v>306</v>
      </c>
      <c r="M83" s="19" t="s">
        <v>307</v>
      </c>
      <c r="N83" s="9" t="s">
        <v>50</v>
      </c>
      <c r="O83" s="9" t="s">
        <v>23</v>
      </c>
      <c r="P83">
        <f>DATEVALUE(OnePlusSalesData[[#This Row],[order_date]])</f>
        <v>43965</v>
      </c>
      <c r="Q83" s="28">
        <f>DATEVALUE(OnePlusSalesData[[#This Row],[delivery_date]])</f>
        <v>43972</v>
      </c>
    </row>
    <row r="84" spans="1:17" ht="16" x14ac:dyDescent="0.45">
      <c r="A84" s="2" t="s">
        <v>308</v>
      </c>
      <c r="B84" s="2" t="s">
        <v>52</v>
      </c>
      <c r="C84" s="3" t="s">
        <v>106</v>
      </c>
      <c r="D84" s="3" t="s">
        <v>18</v>
      </c>
      <c r="E84" s="3" t="s">
        <v>19</v>
      </c>
      <c r="F84" s="4">
        <v>1990</v>
      </c>
      <c r="G84" s="5">
        <v>2</v>
      </c>
      <c r="H84" s="6">
        <v>0</v>
      </c>
      <c r="I84" s="7">
        <v>0</v>
      </c>
      <c r="J84" s="7">
        <v>3980</v>
      </c>
      <c r="K84" s="7">
        <v>666.69</v>
      </c>
      <c r="L84" s="2" t="s">
        <v>309</v>
      </c>
      <c r="M84" s="18" t="s">
        <v>310</v>
      </c>
      <c r="N84" s="3" t="s">
        <v>92</v>
      </c>
      <c r="O84" s="3" t="s">
        <v>63</v>
      </c>
      <c r="P84">
        <f>DATEVALUE(OnePlusSalesData[[#This Row],[order_date]])</f>
        <v>43944</v>
      </c>
      <c r="Q84" s="28">
        <f>DATEVALUE(OnePlusSalesData[[#This Row],[delivery_date]])</f>
        <v>43950</v>
      </c>
    </row>
    <row r="85" spans="1:17" ht="16" x14ac:dyDescent="0.45">
      <c r="A85" s="8" t="s">
        <v>311</v>
      </c>
      <c r="B85" s="8" t="s">
        <v>52</v>
      </c>
      <c r="C85" s="9" t="s">
        <v>106</v>
      </c>
      <c r="D85" s="9" t="s">
        <v>85</v>
      </c>
      <c r="E85" s="9" t="s">
        <v>228</v>
      </c>
      <c r="F85" s="10">
        <v>5990</v>
      </c>
      <c r="G85" s="11">
        <v>1</v>
      </c>
      <c r="H85" s="12">
        <v>0.1</v>
      </c>
      <c r="I85" s="13">
        <v>599</v>
      </c>
      <c r="J85" s="13">
        <v>5391</v>
      </c>
      <c r="K85" s="13">
        <v>1375.18</v>
      </c>
      <c r="L85" s="8" t="s">
        <v>307</v>
      </c>
      <c r="M85" s="19" t="s">
        <v>312</v>
      </c>
      <c r="N85" s="9" t="s">
        <v>22</v>
      </c>
      <c r="O85" s="9" t="s">
        <v>31</v>
      </c>
      <c r="P85">
        <f>DATEVALUE(OnePlusSalesData[[#This Row],[order_date]])</f>
        <v>43972</v>
      </c>
      <c r="Q85" s="28">
        <f>DATEVALUE(OnePlusSalesData[[#This Row],[delivery_date]])</f>
        <v>43979</v>
      </c>
    </row>
    <row r="86" spans="1:17" ht="16" x14ac:dyDescent="0.45">
      <c r="A86" s="2" t="s">
        <v>313</v>
      </c>
      <c r="B86" s="2" t="s">
        <v>16</v>
      </c>
      <c r="C86" s="3" t="s">
        <v>39</v>
      </c>
      <c r="D86" s="3" t="s">
        <v>85</v>
      </c>
      <c r="E86" s="3" t="s">
        <v>86</v>
      </c>
      <c r="F86" s="4">
        <v>1999</v>
      </c>
      <c r="G86" s="5">
        <v>3</v>
      </c>
      <c r="H86" s="6">
        <v>0</v>
      </c>
      <c r="I86" s="7">
        <v>0</v>
      </c>
      <c r="J86" s="7">
        <v>5997</v>
      </c>
      <c r="K86" s="7">
        <v>912.12</v>
      </c>
      <c r="L86" s="2" t="s">
        <v>156</v>
      </c>
      <c r="M86" s="18" t="s">
        <v>314</v>
      </c>
      <c r="N86" s="3" t="s">
        <v>22</v>
      </c>
      <c r="O86" s="3" t="s">
        <v>23</v>
      </c>
      <c r="P86">
        <f>DATEVALUE(OnePlusSalesData[[#This Row],[order_date]])</f>
        <v>44093</v>
      </c>
      <c r="Q86" s="28">
        <f>DATEVALUE(OnePlusSalesData[[#This Row],[delivery_date]])</f>
        <v>44098</v>
      </c>
    </row>
    <row r="87" spans="1:17" ht="16" x14ac:dyDescent="0.45">
      <c r="A87" s="8" t="s">
        <v>315</v>
      </c>
      <c r="B87" s="8" t="s">
        <v>58</v>
      </c>
      <c r="C87" s="9" t="s">
        <v>81</v>
      </c>
      <c r="D87" s="9" t="s">
        <v>40</v>
      </c>
      <c r="E87" s="9" t="s">
        <v>41</v>
      </c>
      <c r="F87" s="10">
        <v>37999</v>
      </c>
      <c r="G87" s="11">
        <v>2</v>
      </c>
      <c r="H87" s="12">
        <v>0</v>
      </c>
      <c r="I87" s="13">
        <v>0</v>
      </c>
      <c r="J87" s="13">
        <v>75998</v>
      </c>
      <c r="K87" s="13">
        <v>15895.33</v>
      </c>
      <c r="L87" s="8" t="s">
        <v>316</v>
      </c>
      <c r="M87" s="19" t="s">
        <v>317</v>
      </c>
      <c r="N87" s="9" t="s">
        <v>92</v>
      </c>
      <c r="O87" s="9" t="s">
        <v>96</v>
      </c>
      <c r="P87">
        <f>DATEVALUE(OnePlusSalesData[[#This Row],[order_date]])</f>
        <v>44114</v>
      </c>
      <c r="Q87" s="28">
        <f>DATEVALUE(OnePlusSalesData[[#This Row],[delivery_date]])</f>
        <v>44118</v>
      </c>
    </row>
    <row r="88" spans="1:17" ht="16" x14ac:dyDescent="0.45">
      <c r="A88" s="2" t="s">
        <v>318</v>
      </c>
      <c r="B88" s="2" t="s">
        <v>58</v>
      </c>
      <c r="C88" s="3" t="s">
        <v>257</v>
      </c>
      <c r="D88" s="3" t="s">
        <v>85</v>
      </c>
      <c r="E88" s="3" t="s">
        <v>258</v>
      </c>
      <c r="F88" s="4">
        <v>2999</v>
      </c>
      <c r="G88" s="5">
        <v>1</v>
      </c>
      <c r="H88" s="6">
        <v>0</v>
      </c>
      <c r="I88" s="7">
        <v>0</v>
      </c>
      <c r="J88" s="7">
        <v>2999</v>
      </c>
      <c r="K88" s="7">
        <v>486.91</v>
      </c>
      <c r="L88" s="2" t="s">
        <v>319</v>
      </c>
      <c r="M88" s="18" t="s">
        <v>320</v>
      </c>
      <c r="N88" s="3" t="s">
        <v>22</v>
      </c>
      <c r="O88" s="3" t="s">
        <v>23</v>
      </c>
      <c r="P88">
        <f>DATEVALUE(OnePlusSalesData[[#This Row],[order_date]])</f>
        <v>44083</v>
      </c>
      <c r="Q88" s="28">
        <f>DATEVALUE(OnePlusSalesData[[#This Row],[delivery_date]])</f>
        <v>44085</v>
      </c>
    </row>
    <row r="89" spans="1:17" ht="16" x14ac:dyDescent="0.45">
      <c r="A89" s="8" t="s">
        <v>321</v>
      </c>
      <c r="B89" s="8" t="s">
        <v>25</v>
      </c>
      <c r="C89" s="9" t="s">
        <v>65</v>
      </c>
      <c r="D89" s="9" t="s">
        <v>18</v>
      </c>
      <c r="E89" s="9" t="s">
        <v>19</v>
      </c>
      <c r="F89" s="10">
        <v>1990</v>
      </c>
      <c r="G89" s="11">
        <v>1</v>
      </c>
      <c r="H89" s="12">
        <v>0.05</v>
      </c>
      <c r="I89" s="13">
        <v>99.5</v>
      </c>
      <c r="J89" s="13">
        <v>1890.5</v>
      </c>
      <c r="K89" s="13">
        <v>446.81</v>
      </c>
      <c r="L89" s="8" t="s">
        <v>322</v>
      </c>
      <c r="M89" s="19" t="s">
        <v>323</v>
      </c>
      <c r="N89" s="9" t="s">
        <v>22</v>
      </c>
      <c r="O89" s="9" t="s">
        <v>31</v>
      </c>
      <c r="P89">
        <f>DATEVALUE(OnePlusSalesData[[#This Row],[order_date]])</f>
        <v>43217</v>
      </c>
      <c r="Q89" s="28">
        <f>DATEVALUE(OnePlusSalesData[[#This Row],[delivery_date]])</f>
        <v>43220</v>
      </c>
    </row>
    <row r="90" spans="1:17" ht="16" x14ac:dyDescent="0.45">
      <c r="A90" s="2" t="s">
        <v>324</v>
      </c>
      <c r="B90" s="2" t="s">
        <v>16</v>
      </c>
      <c r="C90" s="3" t="s">
        <v>39</v>
      </c>
      <c r="D90" s="3" t="s">
        <v>40</v>
      </c>
      <c r="E90" s="3" t="s">
        <v>54</v>
      </c>
      <c r="F90" s="4">
        <v>53999</v>
      </c>
      <c r="G90" s="5">
        <v>1</v>
      </c>
      <c r="H90" s="6">
        <v>0.05</v>
      </c>
      <c r="I90" s="7">
        <v>2699.95</v>
      </c>
      <c r="J90" s="7">
        <v>51299.05</v>
      </c>
      <c r="K90" s="7">
        <v>11721.84</v>
      </c>
      <c r="L90" s="2" t="s">
        <v>325</v>
      </c>
      <c r="M90" s="18" t="s">
        <v>326</v>
      </c>
      <c r="N90" s="3" t="s">
        <v>22</v>
      </c>
      <c r="O90" s="3" t="s">
        <v>96</v>
      </c>
      <c r="P90">
        <f>DATEVALUE(OnePlusSalesData[[#This Row],[order_date]])</f>
        <v>43740</v>
      </c>
      <c r="Q90" s="28">
        <f>DATEVALUE(OnePlusSalesData[[#This Row],[delivery_date]])</f>
        <v>43744</v>
      </c>
    </row>
    <row r="91" spans="1:17" ht="16" x14ac:dyDescent="0.45">
      <c r="A91" s="8" t="s">
        <v>327</v>
      </c>
      <c r="B91" s="8" t="s">
        <v>25</v>
      </c>
      <c r="C91" s="9" t="s">
        <v>133</v>
      </c>
      <c r="D91" s="9" t="s">
        <v>40</v>
      </c>
      <c r="E91" s="9" t="s">
        <v>148</v>
      </c>
      <c r="F91" s="10">
        <v>41999</v>
      </c>
      <c r="G91" s="11">
        <v>1</v>
      </c>
      <c r="H91" s="12">
        <v>0</v>
      </c>
      <c r="I91" s="13">
        <v>0</v>
      </c>
      <c r="J91" s="13">
        <v>41999</v>
      </c>
      <c r="K91" s="13">
        <v>7449.65</v>
      </c>
      <c r="L91" s="8" t="s">
        <v>328</v>
      </c>
      <c r="M91" s="19" t="s">
        <v>329</v>
      </c>
      <c r="N91" s="9" t="s">
        <v>22</v>
      </c>
      <c r="O91" s="9" t="s">
        <v>23</v>
      </c>
      <c r="P91">
        <f>DATEVALUE(OnePlusSalesData[[#This Row],[order_date]])</f>
        <v>43385</v>
      </c>
      <c r="Q91" s="28">
        <f>DATEVALUE(OnePlusSalesData[[#This Row],[delivery_date]])</f>
        <v>43389</v>
      </c>
    </row>
    <row r="92" spans="1:17" ht="16" x14ac:dyDescent="0.45">
      <c r="A92" s="2" t="s">
        <v>330</v>
      </c>
      <c r="B92" s="2" t="s">
        <v>52</v>
      </c>
      <c r="C92" s="3" t="s">
        <v>192</v>
      </c>
      <c r="D92" s="3" t="s">
        <v>27</v>
      </c>
      <c r="E92" s="3" t="s">
        <v>159</v>
      </c>
      <c r="F92" s="4">
        <v>22999</v>
      </c>
      <c r="G92" s="5">
        <v>1</v>
      </c>
      <c r="H92" s="6">
        <v>0.08</v>
      </c>
      <c r="I92" s="7">
        <v>1839.92</v>
      </c>
      <c r="J92" s="7">
        <v>21159.08</v>
      </c>
      <c r="K92" s="7">
        <v>5147.49</v>
      </c>
      <c r="L92" s="2" t="s">
        <v>331</v>
      </c>
      <c r="M92" s="18" t="s">
        <v>332</v>
      </c>
      <c r="N92" s="3" t="s">
        <v>22</v>
      </c>
      <c r="O92" s="3" t="s">
        <v>23</v>
      </c>
      <c r="P92">
        <f>DATEVALUE(OnePlusSalesData[[#This Row],[order_date]])</f>
        <v>44187</v>
      </c>
      <c r="Q92" s="28">
        <f>DATEVALUE(OnePlusSalesData[[#This Row],[delivery_date]])</f>
        <v>44193</v>
      </c>
    </row>
    <row r="93" spans="1:17" ht="16" x14ac:dyDescent="0.45">
      <c r="A93" s="8" t="s">
        <v>333</v>
      </c>
      <c r="B93" s="8" t="s">
        <v>16</v>
      </c>
      <c r="C93" s="9" t="s">
        <v>39</v>
      </c>
      <c r="D93" s="9" t="s">
        <v>27</v>
      </c>
      <c r="E93" s="9" t="s">
        <v>176</v>
      </c>
      <c r="F93" s="10">
        <v>69900</v>
      </c>
      <c r="G93" s="11">
        <v>1</v>
      </c>
      <c r="H93" s="12">
        <v>0.05</v>
      </c>
      <c r="I93" s="13">
        <v>3495</v>
      </c>
      <c r="J93" s="13">
        <v>66405</v>
      </c>
      <c r="K93" s="13">
        <v>14276.88</v>
      </c>
      <c r="L93" s="8" t="s">
        <v>334</v>
      </c>
      <c r="M93" s="19" t="s">
        <v>335</v>
      </c>
      <c r="N93" s="9" t="s">
        <v>22</v>
      </c>
      <c r="O93" s="9" t="s">
        <v>63</v>
      </c>
      <c r="P93">
        <f>DATEVALUE(OnePlusSalesData[[#This Row],[order_date]])</f>
        <v>43386</v>
      </c>
      <c r="Q93" s="28">
        <f>DATEVALUE(OnePlusSalesData[[#This Row],[delivery_date]])</f>
        <v>43390</v>
      </c>
    </row>
    <row r="94" spans="1:17" ht="16" x14ac:dyDescent="0.45">
      <c r="A94" s="2" t="s">
        <v>336</v>
      </c>
      <c r="B94" s="2" t="s">
        <v>16</v>
      </c>
      <c r="C94" s="3" t="s">
        <v>140</v>
      </c>
      <c r="D94" s="3" t="s">
        <v>18</v>
      </c>
      <c r="E94" s="3" t="s">
        <v>102</v>
      </c>
      <c r="F94" s="4">
        <v>1490</v>
      </c>
      <c r="G94" s="5">
        <v>1</v>
      </c>
      <c r="H94" s="6">
        <v>0.08</v>
      </c>
      <c r="I94" s="7">
        <v>119.2</v>
      </c>
      <c r="J94" s="7">
        <v>1370.8</v>
      </c>
      <c r="K94" s="7">
        <v>217.45</v>
      </c>
      <c r="L94" s="2" t="s">
        <v>337</v>
      </c>
      <c r="M94" s="18" t="s">
        <v>338</v>
      </c>
      <c r="N94" s="3" t="s">
        <v>22</v>
      </c>
      <c r="O94" s="3" t="s">
        <v>23</v>
      </c>
      <c r="P94">
        <f>DATEVALUE(OnePlusSalesData[[#This Row],[order_date]])</f>
        <v>44025</v>
      </c>
      <c r="Q94" s="28">
        <f>DATEVALUE(OnePlusSalesData[[#This Row],[delivery_date]])</f>
        <v>44029</v>
      </c>
    </row>
    <row r="95" spans="1:17" ht="16" x14ac:dyDescent="0.45">
      <c r="A95" s="8" t="s">
        <v>339</v>
      </c>
      <c r="B95" s="8" t="s">
        <v>52</v>
      </c>
      <c r="C95" s="9" t="s">
        <v>106</v>
      </c>
      <c r="D95" s="9" t="s">
        <v>40</v>
      </c>
      <c r="E95" s="9" t="s">
        <v>98</v>
      </c>
      <c r="F95" s="10">
        <v>34999</v>
      </c>
      <c r="G95" s="11">
        <v>1</v>
      </c>
      <c r="H95" s="12">
        <v>0</v>
      </c>
      <c r="I95" s="13">
        <v>0</v>
      </c>
      <c r="J95" s="13">
        <v>34999</v>
      </c>
      <c r="K95" s="13">
        <v>7906.86</v>
      </c>
      <c r="L95" s="8" t="s">
        <v>340</v>
      </c>
      <c r="M95" s="19" t="s">
        <v>267</v>
      </c>
      <c r="N95" s="9" t="s">
        <v>22</v>
      </c>
      <c r="O95" s="9" t="s">
        <v>23</v>
      </c>
      <c r="P95">
        <f>DATEVALUE(OnePlusSalesData[[#This Row],[order_date]])</f>
        <v>44132</v>
      </c>
      <c r="Q95" s="28">
        <f>DATEVALUE(OnePlusSalesData[[#This Row],[delivery_date]])</f>
        <v>44134</v>
      </c>
    </row>
    <row r="96" spans="1:17" ht="16" x14ac:dyDescent="0.45">
      <c r="A96" s="2" t="s">
        <v>341</v>
      </c>
      <c r="B96" s="2" t="s">
        <v>25</v>
      </c>
      <c r="C96" s="3" t="s">
        <v>65</v>
      </c>
      <c r="D96" s="3" t="s">
        <v>40</v>
      </c>
      <c r="E96" s="3" t="s">
        <v>60</v>
      </c>
      <c r="F96" s="4">
        <v>54999</v>
      </c>
      <c r="G96" s="5">
        <v>1</v>
      </c>
      <c r="H96" s="6">
        <v>0.1</v>
      </c>
      <c r="I96" s="7">
        <v>5499.9</v>
      </c>
      <c r="J96" s="7">
        <v>49499.1</v>
      </c>
      <c r="K96" s="7">
        <v>7990.41</v>
      </c>
      <c r="L96" s="2" t="s">
        <v>342</v>
      </c>
      <c r="M96" s="18" t="s">
        <v>343</v>
      </c>
      <c r="N96" s="3" t="s">
        <v>50</v>
      </c>
      <c r="O96" s="3" t="s">
        <v>96</v>
      </c>
      <c r="P96">
        <f>DATEVALUE(OnePlusSalesData[[#This Row],[order_date]])</f>
        <v>44107</v>
      </c>
      <c r="Q96" s="28">
        <f>DATEVALUE(OnePlusSalesData[[#This Row],[delivery_date]])</f>
        <v>44110</v>
      </c>
    </row>
    <row r="97" spans="1:17" ht="16" x14ac:dyDescent="0.45">
      <c r="A97" s="8" t="s">
        <v>344</v>
      </c>
      <c r="B97" s="8" t="s">
        <v>52</v>
      </c>
      <c r="C97" s="9" t="s">
        <v>69</v>
      </c>
      <c r="D97" s="9" t="s">
        <v>18</v>
      </c>
      <c r="E97" s="9" t="s">
        <v>124</v>
      </c>
      <c r="F97" s="10">
        <v>3990</v>
      </c>
      <c r="G97" s="11">
        <v>1</v>
      </c>
      <c r="H97" s="12">
        <v>0.08</v>
      </c>
      <c r="I97" s="13">
        <v>319.2</v>
      </c>
      <c r="J97" s="13">
        <v>3670.8</v>
      </c>
      <c r="K97" s="13">
        <v>604.21</v>
      </c>
      <c r="L97" s="8" t="s">
        <v>187</v>
      </c>
      <c r="M97" s="19" t="s">
        <v>345</v>
      </c>
      <c r="N97" s="9" t="s">
        <v>22</v>
      </c>
      <c r="O97" s="9" t="s">
        <v>23</v>
      </c>
      <c r="P97">
        <f>DATEVALUE(OnePlusSalesData[[#This Row],[order_date]])</f>
        <v>43835</v>
      </c>
      <c r="Q97" s="28">
        <f>DATEVALUE(OnePlusSalesData[[#This Row],[delivery_date]])</f>
        <v>43838</v>
      </c>
    </row>
    <row r="98" spans="1:17" ht="16" x14ac:dyDescent="0.45">
      <c r="A98" s="2" t="s">
        <v>346</v>
      </c>
      <c r="B98" s="2" t="s">
        <v>25</v>
      </c>
      <c r="C98" s="3" t="s">
        <v>26</v>
      </c>
      <c r="D98" s="3" t="s">
        <v>18</v>
      </c>
      <c r="E98" s="3" t="s">
        <v>124</v>
      </c>
      <c r="F98" s="4">
        <v>3990</v>
      </c>
      <c r="G98" s="5">
        <v>1</v>
      </c>
      <c r="H98" s="6">
        <v>0.08</v>
      </c>
      <c r="I98" s="7">
        <v>319.2</v>
      </c>
      <c r="J98" s="7">
        <v>3670.8</v>
      </c>
      <c r="K98" s="7">
        <v>699.55</v>
      </c>
      <c r="L98" s="2" t="s">
        <v>347</v>
      </c>
      <c r="M98" s="18" t="s">
        <v>177</v>
      </c>
      <c r="N98" s="3" t="s">
        <v>50</v>
      </c>
      <c r="O98" s="3" t="s">
        <v>23</v>
      </c>
      <c r="P98">
        <f>DATEVALUE(OnePlusSalesData[[#This Row],[order_date]])</f>
        <v>43614</v>
      </c>
      <c r="Q98" s="28">
        <f>DATEVALUE(OnePlusSalesData[[#This Row],[delivery_date]])</f>
        <v>43616</v>
      </c>
    </row>
    <row r="99" spans="1:17" ht="16" x14ac:dyDescent="0.45">
      <c r="A99" s="8" t="s">
        <v>348</v>
      </c>
      <c r="B99" s="8" t="s">
        <v>25</v>
      </c>
      <c r="C99" s="9" t="s">
        <v>172</v>
      </c>
      <c r="D99" s="9" t="s">
        <v>40</v>
      </c>
      <c r="E99" s="9" t="s">
        <v>73</v>
      </c>
      <c r="F99" s="10">
        <v>32999</v>
      </c>
      <c r="G99" s="11">
        <v>1</v>
      </c>
      <c r="H99" s="12">
        <v>0.05</v>
      </c>
      <c r="I99" s="13">
        <v>1649.95</v>
      </c>
      <c r="J99" s="13">
        <v>31349.05</v>
      </c>
      <c r="K99" s="13">
        <v>6736.84</v>
      </c>
      <c r="L99" s="8" t="s">
        <v>349</v>
      </c>
      <c r="M99" s="19" t="s">
        <v>350</v>
      </c>
      <c r="N99" s="9" t="s">
        <v>22</v>
      </c>
      <c r="O99" s="9" t="s">
        <v>146</v>
      </c>
      <c r="P99">
        <f>DATEVALUE(OnePlusSalesData[[#This Row],[order_date]])</f>
        <v>44034</v>
      </c>
      <c r="Q99" s="28">
        <f>DATEVALUE(OnePlusSalesData[[#This Row],[delivery_date]])</f>
        <v>44041</v>
      </c>
    </row>
    <row r="100" spans="1:17" ht="16" x14ac:dyDescent="0.45">
      <c r="A100" s="2" t="s">
        <v>351</v>
      </c>
      <c r="B100" s="2" t="s">
        <v>25</v>
      </c>
      <c r="C100" s="3" t="s">
        <v>172</v>
      </c>
      <c r="D100" s="3" t="s">
        <v>85</v>
      </c>
      <c r="E100" s="3" t="s">
        <v>86</v>
      </c>
      <c r="F100" s="4">
        <v>1999</v>
      </c>
      <c r="G100" s="5">
        <v>1</v>
      </c>
      <c r="H100" s="6">
        <v>0.1</v>
      </c>
      <c r="I100" s="7">
        <v>199.9</v>
      </c>
      <c r="J100" s="7">
        <v>1799.1</v>
      </c>
      <c r="K100" s="7">
        <v>357.11</v>
      </c>
      <c r="L100" s="2" t="s">
        <v>352</v>
      </c>
      <c r="M100" s="18" t="s">
        <v>353</v>
      </c>
      <c r="N100" s="3" t="s">
        <v>22</v>
      </c>
      <c r="O100" s="3" t="s">
        <v>31</v>
      </c>
      <c r="P100">
        <f>DATEVALUE(OnePlusSalesData[[#This Row],[order_date]])</f>
        <v>43228</v>
      </c>
      <c r="Q100" s="28">
        <f>DATEVALUE(OnePlusSalesData[[#This Row],[delivery_date]])</f>
        <v>43230</v>
      </c>
    </row>
    <row r="101" spans="1:17" ht="16" x14ac:dyDescent="0.45">
      <c r="A101" s="8" t="s">
        <v>354</v>
      </c>
      <c r="B101" s="8" t="s">
        <v>52</v>
      </c>
      <c r="C101" s="9" t="s">
        <v>53</v>
      </c>
      <c r="D101" s="9" t="s">
        <v>85</v>
      </c>
      <c r="E101" s="9" t="s">
        <v>265</v>
      </c>
      <c r="F101" s="10">
        <v>4990</v>
      </c>
      <c r="G101" s="11">
        <v>1</v>
      </c>
      <c r="H101" s="12">
        <v>0</v>
      </c>
      <c r="I101" s="13">
        <v>0</v>
      </c>
      <c r="J101" s="13">
        <v>4990</v>
      </c>
      <c r="K101" s="13">
        <v>1084.8599999999999</v>
      </c>
      <c r="L101" s="8" t="s">
        <v>355</v>
      </c>
      <c r="M101" s="19" t="s">
        <v>356</v>
      </c>
      <c r="N101" s="9" t="s">
        <v>22</v>
      </c>
      <c r="O101" s="9" t="s">
        <v>96</v>
      </c>
      <c r="P101">
        <f>DATEVALUE(OnePlusSalesData[[#This Row],[order_date]])</f>
        <v>43594</v>
      </c>
      <c r="Q101" s="28">
        <f>DATEVALUE(OnePlusSalesData[[#This Row],[delivery_date]])</f>
        <v>43599</v>
      </c>
    </row>
    <row r="102" spans="1:17" ht="16" x14ac:dyDescent="0.45">
      <c r="A102" s="2" t="s">
        <v>357</v>
      </c>
      <c r="B102" s="2" t="s">
        <v>52</v>
      </c>
      <c r="C102" s="3" t="s">
        <v>358</v>
      </c>
      <c r="D102" s="3" t="s">
        <v>85</v>
      </c>
      <c r="E102" s="3" t="s">
        <v>228</v>
      </c>
      <c r="F102" s="4">
        <v>5990</v>
      </c>
      <c r="G102" s="5">
        <v>3</v>
      </c>
      <c r="H102" s="6">
        <v>0.05</v>
      </c>
      <c r="I102" s="7">
        <v>898.5</v>
      </c>
      <c r="J102" s="7">
        <v>17071.5</v>
      </c>
      <c r="K102" s="7">
        <v>4059.71</v>
      </c>
      <c r="L102" s="2" t="s">
        <v>359</v>
      </c>
      <c r="M102" s="18" t="s">
        <v>360</v>
      </c>
      <c r="N102" s="3" t="s">
        <v>22</v>
      </c>
      <c r="O102" s="3" t="s">
        <v>31</v>
      </c>
      <c r="P102">
        <f>DATEVALUE(OnePlusSalesData[[#This Row],[order_date]])</f>
        <v>43141</v>
      </c>
      <c r="Q102" s="28">
        <f>DATEVALUE(OnePlusSalesData[[#This Row],[delivery_date]])</f>
        <v>43148</v>
      </c>
    </row>
    <row r="103" spans="1:17" ht="16" x14ac:dyDescent="0.45">
      <c r="A103" s="8" t="s">
        <v>361</v>
      </c>
      <c r="B103" s="8" t="s">
        <v>16</v>
      </c>
      <c r="C103" s="9" t="s">
        <v>152</v>
      </c>
      <c r="D103" s="9" t="s">
        <v>27</v>
      </c>
      <c r="E103" s="9" t="s">
        <v>28</v>
      </c>
      <c r="F103" s="10">
        <v>12999</v>
      </c>
      <c r="G103" s="11">
        <v>1</v>
      </c>
      <c r="H103" s="12">
        <v>0</v>
      </c>
      <c r="I103" s="13">
        <v>0</v>
      </c>
      <c r="J103" s="13">
        <v>12999</v>
      </c>
      <c r="K103" s="13">
        <v>3223.78</v>
      </c>
      <c r="L103" s="8" t="s">
        <v>281</v>
      </c>
      <c r="M103" s="19" t="s">
        <v>362</v>
      </c>
      <c r="N103" s="9" t="s">
        <v>22</v>
      </c>
      <c r="O103" s="9" t="s">
        <v>63</v>
      </c>
      <c r="P103">
        <f>DATEVALUE(OnePlusSalesData[[#This Row],[order_date]])</f>
        <v>43746</v>
      </c>
      <c r="Q103" s="28">
        <f>DATEVALUE(OnePlusSalesData[[#This Row],[delivery_date]])</f>
        <v>43750</v>
      </c>
    </row>
    <row r="104" spans="1:17" ht="16" x14ac:dyDescent="0.45">
      <c r="A104" s="2" t="s">
        <v>363</v>
      </c>
      <c r="B104" s="2" t="s">
        <v>52</v>
      </c>
      <c r="C104" s="3" t="s">
        <v>53</v>
      </c>
      <c r="D104" s="3" t="s">
        <v>85</v>
      </c>
      <c r="E104" s="3" t="s">
        <v>265</v>
      </c>
      <c r="F104" s="4">
        <v>4990</v>
      </c>
      <c r="G104" s="5">
        <v>3</v>
      </c>
      <c r="H104" s="6">
        <v>0.05</v>
      </c>
      <c r="I104" s="7">
        <v>748.5</v>
      </c>
      <c r="J104" s="7">
        <v>14221.5</v>
      </c>
      <c r="K104" s="7">
        <v>3306.63</v>
      </c>
      <c r="L104" s="2" t="s">
        <v>353</v>
      </c>
      <c r="M104" s="18" t="s">
        <v>364</v>
      </c>
      <c r="N104" s="3" t="s">
        <v>44</v>
      </c>
      <c r="O104" s="3" t="s">
        <v>23</v>
      </c>
      <c r="P104">
        <f>DATEVALUE(OnePlusSalesData[[#This Row],[order_date]])</f>
        <v>43230</v>
      </c>
      <c r="Q104" s="28">
        <f>DATEVALUE(OnePlusSalesData[[#This Row],[delivery_date]])</f>
        <v>43235</v>
      </c>
    </row>
    <row r="105" spans="1:17" ht="16" x14ac:dyDescent="0.45">
      <c r="A105" s="8" t="s">
        <v>365</v>
      </c>
      <c r="B105" s="8" t="s">
        <v>25</v>
      </c>
      <c r="C105" s="9" t="s">
        <v>26</v>
      </c>
      <c r="D105" s="9" t="s">
        <v>27</v>
      </c>
      <c r="E105" s="9" t="s">
        <v>28</v>
      </c>
      <c r="F105" s="10">
        <v>12999</v>
      </c>
      <c r="G105" s="11">
        <v>1</v>
      </c>
      <c r="H105" s="12">
        <v>0.12</v>
      </c>
      <c r="I105" s="13">
        <v>1559.88</v>
      </c>
      <c r="J105" s="13">
        <v>11439.12</v>
      </c>
      <c r="K105" s="13">
        <v>2591.92</v>
      </c>
      <c r="L105" s="8" t="s">
        <v>366</v>
      </c>
      <c r="M105" s="19" t="s">
        <v>367</v>
      </c>
      <c r="N105" s="9" t="s">
        <v>44</v>
      </c>
      <c r="O105" s="9" t="s">
        <v>31</v>
      </c>
      <c r="P105">
        <f>DATEVALUE(OnePlusSalesData[[#This Row],[order_date]])</f>
        <v>43844</v>
      </c>
      <c r="Q105" s="28">
        <f>DATEVALUE(OnePlusSalesData[[#This Row],[delivery_date]])</f>
        <v>43848</v>
      </c>
    </row>
    <row r="106" spans="1:17" ht="16" x14ac:dyDescent="0.45">
      <c r="A106" s="2" t="s">
        <v>368</v>
      </c>
      <c r="B106" s="2" t="s">
        <v>58</v>
      </c>
      <c r="C106" s="3" t="s">
        <v>81</v>
      </c>
      <c r="D106" s="3" t="s">
        <v>40</v>
      </c>
      <c r="E106" s="3" t="s">
        <v>98</v>
      </c>
      <c r="F106" s="4">
        <v>34999</v>
      </c>
      <c r="G106" s="5">
        <v>1</v>
      </c>
      <c r="H106" s="6">
        <v>0.05</v>
      </c>
      <c r="I106" s="7">
        <v>1749.95</v>
      </c>
      <c r="J106" s="7">
        <v>33249.050000000003</v>
      </c>
      <c r="K106" s="7">
        <v>5301.28</v>
      </c>
      <c r="L106" s="2" t="s">
        <v>36</v>
      </c>
      <c r="M106" s="18" t="s">
        <v>369</v>
      </c>
      <c r="N106" s="3" t="s">
        <v>22</v>
      </c>
      <c r="O106" s="3" t="s">
        <v>23</v>
      </c>
      <c r="P106">
        <f>DATEVALUE(OnePlusSalesData[[#This Row],[order_date]])</f>
        <v>44058</v>
      </c>
      <c r="Q106" s="28">
        <f>DATEVALUE(OnePlusSalesData[[#This Row],[delivery_date]])</f>
        <v>44062</v>
      </c>
    </row>
    <row r="107" spans="1:17" ht="16" x14ac:dyDescent="0.45">
      <c r="A107" s="8" t="s">
        <v>370</v>
      </c>
      <c r="B107" s="8" t="s">
        <v>52</v>
      </c>
      <c r="C107" s="9" t="s">
        <v>358</v>
      </c>
      <c r="D107" s="9" t="s">
        <v>34</v>
      </c>
      <c r="E107" s="9" t="s">
        <v>77</v>
      </c>
      <c r="F107" s="10">
        <v>24999</v>
      </c>
      <c r="G107" s="11">
        <v>1</v>
      </c>
      <c r="H107" s="12">
        <v>0.08</v>
      </c>
      <c r="I107" s="13">
        <v>1999.92</v>
      </c>
      <c r="J107" s="13">
        <v>22999.08</v>
      </c>
      <c r="K107" s="13">
        <v>4587.37</v>
      </c>
      <c r="L107" s="8" t="s">
        <v>371</v>
      </c>
      <c r="M107" s="19" t="s">
        <v>372</v>
      </c>
      <c r="N107" s="9" t="s">
        <v>22</v>
      </c>
      <c r="O107" s="9" t="s">
        <v>23</v>
      </c>
      <c r="P107">
        <f>DATEVALUE(OnePlusSalesData[[#This Row],[order_date]])</f>
        <v>44039</v>
      </c>
      <c r="Q107" s="28">
        <f>DATEVALUE(OnePlusSalesData[[#This Row],[delivery_date]])</f>
        <v>44042</v>
      </c>
    </row>
    <row r="108" spans="1:17" ht="16" x14ac:dyDescent="0.45">
      <c r="A108" s="2" t="s">
        <v>373</v>
      </c>
      <c r="B108" s="2" t="s">
        <v>25</v>
      </c>
      <c r="C108" s="3" t="s">
        <v>120</v>
      </c>
      <c r="D108" s="3" t="s">
        <v>85</v>
      </c>
      <c r="E108" s="3" t="s">
        <v>86</v>
      </c>
      <c r="F108" s="4">
        <v>1999</v>
      </c>
      <c r="G108" s="5">
        <v>4</v>
      </c>
      <c r="H108" s="6">
        <v>0</v>
      </c>
      <c r="I108" s="7">
        <v>0</v>
      </c>
      <c r="J108" s="7">
        <v>7996</v>
      </c>
      <c r="K108" s="7">
        <v>1218.3599999999999</v>
      </c>
      <c r="L108" s="2" t="s">
        <v>374</v>
      </c>
      <c r="M108" s="18" t="s">
        <v>181</v>
      </c>
      <c r="N108" s="3" t="s">
        <v>50</v>
      </c>
      <c r="O108" s="3" t="s">
        <v>23</v>
      </c>
      <c r="P108">
        <f>DATEVALUE(OnePlusSalesData[[#This Row],[order_date]])</f>
        <v>44168</v>
      </c>
      <c r="Q108" s="28">
        <f>DATEVALUE(OnePlusSalesData[[#This Row],[delivery_date]])</f>
        <v>44172</v>
      </c>
    </row>
    <row r="109" spans="1:17" ht="16" x14ac:dyDescent="0.45">
      <c r="A109" s="8" t="s">
        <v>375</v>
      </c>
      <c r="B109" s="8" t="s">
        <v>58</v>
      </c>
      <c r="C109" s="9" t="s">
        <v>257</v>
      </c>
      <c r="D109" s="9" t="s">
        <v>18</v>
      </c>
      <c r="E109" s="9" t="s">
        <v>19</v>
      </c>
      <c r="F109" s="10">
        <v>1990</v>
      </c>
      <c r="G109" s="11">
        <v>1</v>
      </c>
      <c r="H109" s="12">
        <v>0.12</v>
      </c>
      <c r="I109" s="13">
        <v>238.8</v>
      </c>
      <c r="J109" s="13">
        <v>1751.2</v>
      </c>
      <c r="K109" s="13">
        <v>404.54</v>
      </c>
      <c r="L109" s="8" t="s">
        <v>376</v>
      </c>
      <c r="M109" s="19" t="s">
        <v>377</v>
      </c>
      <c r="N109" s="9" t="s">
        <v>92</v>
      </c>
      <c r="O109" s="9" t="s">
        <v>63</v>
      </c>
      <c r="P109">
        <f>DATEVALUE(OnePlusSalesData[[#This Row],[order_date]])</f>
        <v>43761</v>
      </c>
      <c r="Q109" s="28">
        <f>DATEVALUE(OnePlusSalesData[[#This Row],[delivery_date]])</f>
        <v>43763</v>
      </c>
    </row>
    <row r="110" spans="1:17" ht="16" x14ac:dyDescent="0.45">
      <c r="A110" s="2" t="s">
        <v>378</v>
      </c>
      <c r="B110" s="2" t="s">
        <v>52</v>
      </c>
      <c r="C110" s="3" t="s">
        <v>192</v>
      </c>
      <c r="D110" s="3" t="s">
        <v>18</v>
      </c>
      <c r="E110" s="3" t="s">
        <v>179</v>
      </c>
      <c r="F110" s="4">
        <v>1290</v>
      </c>
      <c r="G110" s="5">
        <v>1</v>
      </c>
      <c r="H110" s="6">
        <v>0</v>
      </c>
      <c r="I110" s="7">
        <v>0</v>
      </c>
      <c r="J110" s="7">
        <v>1290</v>
      </c>
      <c r="K110" s="7">
        <v>333.49</v>
      </c>
      <c r="L110" s="2" t="s">
        <v>259</v>
      </c>
      <c r="M110" s="18" t="s">
        <v>379</v>
      </c>
      <c r="N110" s="3" t="s">
        <v>22</v>
      </c>
      <c r="O110" s="3" t="s">
        <v>96</v>
      </c>
      <c r="P110">
        <f>DATEVALUE(OnePlusSalesData[[#This Row],[order_date]])</f>
        <v>43147</v>
      </c>
      <c r="Q110" s="28">
        <f>DATEVALUE(OnePlusSalesData[[#This Row],[delivery_date]])</f>
        <v>43150</v>
      </c>
    </row>
    <row r="111" spans="1:17" ht="16" x14ac:dyDescent="0.45">
      <c r="A111" s="8" t="s">
        <v>380</v>
      </c>
      <c r="B111" s="8" t="s">
        <v>16</v>
      </c>
      <c r="C111" s="9" t="s">
        <v>140</v>
      </c>
      <c r="D111" s="9" t="s">
        <v>40</v>
      </c>
      <c r="E111" s="9" t="s">
        <v>148</v>
      </c>
      <c r="F111" s="10">
        <v>41999</v>
      </c>
      <c r="G111" s="11">
        <v>1</v>
      </c>
      <c r="H111" s="12">
        <v>0.08</v>
      </c>
      <c r="I111" s="13">
        <v>3359.92</v>
      </c>
      <c r="J111" s="13">
        <v>38639.08</v>
      </c>
      <c r="K111" s="13">
        <v>6788.19</v>
      </c>
      <c r="L111" s="8" t="s">
        <v>381</v>
      </c>
      <c r="M111" s="19" t="s">
        <v>235</v>
      </c>
      <c r="N111" s="9" t="s">
        <v>22</v>
      </c>
      <c r="O111" s="9" t="s">
        <v>63</v>
      </c>
      <c r="P111">
        <f>DATEVALUE(OnePlusSalesData[[#This Row],[order_date]])</f>
        <v>43788</v>
      </c>
      <c r="Q111" s="28">
        <f>DATEVALUE(OnePlusSalesData[[#This Row],[delivery_date]])</f>
        <v>43791</v>
      </c>
    </row>
    <row r="112" spans="1:17" ht="16" x14ac:dyDescent="0.45">
      <c r="A112" s="2" t="s">
        <v>382</v>
      </c>
      <c r="B112" s="2" t="s">
        <v>52</v>
      </c>
      <c r="C112" s="3" t="s">
        <v>106</v>
      </c>
      <c r="D112" s="3" t="s">
        <v>40</v>
      </c>
      <c r="E112" s="3" t="s">
        <v>148</v>
      </c>
      <c r="F112" s="4">
        <v>41999</v>
      </c>
      <c r="G112" s="5">
        <v>1</v>
      </c>
      <c r="H112" s="6">
        <v>0.05</v>
      </c>
      <c r="I112" s="7">
        <v>2099.9499999999998</v>
      </c>
      <c r="J112" s="7">
        <v>39899.050000000003</v>
      </c>
      <c r="K112" s="7">
        <v>8671.8799999999992</v>
      </c>
      <c r="L112" s="2" t="s">
        <v>383</v>
      </c>
      <c r="M112" s="18" t="s">
        <v>384</v>
      </c>
      <c r="N112" s="3" t="s">
        <v>22</v>
      </c>
      <c r="O112" s="3" t="s">
        <v>23</v>
      </c>
      <c r="P112">
        <f>DATEVALUE(OnePlusSalesData[[#This Row],[order_date]])</f>
        <v>44095</v>
      </c>
      <c r="Q112" s="28">
        <f>DATEVALUE(OnePlusSalesData[[#This Row],[delivery_date]])</f>
        <v>44100</v>
      </c>
    </row>
    <row r="113" spans="1:17" ht="16" x14ac:dyDescent="0.45">
      <c r="A113" s="8" t="s">
        <v>385</v>
      </c>
      <c r="B113" s="8" t="s">
        <v>52</v>
      </c>
      <c r="C113" s="9" t="s">
        <v>53</v>
      </c>
      <c r="D113" s="9" t="s">
        <v>85</v>
      </c>
      <c r="E113" s="9" t="s">
        <v>86</v>
      </c>
      <c r="F113" s="10">
        <v>1999</v>
      </c>
      <c r="G113" s="11">
        <v>1</v>
      </c>
      <c r="H113" s="12">
        <v>0.1</v>
      </c>
      <c r="I113" s="13">
        <v>199.9</v>
      </c>
      <c r="J113" s="13">
        <v>1799.1</v>
      </c>
      <c r="K113" s="13">
        <v>368.11</v>
      </c>
      <c r="L113" s="8" t="s">
        <v>386</v>
      </c>
      <c r="M113" s="19" t="s">
        <v>387</v>
      </c>
      <c r="N113" s="9" t="s">
        <v>92</v>
      </c>
      <c r="O113" s="9" t="s">
        <v>31</v>
      </c>
      <c r="P113">
        <f>DATEVALUE(OnePlusSalesData[[#This Row],[order_date]])</f>
        <v>44082</v>
      </c>
      <c r="Q113" s="28">
        <f>DATEVALUE(OnePlusSalesData[[#This Row],[delivery_date]])</f>
        <v>44084</v>
      </c>
    </row>
    <row r="114" spans="1:17" ht="16" x14ac:dyDescent="0.45">
      <c r="A114" s="2" t="s">
        <v>388</v>
      </c>
      <c r="B114" s="2" t="s">
        <v>16</v>
      </c>
      <c r="C114" s="3" t="s">
        <v>152</v>
      </c>
      <c r="D114" s="3" t="s">
        <v>40</v>
      </c>
      <c r="E114" s="3" t="s">
        <v>47</v>
      </c>
      <c r="F114" s="4">
        <v>37999</v>
      </c>
      <c r="G114" s="5">
        <v>1</v>
      </c>
      <c r="H114" s="6">
        <v>0.1</v>
      </c>
      <c r="I114" s="7">
        <v>3799.9</v>
      </c>
      <c r="J114" s="7">
        <v>34199.1</v>
      </c>
      <c r="K114" s="7">
        <v>4875.16</v>
      </c>
      <c r="L114" s="2" t="s">
        <v>144</v>
      </c>
      <c r="M114" s="18" t="s">
        <v>389</v>
      </c>
      <c r="N114" s="3" t="s">
        <v>22</v>
      </c>
      <c r="O114" s="3" t="s">
        <v>96</v>
      </c>
      <c r="P114">
        <f>DATEVALUE(OnePlusSalesData[[#This Row],[order_date]])</f>
        <v>43859</v>
      </c>
      <c r="Q114" s="28">
        <f>DATEVALUE(OnePlusSalesData[[#This Row],[delivery_date]])</f>
        <v>43865</v>
      </c>
    </row>
    <row r="115" spans="1:17" ht="16" x14ac:dyDescent="0.45">
      <c r="A115" s="8" t="s">
        <v>390</v>
      </c>
      <c r="B115" s="8" t="s">
        <v>52</v>
      </c>
      <c r="C115" s="9" t="s">
        <v>106</v>
      </c>
      <c r="D115" s="9" t="s">
        <v>18</v>
      </c>
      <c r="E115" s="9" t="s">
        <v>102</v>
      </c>
      <c r="F115" s="10">
        <v>1490</v>
      </c>
      <c r="G115" s="11">
        <v>1</v>
      </c>
      <c r="H115" s="12">
        <v>0.05</v>
      </c>
      <c r="I115" s="13">
        <v>74.5</v>
      </c>
      <c r="J115" s="13">
        <v>1415.5</v>
      </c>
      <c r="K115" s="13">
        <v>304.76</v>
      </c>
      <c r="L115" s="8" t="s">
        <v>391</v>
      </c>
      <c r="M115" s="19" t="s">
        <v>292</v>
      </c>
      <c r="N115" s="9" t="s">
        <v>22</v>
      </c>
      <c r="O115" s="9" t="s">
        <v>23</v>
      </c>
      <c r="P115">
        <f>DATEVALUE(OnePlusSalesData[[#This Row],[order_date]])</f>
        <v>43477</v>
      </c>
      <c r="Q115" s="28">
        <f>DATEVALUE(OnePlusSalesData[[#This Row],[delivery_date]])</f>
        <v>43480</v>
      </c>
    </row>
    <row r="116" spans="1:17" ht="16" x14ac:dyDescent="0.45">
      <c r="A116" s="2" t="s">
        <v>392</v>
      </c>
      <c r="B116" s="2" t="s">
        <v>16</v>
      </c>
      <c r="C116" s="3" t="s">
        <v>33</v>
      </c>
      <c r="D116" s="3" t="s">
        <v>18</v>
      </c>
      <c r="E116" s="3" t="s">
        <v>102</v>
      </c>
      <c r="F116" s="4">
        <v>1490</v>
      </c>
      <c r="G116" s="5">
        <v>1</v>
      </c>
      <c r="H116" s="6">
        <v>0.05</v>
      </c>
      <c r="I116" s="7">
        <v>74.5</v>
      </c>
      <c r="J116" s="7">
        <v>1415.5</v>
      </c>
      <c r="K116" s="7">
        <v>246.96</v>
      </c>
      <c r="L116" s="2" t="s">
        <v>91</v>
      </c>
      <c r="M116" s="18" t="s">
        <v>289</v>
      </c>
      <c r="N116" s="3" t="s">
        <v>22</v>
      </c>
      <c r="O116" s="3" t="s">
        <v>23</v>
      </c>
      <c r="P116">
        <f>DATEVALUE(OnePlusSalesData[[#This Row],[order_date]])</f>
        <v>43424</v>
      </c>
      <c r="Q116" s="28">
        <f>DATEVALUE(OnePlusSalesData[[#This Row],[delivery_date]])</f>
        <v>43427</v>
      </c>
    </row>
    <row r="117" spans="1:17" ht="16" x14ac:dyDescent="0.45">
      <c r="A117" s="8" t="s">
        <v>393</v>
      </c>
      <c r="B117" s="8" t="s">
        <v>25</v>
      </c>
      <c r="C117" s="9" t="s">
        <v>133</v>
      </c>
      <c r="D117" s="9" t="s">
        <v>18</v>
      </c>
      <c r="E117" s="9" t="s">
        <v>19</v>
      </c>
      <c r="F117" s="10">
        <v>1990</v>
      </c>
      <c r="G117" s="11">
        <v>1</v>
      </c>
      <c r="H117" s="12">
        <v>0.08</v>
      </c>
      <c r="I117" s="13">
        <v>159.19999999999999</v>
      </c>
      <c r="J117" s="13">
        <v>1830.8</v>
      </c>
      <c r="K117" s="13">
        <v>304.26</v>
      </c>
      <c r="L117" s="8" t="s">
        <v>394</v>
      </c>
      <c r="M117" s="19" t="s">
        <v>395</v>
      </c>
      <c r="N117" s="9" t="s">
        <v>22</v>
      </c>
      <c r="O117" s="9" t="s">
        <v>31</v>
      </c>
      <c r="P117">
        <f>DATEVALUE(OnePlusSalesData[[#This Row],[order_date]])</f>
        <v>43161</v>
      </c>
      <c r="Q117" s="28">
        <f>DATEVALUE(OnePlusSalesData[[#This Row],[delivery_date]])</f>
        <v>43167</v>
      </c>
    </row>
    <row r="118" spans="1:17" ht="16" x14ac:dyDescent="0.45">
      <c r="A118" s="2" t="s">
        <v>396</v>
      </c>
      <c r="B118" s="2" t="s">
        <v>58</v>
      </c>
      <c r="C118" s="3" t="s">
        <v>221</v>
      </c>
      <c r="D118" s="3" t="s">
        <v>85</v>
      </c>
      <c r="E118" s="3" t="s">
        <v>265</v>
      </c>
      <c r="F118" s="4">
        <v>4990</v>
      </c>
      <c r="G118" s="5">
        <v>5</v>
      </c>
      <c r="H118" s="6">
        <v>0.08</v>
      </c>
      <c r="I118" s="7">
        <v>1996</v>
      </c>
      <c r="J118" s="7">
        <v>22954</v>
      </c>
      <c r="K118" s="7">
        <v>3392.56</v>
      </c>
      <c r="L118" s="2" t="s">
        <v>397</v>
      </c>
      <c r="M118" s="18" t="s">
        <v>398</v>
      </c>
      <c r="N118" s="3" t="s">
        <v>22</v>
      </c>
      <c r="O118" s="3" t="s">
        <v>23</v>
      </c>
      <c r="P118">
        <f>DATEVALUE(OnePlusSalesData[[#This Row],[order_date]])</f>
        <v>43985</v>
      </c>
      <c r="Q118" s="28">
        <f>DATEVALUE(OnePlusSalesData[[#This Row],[delivery_date]])</f>
        <v>43989</v>
      </c>
    </row>
    <row r="119" spans="1:17" ht="16" x14ac:dyDescent="0.45">
      <c r="A119" s="8" t="s">
        <v>399</v>
      </c>
      <c r="B119" s="8" t="s">
        <v>25</v>
      </c>
      <c r="C119" s="9" t="s">
        <v>172</v>
      </c>
      <c r="D119" s="9" t="s">
        <v>34</v>
      </c>
      <c r="E119" s="9" t="s">
        <v>77</v>
      </c>
      <c r="F119" s="10">
        <v>24999</v>
      </c>
      <c r="G119" s="11">
        <v>1</v>
      </c>
      <c r="H119" s="12">
        <v>0.1</v>
      </c>
      <c r="I119" s="13">
        <v>2499.9</v>
      </c>
      <c r="J119" s="13">
        <v>22499.1</v>
      </c>
      <c r="K119" s="13">
        <v>4095.17</v>
      </c>
      <c r="L119" s="8" t="s">
        <v>400</v>
      </c>
      <c r="M119" s="19" t="s">
        <v>401</v>
      </c>
      <c r="N119" s="9" t="s">
        <v>22</v>
      </c>
      <c r="O119" s="9" t="s">
        <v>63</v>
      </c>
      <c r="P119">
        <f>DATEVALUE(OnePlusSalesData[[#This Row],[order_date]])</f>
        <v>43154</v>
      </c>
      <c r="Q119" s="28">
        <f>DATEVALUE(OnePlusSalesData[[#This Row],[delivery_date]])</f>
        <v>43156</v>
      </c>
    </row>
    <row r="120" spans="1:17" ht="16" x14ac:dyDescent="0.45">
      <c r="A120" s="2" t="s">
        <v>402</v>
      </c>
      <c r="B120" s="2" t="s">
        <v>16</v>
      </c>
      <c r="C120" s="3" t="s">
        <v>39</v>
      </c>
      <c r="D120" s="3" t="s">
        <v>34</v>
      </c>
      <c r="E120" s="3" t="s">
        <v>35</v>
      </c>
      <c r="F120" s="4">
        <v>19999</v>
      </c>
      <c r="G120" s="5">
        <v>1</v>
      </c>
      <c r="H120" s="6">
        <v>0.05</v>
      </c>
      <c r="I120" s="7">
        <v>999.95</v>
      </c>
      <c r="J120" s="7">
        <v>18999.05</v>
      </c>
      <c r="K120" s="7">
        <v>4931.3999999999996</v>
      </c>
      <c r="L120" s="2" t="s">
        <v>403</v>
      </c>
      <c r="M120" s="18" t="s">
        <v>404</v>
      </c>
      <c r="N120" s="3" t="s">
        <v>22</v>
      </c>
      <c r="O120" s="3" t="s">
        <v>23</v>
      </c>
      <c r="P120">
        <f>DATEVALUE(OnePlusSalesData[[#This Row],[order_date]])</f>
        <v>43103</v>
      </c>
      <c r="Q120" s="28">
        <f>DATEVALUE(OnePlusSalesData[[#This Row],[delivery_date]])</f>
        <v>43107</v>
      </c>
    </row>
    <row r="121" spans="1:17" ht="16" x14ac:dyDescent="0.45">
      <c r="A121" s="8" t="s">
        <v>405</v>
      </c>
      <c r="B121" s="8" t="s">
        <v>16</v>
      </c>
      <c r="C121" s="9" t="s">
        <v>33</v>
      </c>
      <c r="D121" s="9" t="s">
        <v>40</v>
      </c>
      <c r="E121" s="9" t="s">
        <v>406</v>
      </c>
      <c r="F121" s="10">
        <v>48999</v>
      </c>
      <c r="G121" s="11">
        <v>1</v>
      </c>
      <c r="H121" s="12">
        <v>0</v>
      </c>
      <c r="I121" s="13">
        <v>0</v>
      </c>
      <c r="J121" s="13">
        <v>48999</v>
      </c>
      <c r="K121" s="13">
        <v>12019.22</v>
      </c>
      <c r="L121" s="8" t="s">
        <v>407</v>
      </c>
      <c r="M121" s="19" t="s">
        <v>325</v>
      </c>
      <c r="N121" s="9" t="s">
        <v>22</v>
      </c>
      <c r="O121" s="9" t="s">
        <v>23</v>
      </c>
      <c r="P121">
        <f>DATEVALUE(OnePlusSalesData[[#This Row],[order_date]])</f>
        <v>43735</v>
      </c>
      <c r="Q121" s="28">
        <f>DATEVALUE(OnePlusSalesData[[#This Row],[delivery_date]])</f>
        <v>43740</v>
      </c>
    </row>
    <row r="122" spans="1:17" ht="16" x14ac:dyDescent="0.45">
      <c r="A122" s="2" t="s">
        <v>408</v>
      </c>
      <c r="B122" s="2" t="s">
        <v>58</v>
      </c>
      <c r="C122" s="3" t="s">
        <v>113</v>
      </c>
      <c r="D122" s="3" t="s">
        <v>34</v>
      </c>
      <c r="E122" s="3" t="s">
        <v>77</v>
      </c>
      <c r="F122" s="4">
        <v>24999</v>
      </c>
      <c r="G122" s="5">
        <v>1</v>
      </c>
      <c r="H122" s="6">
        <v>0.12</v>
      </c>
      <c r="I122" s="7">
        <v>2999.88</v>
      </c>
      <c r="J122" s="7">
        <v>21999.119999999999</v>
      </c>
      <c r="K122" s="7">
        <v>5020.76</v>
      </c>
      <c r="L122" s="2" t="s">
        <v>387</v>
      </c>
      <c r="M122" s="18" t="s">
        <v>409</v>
      </c>
      <c r="N122" s="3" t="s">
        <v>22</v>
      </c>
      <c r="O122" s="3" t="s">
        <v>23</v>
      </c>
      <c r="P122">
        <f>DATEVALUE(OnePlusSalesData[[#This Row],[order_date]])</f>
        <v>44084</v>
      </c>
      <c r="Q122" s="28">
        <f>DATEVALUE(OnePlusSalesData[[#This Row],[delivery_date]])</f>
        <v>44089</v>
      </c>
    </row>
    <row r="123" spans="1:17" ht="16" x14ac:dyDescent="0.45">
      <c r="A123" s="8" t="s">
        <v>410</v>
      </c>
      <c r="B123" s="8" t="s">
        <v>52</v>
      </c>
      <c r="C123" s="9" t="s">
        <v>53</v>
      </c>
      <c r="D123" s="9" t="s">
        <v>18</v>
      </c>
      <c r="E123" s="9" t="s">
        <v>179</v>
      </c>
      <c r="F123" s="10">
        <v>1290</v>
      </c>
      <c r="G123" s="11">
        <v>1</v>
      </c>
      <c r="H123" s="12">
        <v>0</v>
      </c>
      <c r="I123" s="13">
        <v>0</v>
      </c>
      <c r="J123" s="13">
        <v>1290</v>
      </c>
      <c r="K123" s="13">
        <v>286.37</v>
      </c>
      <c r="L123" s="8" t="s">
        <v>411</v>
      </c>
      <c r="M123" s="19" t="s">
        <v>412</v>
      </c>
      <c r="N123" s="9" t="s">
        <v>22</v>
      </c>
      <c r="O123" s="9" t="s">
        <v>146</v>
      </c>
      <c r="P123">
        <f>DATEVALUE(OnePlusSalesData[[#This Row],[order_date]])</f>
        <v>44073</v>
      </c>
      <c r="Q123" s="28">
        <f>DATEVALUE(OnePlusSalesData[[#This Row],[delivery_date]])</f>
        <v>44075</v>
      </c>
    </row>
    <row r="124" spans="1:17" ht="16" x14ac:dyDescent="0.45">
      <c r="A124" s="2" t="s">
        <v>413</v>
      </c>
      <c r="B124" s="2" t="s">
        <v>16</v>
      </c>
      <c r="C124" s="3" t="s">
        <v>39</v>
      </c>
      <c r="D124" s="3" t="s">
        <v>40</v>
      </c>
      <c r="E124" s="3" t="s">
        <v>73</v>
      </c>
      <c r="F124" s="4">
        <v>32999</v>
      </c>
      <c r="G124" s="5">
        <v>1</v>
      </c>
      <c r="H124" s="6">
        <v>0.08</v>
      </c>
      <c r="I124" s="7">
        <v>2639.92</v>
      </c>
      <c r="J124" s="7">
        <v>30359.08</v>
      </c>
      <c r="K124" s="7">
        <v>6311.28</v>
      </c>
      <c r="L124" s="2" t="s">
        <v>414</v>
      </c>
      <c r="M124" s="18" t="s">
        <v>415</v>
      </c>
      <c r="N124" s="3" t="s">
        <v>50</v>
      </c>
      <c r="O124" s="3" t="s">
        <v>23</v>
      </c>
      <c r="P124">
        <f>DATEVALUE(OnePlusSalesData[[#This Row],[order_date]])</f>
        <v>43316</v>
      </c>
      <c r="Q124" s="28">
        <f>DATEVALUE(OnePlusSalesData[[#This Row],[delivery_date]])</f>
        <v>43320</v>
      </c>
    </row>
    <row r="125" spans="1:17" ht="16" x14ac:dyDescent="0.45">
      <c r="A125" s="8" t="s">
        <v>416</v>
      </c>
      <c r="B125" s="8" t="s">
        <v>25</v>
      </c>
      <c r="C125" s="9" t="s">
        <v>133</v>
      </c>
      <c r="D125" s="9" t="s">
        <v>85</v>
      </c>
      <c r="E125" s="9" t="s">
        <v>265</v>
      </c>
      <c r="F125" s="10">
        <v>4990</v>
      </c>
      <c r="G125" s="11">
        <v>3</v>
      </c>
      <c r="H125" s="12">
        <v>0.08</v>
      </c>
      <c r="I125" s="13">
        <v>1197.5999999999999</v>
      </c>
      <c r="J125" s="13">
        <v>13772.4</v>
      </c>
      <c r="K125" s="13">
        <v>3052.2</v>
      </c>
      <c r="L125" s="8" t="s">
        <v>417</v>
      </c>
      <c r="M125" s="19" t="s">
        <v>418</v>
      </c>
      <c r="N125" s="9" t="s">
        <v>92</v>
      </c>
      <c r="O125" s="9" t="s">
        <v>23</v>
      </c>
      <c r="P125">
        <f>DATEVALUE(OnePlusSalesData[[#This Row],[order_date]])</f>
        <v>43291</v>
      </c>
      <c r="Q125" s="28">
        <f>DATEVALUE(OnePlusSalesData[[#This Row],[delivery_date]])</f>
        <v>43295</v>
      </c>
    </row>
    <row r="126" spans="1:17" ht="16" x14ac:dyDescent="0.45">
      <c r="A126" s="2" t="s">
        <v>419</v>
      </c>
      <c r="B126" s="2" t="s">
        <v>58</v>
      </c>
      <c r="C126" s="3" t="s">
        <v>113</v>
      </c>
      <c r="D126" s="3" t="s">
        <v>27</v>
      </c>
      <c r="E126" s="3" t="s">
        <v>176</v>
      </c>
      <c r="F126" s="4">
        <v>69900</v>
      </c>
      <c r="G126" s="5">
        <v>1</v>
      </c>
      <c r="H126" s="6">
        <v>0.1</v>
      </c>
      <c r="I126" s="7">
        <v>6990</v>
      </c>
      <c r="J126" s="7">
        <v>62910</v>
      </c>
      <c r="K126" s="7">
        <v>10533.34</v>
      </c>
      <c r="L126" s="2" t="s">
        <v>420</v>
      </c>
      <c r="M126" s="18" t="s">
        <v>214</v>
      </c>
      <c r="N126" s="3" t="s">
        <v>22</v>
      </c>
      <c r="O126" s="3" t="s">
        <v>63</v>
      </c>
      <c r="P126">
        <f>DATEVALUE(OnePlusSalesData[[#This Row],[order_date]])</f>
        <v>43182</v>
      </c>
      <c r="Q126" s="28">
        <f>DATEVALUE(OnePlusSalesData[[#This Row],[delivery_date]])</f>
        <v>43187</v>
      </c>
    </row>
    <row r="127" spans="1:17" ht="16" x14ac:dyDescent="0.45">
      <c r="A127" s="8" t="s">
        <v>421</v>
      </c>
      <c r="B127" s="8" t="s">
        <v>25</v>
      </c>
      <c r="C127" s="9" t="s">
        <v>172</v>
      </c>
      <c r="D127" s="9" t="s">
        <v>85</v>
      </c>
      <c r="E127" s="9" t="s">
        <v>265</v>
      </c>
      <c r="F127" s="10">
        <v>4990</v>
      </c>
      <c r="G127" s="11">
        <v>2</v>
      </c>
      <c r="H127" s="12">
        <v>0.15</v>
      </c>
      <c r="I127" s="13">
        <v>1497</v>
      </c>
      <c r="J127" s="13">
        <v>8483</v>
      </c>
      <c r="K127" s="13">
        <v>1830.78</v>
      </c>
      <c r="L127" s="8" t="s">
        <v>79</v>
      </c>
      <c r="M127" s="19" t="s">
        <v>422</v>
      </c>
      <c r="N127" s="9" t="s">
        <v>22</v>
      </c>
      <c r="O127" s="9" t="s">
        <v>45</v>
      </c>
      <c r="P127">
        <f>DATEVALUE(OnePlusSalesData[[#This Row],[order_date]])</f>
        <v>43966</v>
      </c>
      <c r="Q127" s="28">
        <f>DATEVALUE(OnePlusSalesData[[#This Row],[delivery_date]])</f>
        <v>43971</v>
      </c>
    </row>
    <row r="128" spans="1:17" ht="16" x14ac:dyDescent="0.45">
      <c r="A128" s="2" t="s">
        <v>423</v>
      </c>
      <c r="B128" s="2" t="s">
        <v>25</v>
      </c>
      <c r="C128" s="3" t="s">
        <v>26</v>
      </c>
      <c r="D128" s="3" t="s">
        <v>40</v>
      </c>
      <c r="E128" s="3" t="s">
        <v>148</v>
      </c>
      <c r="F128" s="4">
        <v>41999</v>
      </c>
      <c r="G128" s="5">
        <v>1</v>
      </c>
      <c r="H128" s="6">
        <v>0.12</v>
      </c>
      <c r="I128" s="7">
        <v>5039.88</v>
      </c>
      <c r="J128" s="7">
        <v>36959.120000000003</v>
      </c>
      <c r="K128" s="7">
        <v>6690.51</v>
      </c>
      <c r="L128" s="2" t="s">
        <v>424</v>
      </c>
      <c r="M128" s="18" t="s">
        <v>425</v>
      </c>
      <c r="N128" s="3" t="s">
        <v>92</v>
      </c>
      <c r="O128" s="3" t="s">
        <v>63</v>
      </c>
      <c r="P128">
        <f>DATEVALUE(OnePlusSalesData[[#This Row],[order_date]])</f>
        <v>43672</v>
      </c>
      <c r="Q128" s="28">
        <f>DATEVALUE(OnePlusSalesData[[#This Row],[delivery_date]])</f>
        <v>43679</v>
      </c>
    </row>
    <row r="129" spans="1:17" ht="16" x14ac:dyDescent="0.45">
      <c r="A129" s="8" t="s">
        <v>426</v>
      </c>
      <c r="B129" s="8" t="s">
        <v>25</v>
      </c>
      <c r="C129" s="9" t="s">
        <v>120</v>
      </c>
      <c r="D129" s="9" t="s">
        <v>18</v>
      </c>
      <c r="E129" s="9" t="s">
        <v>179</v>
      </c>
      <c r="F129" s="10">
        <v>1290</v>
      </c>
      <c r="G129" s="11">
        <v>4</v>
      </c>
      <c r="H129" s="12">
        <v>0</v>
      </c>
      <c r="I129" s="13">
        <v>0</v>
      </c>
      <c r="J129" s="13">
        <v>5160</v>
      </c>
      <c r="K129" s="13">
        <v>1199.79</v>
      </c>
      <c r="L129" s="8" t="s">
        <v>427</v>
      </c>
      <c r="M129" s="19" t="s">
        <v>117</v>
      </c>
      <c r="N129" s="9" t="s">
        <v>22</v>
      </c>
      <c r="O129" s="9" t="s">
        <v>23</v>
      </c>
      <c r="P129">
        <f>DATEVALUE(OnePlusSalesData[[#This Row],[order_date]])</f>
        <v>43501</v>
      </c>
      <c r="Q129" s="28">
        <f>DATEVALUE(OnePlusSalesData[[#This Row],[delivery_date]])</f>
        <v>43504</v>
      </c>
    </row>
    <row r="130" spans="1:17" ht="16" x14ac:dyDescent="0.45">
      <c r="A130" s="2" t="s">
        <v>428</v>
      </c>
      <c r="B130" s="2" t="s">
        <v>25</v>
      </c>
      <c r="C130" s="3" t="s">
        <v>172</v>
      </c>
      <c r="D130" s="3" t="s">
        <v>18</v>
      </c>
      <c r="E130" s="3" t="s">
        <v>179</v>
      </c>
      <c r="F130" s="4">
        <v>1290</v>
      </c>
      <c r="G130" s="5">
        <v>5</v>
      </c>
      <c r="H130" s="6">
        <v>0.08</v>
      </c>
      <c r="I130" s="7">
        <v>516</v>
      </c>
      <c r="J130" s="7">
        <v>5934</v>
      </c>
      <c r="K130" s="7">
        <v>1148.32</v>
      </c>
      <c r="L130" s="2" t="s">
        <v>429</v>
      </c>
      <c r="M130" s="18" t="s">
        <v>430</v>
      </c>
      <c r="N130" s="3" t="s">
        <v>22</v>
      </c>
      <c r="O130" s="3" t="s">
        <v>31</v>
      </c>
      <c r="P130">
        <f>DATEVALUE(OnePlusSalesData[[#This Row],[order_date]])</f>
        <v>43863</v>
      </c>
      <c r="Q130" s="28">
        <f>DATEVALUE(OnePlusSalesData[[#This Row],[delivery_date]])</f>
        <v>43867</v>
      </c>
    </row>
    <row r="131" spans="1:17" ht="16" x14ac:dyDescent="0.45">
      <c r="A131" s="8" t="s">
        <v>431</v>
      </c>
      <c r="B131" s="8" t="s">
        <v>25</v>
      </c>
      <c r="C131" s="9" t="s">
        <v>133</v>
      </c>
      <c r="D131" s="9" t="s">
        <v>40</v>
      </c>
      <c r="E131" s="9" t="s">
        <v>54</v>
      </c>
      <c r="F131" s="10">
        <v>53999</v>
      </c>
      <c r="G131" s="11">
        <v>1</v>
      </c>
      <c r="H131" s="12">
        <v>0.1</v>
      </c>
      <c r="I131" s="13">
        <v>5399.9</v>
      </c>
      <c r="J131" s="13">
        <v>48599.1</v>
      </c>
      <c r="K131" s="13">
        <v>8276.48</v>
      </c>
      <c r="L131" s="8" t="s">
        <v>345</v>
      </c>
      <c r="M131" s="19" t="s">
        <v>366</v>
      </c>
      <c r="N131" s="9" t="s">
        <v>44</v>
      </c>
      <c r="O131" s="9" t="s">
        <v>23</v>
      </c>
      <c r="P131">
        <f>DATEVALUE(OnePlusSalesData[[#This Row],[order_date]])</f>
        <v>43838</v>
      </c>
      <c r="Q131" s="28">
        <f>DATEVALUE(OnePlusSalesData[[#This Row],[delivery_date]])</f>
        <v>43844</v>
      </c>
    </row>
    <row r="132" spans="1:17" ht="16" x14ac:dyDescent="0.45">
      <c r="A132" s="2" t="s">
        <v>432</v>
      </c>
      <c r="B132" s="2" t="s">
        <v>58</v>
      </c>
      <c r="C132" s="3" t="s">
        <v>81</v>
      </c>
      <c r="D132" s="3" t="s">
        <v>85</v>
      </c>
      <c r="E132" s="3" t="s">
        <v>228</v>
      </c>
      <c r="F132" s="4">
        <v>5990</v>
      </c>
      <c r="G132" s="5">
        <v>1</v>
      </c>
      <c r="H132" s="6">
        <v>0</v>
      </c>
      <c r="I132" s="7">
        <v>0</v>
      </c>
      <c r="J132" s="7">
        <v>5990</v>
      </c>
      <c r="K132" s="7">
        <v>1327.74</v>
      </c>
      <c r="L132" s="2" t="s">
        <v>433</v>
      </c>
      <c r="M132" s="18" t="s">
        <v>434</v>
      </c>
      <c r="N132" s="3" t="s">
        <v>22</v>
      </c>
      <c r="O132" s="3" t="s">
        <v>96</v>
      </c>
      <c r="P132">
        <f>DATEVALUE(OnePlusSalesData[[#This Row],[order_date]])</f>
        <v>44146</v>
      </c>
      <c r="Q132" s="28">
        <f>DATEVALUE(OnePlusSalesData[[#This Row],[delivery_date]])</f>
        <v>44150</v>
      </c>
    </row>
    <row r="133" spans="1:17" ht="16" x14ac:dyDescent="0.45">
      <c r="A133" s="8" t="s">
        <v>435</v>
      </c>
      <c r="B133" s="8" t="s">
        <v>25</v>
      </c>
      <c r="C133" s="9" t="s">
        <v>120</v>
      </c>
      <c r="D133" s="9" t="s">
        <v>27</v>
      </c>
      <c r="E133" s="9" t="s">
        <v>28</v>
      </c>
      <c r="F133" s="10">
        <v>12999</v>
      </c>
      <c r="G133" s="11">
        <v>2</v>
      </c>
      <c r="H133" s="12">
        <v>0.12</v>
      </c>
      <c r="I133" s="13">
        <v>3119.76</v>
      </c>
      <c r="J133" s="13">
        <v>22878.240000000002</v>
      </c>
      <c r="K133" s="13">
        <v>5289.71</v>
      </c>
      <c r="L133" s="8" t="s">
        <v>436</v>
      </c>
      <c r="M133" s="19" t="s">
        <v>153</v>
      </c>
      <c r="N133" s="9" t="s">
        <v>92</v>
      </c>
      <c r="O133" s="9" t="s">
        <v>63</v>
      </c>
      <c r="P133">
        <f>DATEVALUE(OnePlusSalesData[[#This Row],[order_date]])</f>
        <v>43670</v>
      </c>
      <c r="Q133" s="28">
        <f>DATEVALUE(OnePlusSalesData[[#This Row],[delivery_date]])</f>
        <v>43675</v>
      </c>
    </row>
    <row r="134" spans="1:17" ht="16" x14ac:dyDescent="0.45">
      <c r="A134" s="2" t="s">
        <v>437</v>
      </c>
      <c r="B134" s="2" t="s">
        <v>25</v>
      </c>
      <c r="C134" s="3" t="s">
        <v>133</v>
      </c>
      <c r="D134" s="3" t="s">
        <v>85</v>
      </c>
      <c r="E134" s="3" t="s">
        <v>86</v>
      </c>
      <c r="F134" s="4">
        <v>1999</v>
      </c>
      <c r="G134" s="5">
        <v>1</v>
      </c>
      <c r="H134" s="6">
        <v>0.05</v>
      </c>
      <c r="I134" s="7">
        <v>99.95</v>
      </c>
      <c r="J134" s="7">
        <v>1899.05</v>
      </c>
      <c r="K134" s="7">
        <v>389.66</v>
      </c>
      <c r="L134" s="2" t="s">
        <v>438</v>
      </c>
      <c r="M134" s="18" t="s">
        <v>439</v>
      </c>
      <c r="N134" s="3" t="s">
        <v>22</v>
      </c>
      <c r="O134" s="3" t="s">
        <v>23</v>
      </c>
      <c r="P134">
        <f>DATEVALUE(OnePlusSalesData[[#This Row],[order_date]])</f>
        <v>44184</v>
      </c>
      <c r="Q134" s="28">
        <f>DATEVALUE(OnePlusSalesData[[#This Row],[delivery_date]])</f>
        <v>44191</v>
      </c>
    </row>
    <row r="135" spans="1:17" ht="16" x14ac:dyDescent="0.45">
      <c r="A135" s="8" t="s">
        <v>440</v>
      </c>
      <c r="B135" s="8" t="s">
        <v>25</v>
      </c>
      <c r="C135" s="9" t="s">
        <v>26</v>
      </c>
      <c r="D135" s="9" t="s">
        <v>85</v>
      </c>
      <c r="E135" s="9" t="s">
        <v>258</v>
      </c>
      <c r="F135" s="10">
        <v>2999</v>
      </c>
      <c r="G135" s="11">
        <v>1</v>
      </c>
      <c r="H135" s="12">
        <v>0</v>
      </c>
      <c r="I135" s="13">
        <v>0</v>
      </c>
      <c r="J135" s="13">
        <v>2999</v>
      </c>
      <c r="K135" s="13">
        <v>706.61</v>
      </c>
      <c r="L135" s="8" t="s">
        <v>441</v>
      </c>
      <c r="M135" s="19" t="s">
        <v>218</v>
      </c>
      <c r="N135" s="9" t="s">
        <v>44</v>
      </c>
      <c r="O135" s="9" t="s">
        <v>23</v>
      </c>
      <c r="P135">
        <f>DATEVALUE(OnePlusSalesData[[#This Row],[order_date]])</f>
        <v>43793</v>
      </c>
      <c r="Q135" s="28">
        <f>DATEVALUE(OnePlusSalesData[[#This Row],[delivery_date]])</f>
        <v>43798</v>
      </c>
    </row>
    <row r="136" spans="1:17" ht="16" x14ac:dyDescent="0.45">
      <c r="A136" s="2" t="s">
        <v>442</v>
      </c>
      <c r="B136" s="2" t="s">
        <v>16</v>
      </c>
      <c r="C136" s="3" t="s">
        <v>33</v>
      </c>
      <c r="D136" s="3" t="s">
        <v>85</v>
      </c>
      <c r="E136" s="3" t="s">
        <v>86</v>
      </c>
      <c r="F136" s="4">
        <v>1999</v>
      </c>
      <c r="G136" s="5">
        <v>1</v>
      </c>
      <c r="H136" s="6">
        <v>0.08</v>
      </c>
      <c r="I136" s="7">
        <v>159.91999999999999</v>
      </c>
      <c r="J136" s="7">
        <v>1839.08</v>
      </c>
      <c r="K136" s="7">
        <v>307.25</v>
      </c>
      <c r="L136" s="2" t="s">
        <v>443</v>
      </c>
      <c r="M136" s="18" t="s">
        <v>444</v>
      </c>
      <c r="N136" s="3" t="s">
        <v>22</v>
      </c>
      <c r="O136" s="3" t="s">
        <v>23</v>
      </c>
      <c r="P136">
        <f>DATEVALUE(OnePlusSalesData[[#This Row],[order_date]])</f>
        <v>44056</v>
      </c>
      <c r="Q136" s="28">
        <f>DATEVALUE(OnePlusSalesData[[#This Row],[delivery_date]])</f>
        <v>44063</v>
      </c>
    </row>
    <row r="137" spans="1:17" ht="16" x14ac:dyDescent="0.45">
      <c r="A137" s="8" t="s">
        <v>445</v>
      </c>
      <c r="B137" s="8" t="s">
        <v>52</v>
      </c>
      <c r="C137" s="9" t="s">
        <v>69</v>
      </c>
      <c r="D137" s="9" t="s">
        <v>85</v>
      </c>
      <c r="E137" s="9" t="s">
        <v>265</v>
      </c>
      <c r="F137" s="10">
        <v>4990</v>
      </c>
      <c r="G137" s="11">
        <v>1</v>
      </c>
      <c r="H137" s="12">
        <v>0.05</v>
      </c>
      <c r="I137" s="13">
        <v>249.5</v>
      </c>
      <c r="J137" s="13">
        <v>4740.5</v>
      </c>
      <c r="K137" s="13">
        <v>1050.75</v>
      </c>
      <c r="L137" s="8" t="s">
        <v>446</v>
      </c>
      <c r="M137" s="19" t="s">
        <v>447</v>
      </c>
      <c r="N137" s="9" t="s">
        <v>44</v>
      </c>
      <c r="O137" s="9" t="s">
        <v>63</v>
      </c>
      <c r="P137">
        <f>DATEVALUE(OnePlusSalesData[[#This Row],[order_date]])</f>
        <v>43438</v>
      </c>
      <c r="Q137" s="28">
        <f>DATEVALUE(OnePlusSalesData[[#This Row],[delivery_date]])</f>
        <v>43445</v>
      </c>
    </row>
    <row r="138" spans="1:17" ht="16" x14ac:dyDescent="0.45">
      <c r="A138" s="2" t="s">
        <v>448</v>
      </c>
      <c r="B138" s="2" t="s">
        <v>52</v>
      </c>
      <c r="C138" s="3" t="s">
        <v>192</v>
      </c>
      <c r="D138" s="3" t="s">
        <v>40</v>
      </c>
      <c r="E138" s="3" t="s">
        <v>98</v>
      </c>
      <c r="F138" s="4">
        <v>34999</v>
      </c>
      <c r="G138" s="5">
        <v>4</v>
      </c>
      <c r="H138" s="6">
        <v>0.12</v>
      </c>
      <c r="I138" s="7">
        <v>16799.52</v>
      </c>
      <c r="J138" s="7">
        <v>123196.48</v>
      </c>
      <c r="K138" s="7">
        <v>27955.040000000001</v>
      </c>
      <c r="L138" s="2" t="s">
        <v>427</v>
      </c>
      <c r="M138" s="18" t="s">
        <v>108</v>
      </c>
      <c r="N138" s="3" t="s">
        <v>44</v>
      </c>
      <c r="O138" s="3" t="s">
        <v>23</v>
      </c>
      <c r="P138">
        <f>DATEVALUE(OnePlusSalesData[[#This Row],[order_date]])</f>
        <v>43501</v>
      </c>
      <c r="Q138" s="28">
        <f>DATEVALUE(OnePlusSalesData[[#This Row],[delivery_date]])</f>
        <v>43506</v>
      </c>
    </row>
    <row r="139" spans="1:17" ht="16" x14ac:dyDescent="0.45">
      <c r="A139" s="8" t="s">
        <v>449</v>
      </c>
      <c r="B139" s="8" t="s">
        <v>16</v>
      </c>
      <c r="C139" s="9" t="s">
        <v>152</v>
      </c>
      <c r="D139" s="9" t="s">
        <v>27</v>
      </c>
      <c r="E139" s="9" t="s">
        <v>159</v>
      </c>
      <c r="F139" s="10">
        <v>22999</v>
      </c>
      <c r="G139" s="11">
        <v>1</v>
      </c>
      <c r="H139" s="12">
        <v>0.1</v>
      </c>
      <c r="I139" s="13">
        <v>2299.9</v>
      </c>
      <c r="J139" s="13">
        <v>20699.099999999999</v>
      </c>
      <c r="K139" s="13">
        <v>5235.8100000000004</v>
      </c>
      <c r="L139" s="8" t="s">
        <v>450</v>
      </c>
      <c r="M139" s="19" t="s">
        <v>451</v>
      </c>
      <c r="N139" s="9" t="s">
        <v>22</v>
      </c>
      <c r="O139" s="9" t="s">
        <v>31</v>
      </c>
      <c r="P139">
        <f>DATEVALUE(OnePlusSalesData[[#This Row],[order_date]])</f>
        <v>43102</v>
      </c>
      <c r="Q139" s="28">
        <f>DATEVALUE(OnePlusSalesData[[#This Row],[delivery_date]])</f>
        <v>43104</v>
      </c>
    </row>
    <row r="140" spans="1:17" ht="16" x14ac:dyDescent="0.45">
      <c r="A140" s="2" t="s">
        <v>452</v>
      </c>
      <c r="B140" s="2" t="s">
        <v>25</v>
      </c>
      <c r="C140" s="3" t="s">
        <v>120</v>
      </c>
      <c r="D140" s="3" t="s">
        <v>40</v>
      </c>
      <c r="E140" s="3" t="s">
        <v>148</v>
      </c>
      <c r="F140" s="4">
        <v>41999</v>
      </c>
      <c r="G140" s="5">
        <v>1</v>
      </c>
      <c r="H140" s="6">
        <v>0.08</v>
      </c>
      <c r="I140" s="7">
        <v>3359.92</v>
      </c>
      <c r="J140" s="7">
        <v>38639.08</v>
      </c>
      <c r="K140" s="7">
        <v>8606.31</v>
      </c>
      <c r="L140" s="2" t="s">
        <v>453</v>
      </c>
      <c r="M140" s="18" t="s">
        <v>454</v>
      </c>
      <c r="N140" s="3" t="s">
        <v>22</v>
      </c>
      <c r="O140" s="3" t="s">
        <v>63</v>
      </c>
      <c r="P140">
        <f>DATEVALUE(OnePlusSalesData[[#This Row],[order_date]])</f>
        <v>43243</v>
      </c>
      <c r="Q140" s="28">
        <f>DATEVALUE(OnePlusSalesData[[#This Row],[delivery_date]])</f>
        <v>43246</v>
      </c>
    </row>
    <row r="141" spans="1:17" ht="16" x14ac:dyDescent="0.45">
      <c r="A141" s="8" t="s">
        <v>455</v>
      </c>
      <c r="B141" s="8" t="s">
        <v>58</v>
      </c>
      <c r="C141" s="9" t="s">
        <v>81</v>
      </c>
      <c r="D141" s="9" t="s">
        <v>40</v>
      </c>
      <c r="E141" s="9" t="s">
        <v>73</v>
      </c>
      <c r="F141" s="10">
        <v>32999</v>
      </c>
      <c r="G141" s="11">
        <v>3</v>
      </c>
      <c r="H141" s="12">
        <v>0.08</v>
      </c>
      <c r="I141" s="13">
        <v>7919.76</v>
      </c>
      <c r="J141" s="13">
        <v>91077.24</v>
      </c>
      <c r="K141" s="13">
        <v>19489.849999999999</v>
      </c>
      <c r="L141" s="8" t="s">
        <v>456</v>
      </c>
      <c r="M141" s="19" t="s">
        <v>457</v>
      </c>
      <c r="N141" s="9" t="s">
        <v>92</v>
      </c>
      <c r="O141" s="9" t="s">
        <v>146</v>
      </c>
      <c r="P141">
        <f>DATEVALUE(OnePlusSalesData[[#This Row],[order_date]])</f>
        <v>43323</v>
      </c>
      <c r="Q141" s="28">
        <f>DATEVALUE(OnePlusSalesData[[#This Row],[delivery_date]])</f>
        <v>43325</v>
      </c>
    </row>
    <row r="142" spans="1:17" ht="16" x14ac:dyDescent="0.45">
      <c r="A142" s="2" t="s">
        <v>458</v>
      </c>
      <c r="B142" s="2" t="s">
        <v>52</v>
      </c>
      <c r="C142" s="3" t="s">
        <v>106</v>
      </c>
      <c r="D142" s="3" t="s">
        <v>18</v>
      </c>
      <c r="E142" s="3" t="s">
        <v>19</v>
      </c>
      <c r="F142" s="4">
        <v>1990</v>
      </c>
      <c r="G142" s="5">
        <v>2</v>
      </c>
      <c r="H142" s="6">
        <v>0</v>
      </c>
      <c r="I142" s="7">
        <v>0</v>
      </c>
      <c r="J142" s="7">
        <v>3980</v>
      </c>
      <c r="K142" s="7">
        <v>984.56</v>
      </c>
      <c r="L142" s="2" t="s">
        <v>459</v>
      </c>
      <c r="M142" s="18" t="s">
        <v>460</v>
      </c>
      <c r="N142" s="3" t="s">
        <v>50</v>
      </c>
      <c r="O142" s="3" t="s">
        <v>31</v>
      </c>
      <c r="P142">
        <f>DATEVALUE(OnePlusSalesData[[#This Row],[order_date]])</f>
        <v>44000</v>
      </c>
      <c r="Q142" s="28">
        <f>DATEVALUE(OnePlusSalesData[[#This Row],[delivery_date]])</f>
        <v>44007</v>
      </c>
    </row>
    <row r="143" spans="1:17" ht="16" x14ac:dyDescent="0.45">
      <c r="A143" s="8" t="s">
        <v>461</v>
      </c>
      <c r="B143" s="8" t="s">
        <v>52</v>
      </c>
      <c r="C143" s="9" t="s">
        <v>192</v>
      </c>
      <c r="D143" s="9" t="s">
        <v>34</v>
      </c>
      <c r="E143" s="9" t="s">
        <v>35</v>
      </c>
      <c r="F143" s="10">
        <v>19999</v>
      </c>
      <c r="G143" s="11">
        <v>1</v>
      </c>
      <c r="H143" s="12">
        <v>0.08</v>
      </c>
      <c r="I143" s="13">
        <v>1599.92</v>
      </c>
      <c r="J143" s="13">
        <v>18399.080000000002</v>
      </c>
      <c r="K143" s="13">
        <v>3885.76</v>
      </c>
      <c r="L143" s="8" t="s">
        <v>462</v>
      </c>
      <c r="M143" s="19" t="s">
        <v>463</v>
      </c>
      <c r="N143" s="9" t="s">
        <v>50</v>
      </c>
      <c r="O143" s="9" t="s">
        <v>23</v>
      </c>
      <c r="P143">
        <f>DATEVALUE(OnePlusSalesData[[#This Row],[order_date]])</f>
        <v>44009</v>
      </c>
      <c r="Q143" s="28">
        <f>DATEVALUE(OnePlusSalesData[[#This Row],[delivery_date]])</f>
        <v>44011</v>
      </c>
    </row>
    <row r="144" spans="1:17" ht="16" x14ac:dyDescent="0.45">
      <c r="A144" s="2" t="s">
        <v>464</v>
      </c>
      <c r="B144" s="2" t="s">
        <v>58</v>
      </c>
      <c r="C144" s="3" t="s">
        <v>59</v>
      </c>
      <c r="D144" s="3" t="s">
        <v>85</v>
      </c>
      <c r="E144" s="3" t="s">
        <v>265</v>
      </c>
      <c r="F144" s="4">
        <v>4990</v>
      </c>
      <c r="G144" s="5">
        <v>1</v>
      </c>
      <c r="H144" s="6">
        <v>0.1</v>
      </c>
      <c r="I144" s="7">
        <v>499</v>
      </c>
      <c r="J144" s="7">
        <v>4491</v>
      </c>
      <c r="K144" s="7">
        <v>983.73</v>
      </c>
      <c r="L144" s="2" t="s">
        <v>465</v>
      </c>
      <c r="M144" s="18" t="s">
        <v>466</v>
      </c>
      <c r="N144" s="3" t="s">
        <v>22</v>
      </c>
      <c r="O144" s="3" t="s">
        <v>63</v>
      </c>
      <c r="P144">
        <f>DATEVALUE(OnePlusSalesData[[#This Row],[order_date]])</f>
        <v>43407</v>
      </c>
      <c r="Q144" s="28">
        <f>DATEVALUE(OnePlusSalesData[[#This Row],[delivery_date]])</f>
        <v>43412</v>
      </c>
    </row>
    <row r="145" spans="1:17" ht="16" x14ac:dyDescent="0.45">
      <c r="A145" s="8" t="s">
        <v>467</v>
      </c>
      <c r="B145" s="8" t="s">
        <v>25</v>
      </c>
      <c r="C145" s="9" t="s">
        <v>133</v>
      </c>
      <c r="D145" s="9" t="s">
        <v>40</v>
      </c>
      <c r="E145" s="9" t="s">
        <v>73</v>
      </c>
      <c r="F145" s="10">
        <v>32999</v>
      </c>
      <c r="G145" s="11">
        <v>1</v>
      </c>
      <c r="H145" s="12">
        <v>0.05</v>
      </c>
      <c r="I145" s="13">
        <v>1649.95</v>
      </c>
      <c r="J145" s="13">
        <v>31349.05</v>
      </c>
      <c r="K145" s="13">
        <v>5218.59</v>
      </c>
      <c r="L145" s="8" t="s">
        <v>468</v>
      </c>
      <c r="M145" s="19" t="s">
        <v>469</v>
      </c>
      <c r="N145" s="9" t="s">
        <v>22</v>
      </c>
      <c r="O145" s="9" t="s">
        <v>96</v>
      </c>
      <c r="P145">
        <f>DATEVALUE(OnePlusSalesData[[#This Row],[order_date]])</f>
        <v>43453</v>
      </c>
      <c r="Q145" s="28">
        <f>DATEVALUE(OnePlusSalesData[[#This Row],[delivery_date]])</f>
        <v>43458</v>
      </c>
    </row>
    <row r="146" spans="1:17" ht="16" x14ac:dyDescent="0.45">
      <c r="A146" s="2" t="s">
        <v>470</v>
      </c>
      <c r="B146" s="2" t="s">
        <v>16</v>
      </c>
      <c r="C146" s="3" t="s">
        <v>152</v>
      </c>
      <c r="D146" s="3" t="s">
        <v>40</v>
      </c>
      <c r="E146" s="3" t="s">
        <v>41</v>
      </c>
      <c r="F146" s="4">
        <v>37999</v>
      </c>
      <c r="G146" s="5">
        <v>1</v>
      </c>
      <c r="H146" s="6">
        <v>0.05</v>
      </c>
      <c r="I146" s="7">
        <v>1899.95</v>
      </c>
      <c r="J146" s="7">
        <v>36099.050000000003</v>
      </c>
      <c r="K146" s="7">
        <v>9332.25</v>
      </c>
      <c r="L146" s="2" t="s">
        <v>471</v>
      </c>
      <c r="M146" s="18" t="s">
        <v>472</v>
      </c>
      <c r="N146" s="3" t="s">
        <v>50</v>
      </c>
      <c r="O146" s="3" t="s">
        <v>63</v>
      </c>
      <c r="P146">
        <f>DATEVALUE(OnePlusSalesData[[#This Row],[order_date]])</f>
        <v>43252</v>
      </c>
      <c r="Q146" s="28">
        <f>DATEVALUE(OnePlusSalesData[[#This Row],[delivery_date]])</f>
        <v>43255</v>
      </c>
    </row>
    <row r="147" spans="1:17" ht="16" x14ac:dyDescent="0.45">
      <c r="A147" s="8" t="s">
        <v>473</v>
      </c>
      <c r="B147" s="8" t="s">
        <v>16</v>
      </c>
      <c r="C147" s="9" t="s">
        <v>17</v>
      </c>
      <c r="D147" s="9" t="s">
        <v>40</v>
      </c>
      <c r="E147" s="9" t="s">
        <v>47</v>
      </c>
      <c r="F147" s="10">
        <v>37999</v>
      </c>
      <c r="G147" s="11">
        <v>1</v>
      </c>
      <c r="H147" s="12">
        <v>0.1</v>
      </c>
      <c r="I147" s="13">
        <v>3799.9</v>
      </c>
      <c r="J147" s="13">
        <v>34199.1</v>
      </c>
      <c r="K147" s="13">
        <v>8484.26</v>
      </c>
      <c r="L147" s="8" t="s">
        <v>474</v>
      </c>
      <c r="M147" s="19" t="s">
        <v>475</v>
      </c>
      <c r="N147" s="9" t="s">
        <v>44</v>
      </c>
      <c r="O147" s="9" t="s">
        <v>23</v>
      </c>
      <c r="P147">
        <f>DATEVALUE(OnePlusSalesData[[#This Row],[order_date]])</f>
        <v>43395</v>
      </c>
      <c r="Q147" s="28">
        <f>DATEVALUE(OnePlusSalesData[[#This Row],[delivery_date]])</f>
        <v>43398</v>
      </c>
    </row>
    <row r="148" spans="1:17" ht="16" x14ac:dyDescent="0.45">
      <c r="A148" s="2" t="s">
        <v>476</v>
      </c>
      <c r="B148" s="2" t="s">
        <v>16</v>
      </c>
      <c r="C148" s="3" t="s">
        <v>39</v>
      </c>
      <c r="D148" s="3" t="s">
        <v>85</v>
      </c>
      <c r="E148" s="3" t="s">
        <v>265</v>
      </c>
      <c r="F148" s="4">
        <v>4990</v>
      </c>
      <c r="G148" s="5">
        <v>1</v>
      </c>
      <c r="H148" s="6">
        <v>0.1</v>
      </c>
      <c r="I148" s="7">
        <v>499</v>
      </c>
      <c r="J148" s="7">
        <v>4491</v>
      </c>
      <c r="K148" s="7">
        <v>755.81</v>
      </c>
      <c r="L148" s="2" t="s">
        <v>477</v>
      </c>
      <c r="M148" s="18" t="s">
        <v>478</v>
      </c>
      <c r="N148" s="3" t="s">
        <v>50</v>
      </c>
      <c r="O148" s="3" t="s">
        <v>23</v>
      </c>
      <c r="P148">
        <f>DATEVALUE(OnePlusSalesData[[#This Row],[order_date]])</f>
        <v>43894</v>
      </c>
      <c r="Q148" s="28">
        <f>DATEVALUE(OnePlusSalesData[[#This Row],[delivery_date]])</f>
        <v>43899</v>
      </c>
    </row>
    <row r="149" spans="1:17" ht="16" x14ac:dyDescent="0.45">
      <c r="A149" s="8" t="s">
        <v>479</v>
      </c>
      <c r="B149" s="8" t="s">
        <v>25</v>
      </c>
      <c r="C149" s="9" t="s">
        <v>172</v>
      </c>
      <c r="D149" s="9" t="s">
        <v>40</v>
      </c>
      <c r="E149" s="9" t="s">
        <v>41</v>
      </c>
      <c r="F149" s="10">
        <v>37999</v>
      </c>
      <c r="G149" s="11">
        <v>3</v>
      </c>
      <c r="H149" s="12">
        <v>0.05</v>
      </c>
      <c r="I149" s="13">
        <v>5699.85</v>
      </c>
      <c r="J149" s="13">
        <v>108297.15</v>
      </c>
      <c r="K149" s="13">
        <v>18374.53</v>
      </c>
      <c r="L149" s="8" t="s">
        <v>480</v>
      </c>
      <c r="M149" s="19" t="s">
        <v>42</v>
      </c>
      <c r="N149" s="9" t="s">
        <v>22</v>
      </c>
      <c r="O149" s="9" t="s">
        <v>31</v>
      </c>
      <c r="P149">
        <f>DATEVALUE(OnePlusSalesData[[#This Row],[order_date]])</f>
        <v>43481</v>
      </c>
      <c r="Q149" s="28">
        <f>DATEVALUE(OnePlusSalesData[[#This Row],[delivery_date]])</f>
        <v>43488</v>
      </c>
    </row>
    <row r="150" spans="1:17" ht="16" x14ac:dyDescent="0.45">
      <c r="A150" s="2" t="s">
        <v>481</v>
      </c>
      <c r="B150" s="2" t="s">
        <v>16</v>
      </c>
      <c r="C150" s="3" t="s">
        <v>33</v>
      </c>
      <c r="D150" s="3" t="s">
        <v>40</v>
      </c>
      <c r="E150" s="3" t="s">
        <v>47</v>
      </c>
      <c r="F150" s="4">
        <v>37999</v>
      </c>
      <c r="G150" s="5">
        <v>3</v>
      </c>
      <c r="H150" s="6">
        <v>0</v>
      </c>
      <c r="I150" s="7">
        <v>0</v>
      </c>
      <c r="J150" s="7">
        <v>113997</v>
      </c>
      <c r="K150" s="7">
        <v>24008.85</v>
      </c>
      <c r="L150" s="2" t="s">
        <v>482</v>
      </c>
      <c r="M150" s="18" t="s">
        <v>483</v>
      </c>
      <c r="N150" s="3" t="s">
        <v>44</v>
      </c>
      <c r="O150" s="3" t="s">
        <v>31</v>
      </c>
      <c r="P150">
        <f>DATEVALUE(OnePlusSalesData[[#This Row],[order_date]])</f>
        <v>43560</v>
      </c>
      <c r="Q150" s="28">
        <f>DATEVALUE(OnePlusSalesData[[#This Row],[delivery_date]])</f>
        <v>43565</v>
      </c>
    </row>
    <row r="151" spans="1:17" ht="16" x14ac:dyDescent="0.45">
      <c r="A151" s="8" t="s">
        <v>484</v>
      </c>
      <c r="B151" s="8" t="s">
        <v>25</v>
      </c>
      <c r="C151" s="9" t="s">
        <v>26</v>
      </c>
      <c r="D151" s="9" t="s">
        <v>85</v>
      </c>
      <c r="E151" s="9" t="s">
        <v>258</v>
      </c>
      <c r="F151" s="10">
        <v>2999</v>
      </c>
      <c r="G151" s="11">
        <v>1</v>
      </c>
      <c r="H151" s="12">
        <v>0.05</v>
      </c>
      <c r="I151" s="13">
        <v>149.94999999999999</v>
      </c>
      <c r="J151" s="13">
        <v>2849.05</v>
      </c>
      <c r="K151" s="13">
        <v>627.72</v>
      </c>
      <c r="L151" s="8" t="s">
        <v>485</v>
      </c>
      <c r="M151" s="19" t="s">
        <v>486</v>
      </c>
      <c r="N151" s="9" t="s">
        <v>22</v>
      </c>
      <c r="O151" s="9" t="s">
        <v>96</v>
      </c>
      <c r="P151">
        <f>DATEVALUE(OnePlusSalesData[[#This Row],[order_date]])</f>
        <v>43233</v>
      </c>
      <c r="Q151" s="28">
        <f>DATEVALUE(OnePlusSalesData[[#This Row],[delivery_date]])</f>
        <v>43238</v>
      </c>
    </row>
    <row r="152" spans="1:17" ht="16" x14ac:dyDescent="0.45">
      <c r="A152" s="2" t="s">
        <v>487</v>
      </c>
      <c r="B152" s="2" t="s">
        <v>25</v>
      </c>
      <c r="C152" s="3" t="s">
        <v>120</v>
      </c>
      <c r="D152" s="3" t="s">
        <v>85</v>
      </c>
      <c r="E152" s="3" t="s">
        <v>228</v>
      </c>
      <c r="F152" s="4">
        <v>5990</v>
      </c>
      <c r="G152" s="5">
        <v>2</v>
      </c>
      <c r="H152" s="6">
        <v>0.08</v>
      </c>
      <c r="I152" s="7">
        <v>958.4</v>
      </c>
      <c r="J152" s="7">
        <v>11021.6</v>
      </c>
      <c r="K152" s="7">
        <v>2170.77</v>
      </c>
      <c r="L152" s="2" t="s">
        <v>488</v>
      </c>
      <c r="M152" s="18" t="s">
        <v>489</v>
      </c>
      <c r="N152" s="3" t="s">
        <v>22</v>
      </c>
      <c r="O152" s="3" t="s">
        <v>23</v>
      </c>
      <c r="P152">
        <f>DATEVALUE(OnePlusSalesData[[#This Row],[order_date]])</f>
        <v>43256</v>
      </c>
      <c r="Q152" s="28">
        <f>DATEVALUE(OnePlusSalesData[[#This Row],[delivery_date]])</f>
        <v>43263</v>
      </c>
    </row>
    <row r="153" spans="1:17" ht="16" x14ac:dyDescent="0.45">
      <c r="A153" s="8" t="s">
        <v>490</v>
      </c>
      <c r="B153" s="8" t="s">
        <v>25</v>
      </c>
      <c r="C153" s="9" t="s">
        <v>172</v>
      </c>
      <c r="D153" s="9" t="s">
        <v>34</v>
      </c>
      <c r="E153" s="9" t="s">
        <v>77</v>
      </c>
      <c r="F153" s="10">
        <v>24999</v>
      </c>
      <c r="G153" s="11">
        <v>1</v>
      </c>
      <c r="H153" s="12">
        <v>0.12</v>
      </c>
      <c r="I153" s="13">
        <v>2999.88</v>
      </c>
      <c r="J153" s="13">
        <v>21999.119999999999</v>
      </c>
      <c r="K153" s="13">
        <v>3183.74</v>
      </c>
      <c r="L153" s="8" t="s">
        <v>491</v>
      </c>
      <c r="M153" s="19" t="s">
        <v>492</v>
      </c>
      <c r="N153" s="9" t="s">
        <v>22</v>
      </c>
      <c r="O153" s="9" t="s">
        <v>96</v>
      </c>
      <c r="P153">
        <f>DATEVALUE(OnePlusSalesData[[#This Row],[order_date]])</f>
        <v>43219</v>
      </c>
      <c r="Q153" s="28">
        <f>DATEVALUE(OnePlusSalesData[[#This Row],[delivery_date]])</f>
        <v>43223</v>
      </c>
    </row>
    <row r="154" spans="1:17" ht="16" x14ac:dyDescent="0.45">
      <c r="A154" s="2" t="s">
        <v>493</v>
      </c>
      <c r="B154" s="2" t="s">
        <v>16</v>
      </c>
      <c r="C154" s="3" t="s">
        <v>33</v>
      </c>
      <c r="D154" s="3" t="s">
        <v>27</v>
      </c>
      <c r="E154" s="3" t="s">
        <v>176</v>
      </c>
      <c r="F154" s="4">
        <v>69900</v>
      </c>
      <c r="G154" s="5">
        <v>1</v>
      </c>
      <c r="H154" s="6">
        <v>0</v>
      </c>
      <c r="I154" s="7">
        <v>0</v>
      </c>
      <c r="J154" s="7">
        <v>69900</v>
      </c>
      <c r="K154" s="7">
        <v>18061.849999999999</v>
      </c>
      <c r="L154" s="2" t="s">
        <v>494</v>
      </c>
      <c r="M154" s="18" t="s">
        <v>495</v>
      </c>
      <c r="N154" s="3" t="s">
        <v>22</v>
      </c>
      <c r="O154" s="3" t="s">
        <v>96</v>
      </c>
      <c r="P154">
        <f>DATEVALUE(OnePlusSalesData[[#This Row],[order_date]])</f>
        <v>43226</v>
      </c>
      <c r="Q154" s="28">
        <f>DATEVALUE(OnePlusSalesData[[#This Row],[delivery_date]])</f>
        <v>43229</v>
      </c>
    </row>
    <row r="155" spans="1:17" ht="16" x14ac:dyDescent="0.45">
      <c r="A155" s="8" t="s">
        <v>496</v>
      </c>
      <c r="B155" s="8" t="s">
        <v>16</v>
      </c>
      <c r="C155" s="9" t="s">
        <v>39</v>
      </c>
      <c r="D155" s="9" t="s">
        <v>18</v>
      </c>
      <c r="E155" s="9" t="s">
        <v>179</v>
      </c>
      <c r="F155" s="10">
        <v>1290</v>
      </c>
      <c r="G155" s="11">
        <v>1</v>
      </c>
      <c r="H155" s="12">
        <v>0.05</v>
      </c>
      <c r="I155" s="13">
        <v>64.5</v>
      </c>
      <c r="J155" s="13">
        <v>1225.5</v>
      </c>
      <c r="K155" s="13">
        <v>190.06</v>
      </c>
      <c r="L155" s="8" t="s">
        <v>497</v>
      </c>
      <c r="M155" s="19" t="s">
        <v>498</v>
      </c>
      <c r="N155" s="9" t="s">
        <v>22</v>
      </c>
      <c r="O155" s="9" t="s">
        <v>63</v>
      </c>
      <c r="P155">
        <f>DATEVALUE(OnePlusSalesData[[#This Row],[order_date]])</f>
        <v>43408</v>
      </c>
      <c r="Q155" s="28">
        <f>DATEVALUE(OnePlusSalesData[[#This Row],[delivery_date]])</f>
        <v>43411</v>
      </c>
    </row>
    <row r="156" spans="1:17" ht="16" x14ac:dyDescent="0.45">
      <c r="A156" s="2" t="s">
        <v>499</v>
      </c>
      <c r="B156" s="2" t="s">
        <v>58</v>
      </c>
      <c r="C156" s="3" t="s">
        <v>257</v>
      </c>
      <c r="D156" s="3" t="s">
        <v>40</v>
      </c>
      <c r="E156" s="3" t="s">
        <v>60</v>
      </c>
      <c r="F156" s="4">
        <v>54999</v>
      </c>
      <c r="G156" s="5">
        <v>1</v>
      </c>
      <c r="H156" s="6">
        <v>0</v>
      </c>
      <c r="I156" s="7">
        <v>0</v>
      </c>
      <c r="J156" s="7">
        <v>54999</v>
      </c>
      <c r="K156" s="7">
        <v>14057.83</v>
      </c>
      <c r="L156" s="2" t="s">
        <v>498</v>
      </c>
      <c r="M156" s="18" t="s">
        <v>500</v>
      </c>
      <c r="N156" s="3" t="s">
        <v>22</v>
      </c>
      <c r="O156" s="3" t="s">
        <v>23</v>
      </c>
      <c r="P156">
        <f>DATEVALUE(OnePlusSalesData[[#This Row],[order_date]])</f>
        <v>43411</v>
      </c>
      <c r="Q156" s="28">
        <f>DATEVALUE(OnePlusSalesData[[#This Row],[delivery_date]])</f>
        <v>43414</v>
      </c>
    </row>
    <row r="157" spans="1:17" ht="16" x14ac:dyDescent="0.45">
      <c r="A157" s="8" t="s">
        <v>501</v>
      </c>
      <c r="B157" s="8" t="s">
        <v>25</v>
      </c>
      <c r="C157" s="9" t="s">
        <v>172</v>
      </c>
      <c r="D157" s="9" t="s">
        <v>40</v>
      </c>
      <c r="E157" s="9" t="s">
        <v>60</v>
      </c>
      <c r="F157" s="10">
        <v>54999</v>
      </c>
      <c r="G157" s="11">
        <v>3</v>
      </c>
      <c r="H157" s="12">
        <v>0.1</v>
      </c>
      <c r="I157" s="13">
        <v>16499.7</v>
      </c>
      <c r="J157" s="13">
        <v>148497.29999999999</v>
      </c>
      <c r="K157" s="13">
        <v>22805.200000000001</v>
      </c>
      <c r="L157" s="8" t="s">
        <v>447</v>
      </c>
      <c r="M157" s="19" t="s">
        <v>279</v>
      </c>
      <c r="N157" s="9" t="s">
        <v>50</v>
      </c>
      <c r="O157" s="9" t="s">
        <v>63</v>
      </c>
      <c r="P157">
        <f>DATEVALUE(OnePlusSalesData[[#This Row],[order_date]])</f>
        <v>43445</v>
      </c>
      <c r="Q157" s="28">
        <f>DATEVALUE(OnePlusSalesData[[#This Row],[delivery_date]])</f>
        <v>43452</v>
      </c>
    </row>
    <row r="158" spans="1:17" ht="16" x14ac:dyDescent="0.45">
      <c r="A158" s="2" t="s">
        <v>502</v>
      </c>
      <c r="B158" s="2" t="s">
        <v>58</v>
      </c>
      <c r="C158" s="3" t="s">
        <v>81</v>
      </c>
      <c r="D158" s="3" t="s">
        <v>18</v>
      </c>
      <c r="E158" s="3" t="s">
        <v>124</v>
      </c>
      <c r="F158" s="4">
        <v>3990</v>
      </c>
      <c r="G158" s="5">
        <v>2</v>
      </c>
      <c r="H158" s="6">
        <v>0</v>
      </c>
      <c r="I158" s="7">
        <v>0</v>
      </c>
      <c r="J158" s="7">
        <v>7980</v>
      </c>
      <c r="K158" s="7">
        <v>1747.15</v>
      </c>
      <c r="L158" s="2" t="s">
        <v>343</v>
      </c>
      <c r="M158" s="18" t="s">
        <v>503</v>
      </c>
      <c r="N158" s="3" t="s">
        <v>22</v>
      </c>
      <c r="O158" s="3" t="s">
        <v>146</v>
      </c>
      <c r="P158">
        <f>DATEVALUE(OnePlusSalesData[[#This Row],[order_date]])</f>
        <v>44110</v>
      </c>
      <c r="Q158" s="28">
        <f>DATEVALUE(OnePlusSalesData[[#This Row],[delivery_date]])</f>
        <v>44117</v>
      </c>
    </row>
    <row r="159" spans="1:17" ht="16" x14ac:dyDescent="0.45">
      <c r="A159" s="8" t="s">
        <v>504</v>
      </c>
      <c r="B159" s="8" t="s">
        <v>58</v>
      </c>
      <c r="C159" s="9" t="s">
        <v>81</v>
      </c>
      <c r="D159" s="9" t="s">
        <v>34</v>
      </c>
      <c r="E159" s="9" t="s">
        <v>77</v>
      </c>
      <c r="F159" s="10">
        <v>24999</v>
      </c>
      <c r="G159" s="11">
        <v>1</v>
      </c>
      <c r="H159" s="12">
        <v>0.05</v>
      </c>
      <c r="I159" s="13">
        <v>1249.95</v>
      </c>
      <c r="J159" s="13">
        <v>23749.05</v>
      </c>
      <c r="K159" s="13">
        <v>3635.82</v>
      </c>
      <c r="L159" s="8" t="s">
        <v>355</v>
      </c>
      <c r="M159" s="19" t="s">
        <v>356</v>
      </c>
      <c r="N159" s="9" t="s">
        <v>92</v>
      </c>
      <c r="O159" s="9" t="s">
        <v>45</v>
      </c>
      <c r="P159">
        <f>DATEVALUE(OnePlusSalesData[[#This Row],[order_date]])</f>
        <v>43594</v>
      </c>
      <c r="Q159" s="28">
        <f>DATEVALUE(OnePlusSalesData[[#This Row],[delivery_date]])</f>
        <v>43599</v>
      </c>
    </row>
    <row r="160" spans="1:17" ht="16" x14ac:dyDescent="0.45">
      <c r="A160" s="2" t="s">
        <v>505</v>
      </c>
      <c r="B160" s="2" t="s">
        <v>52</v>
      </c>
      <c r="C160" s="3" t="s">
        <v>192</v>
      </c>
      <c r="D160" s="3" t="s">
        <v>27</v>
      </c>
      <c r="E160" s="3" t="s">
        <v>176</v>
      </c>
      <c r="F160" s="4">
        <v>69900</v>
      </c>
      <c r="G160" s="5">
        <v>1</v>
      </c>
      <c r="H160" s="6">
        <v>0.05</v>
      </c>
      <c r="I160" s="7">
        <v>3495</v>
      </c>
      <c r="J160" s="7">
        <v>66405</v>
      </c>
      <c r="K160" s="7">
        <v>14468.92</v>
      </c>
      <c r="L160" s="2" t="s">
        <v>294</v>
      </c>
      <c r="M160" s="18" t="s">
        <v>506</v>
      </c>
      <c r="N160" s="3" t="s">
        <v>22</v>
      </c>
      <c r="O160" s="3" t="s">
        <v>31</v>
      </c>
      <c r="P160">
        <f>DATEVALUE(OnePlusSalesData[[#This Row],[order_date]])</f>
        <v>43825</v>
      </c>
      <c r="Q160" s="28">
        <f>DATEVALUE(OnePlusSalesData[[#This Row],[delivery_date]])</f>
        <v>43827</v>
      </c>
    </row>
    <row r="161" spans="1:17" ht="16" x14ac:dyDescent="0.45">
      <c r="A161" s="8" t="s">
        <v>507</v>
      </c>
      <c r="B161" s="8" t="s">
        <v>52</v>
      </c>
      <c r="C161" s="9" t="s">
        <v>106</v>
      </c>
      <c r="D161" s="9" t="s">
        <v>40</v>
      </c>
      <c r="E161" s="9" t="s">
        <v>98</v>
      </c>
      <c r="F161" s="10">
        <v>34999</v>
      </c>
      <c r="G161" s="11">
        <v>1</v>
      </c>
      <c r="H161" s="12">
        <v>0.05</v>
      </c>
      <c r="I161" s="13">
        <v>1749.95</v>
      </c>
      <c r="J161" s="13">
        <v>33249.050000000003</v>
      </c>
      <c r="K161" s="13">
        <v>5561.65</v>
      </c>
      <c r="L161" s="8" t="s">
        <v>508</v>
      </c>
      <c r="M161" s="19" t="s">
        <v>509</v>
      </c>
      <c r="N161" s="9" t="s">
        <v>22</v>
      </c>
      <c r="O161" s="9" t="s">
        <v>63</v>
      </c>
      <c r="P161">
        <f>DATEVALUE(OnePlusSalesData[[#This Row],[order_date]])</f>
        <v>43967</v>
      </c>
      <c r="Q161" s="28">
        <f>DATEVALUE(OnePlusSalesData[[#This Row],[delivery_date]])</f>
        <v>43974</v>
      </c>
    </row>
    <row r="162" spans="1:17" ht="16" x14ac:dyDescent="0.45">
      <c r="A162" s="2" t="s">
        <v>510</v>
      </c>
      <c r="B162" s="2" t="s">
        <v>16</v>
      </c>
      <c r="C162" s="3" t="s">
        <v>17</v>
      </c>
      <c r="D162" s="3" t="s">
        <v>40</v>
      </c>
      <c r="E162" s="3" t="s">
        <v>60</v>
      </c>
      <c r="F162" s="4">
        <v>54999</v>
      </c>
      <c r="G162" s="5">
        <v>1</v>
      </c>
      <c r="H162" s="6">
        <v>0.05</v>
      </c>
      <c r="I162" s="7">
        <v>2749.95</v>
      </c>
      <c r="J162" s="7">
        <v>52249.05</v>
      </c>
      <c r="K162" s="7">
        <v>7475.64</v>
      </c>
      <c r="L162" s="2" t="s">
        <v>511</v>
      </c>
      <c r="M162" s="18" t="s">
        <v>512</v>
      </c>
      <c r="N162" s="3" t="s">
        <v>22</v>
      </c>
      <c r="O162" s="3" t="s">
        <v>31</v>
      </c>
      <c r="P162">
        <f>DATEVALUE(OnePlusSalesData[[#This Row],[order_date]])</f>
        <v>43765</v>
      </c>
      <c r="Q162" s="28">
        <f>DATEVALUE(OnePlusSalesData[[#This Row],[delivery_date]])</f>
        <v>43770</v>
      </c>
    </row>
    <row r="163" spans="1:17" ht="16" x14ac:dyDescent="0.45">
      <c r="A163" s="8" t="s">
        <v>513</v>
      </c>
      <c r="B163" s="8" t="s">
        <v>25</v>
      </c>
      <c r="C163" s="9" t="s">
        <v>120</v>
      </c>
      <c r="D163" s="9" t="s">
        <v>18</v>
      </c>
      <c r="E163" s="9" t="s">
        <v>19</v>
      </c>
      <c r="F163" s="10">
        <v>1990</v>
      </c>
      <c r="G163" s="11">
        <v>1</v>
      </c>
      <c r="H163" s="12">
        <v>0.05</v>
      </c>
      <c r="I163" s="13">
        <v>99.5</v>
      </c>
      <c r="J163" s="13">
        <v>1890.5</v>
      </c>
      <c r="K163" s="13">
        <v>434.11</v>
      </c>
      <c r="L163" s="8" t="s">
        <v>514</v>
      </c>
      <c r="M163" s="19" t="s">
        <v>515</v>
      </c>
      <c r="N163" s="9" t="s">
        <v>22</v>
      </c>
      <c r="O163" s="9" t="s">
        <v>45</v>
      </c>
      <c r="P163">
        <f>DATEVALUE(OnePlusSalesData[[#This Row],[order_date]])</f>
        <v>43464</v>
      </c>
      <c r="Q163" s="28">
        <f>DATEVALUE(OnePlusSalesData[[#This Row],[delivery_date]])</f>
        <v>43468</v>
      </c>
    </row>
    <row r="164" spans="1:17" ht="16" x14ac:dyDescent="0.45">
      <c r="A164" s="2" t="s">
        <v>516</v>
      </c>
      <c r="B164" s="2" t="s">
        <v>16</v>
      </c>
      <c r="C164" s="3" t="s">
        <v>17</v>
      </c>
      <c r="D164" s="3" t="s">
        <v>18</v>
      </c>
      <c r="E164" s="3" t="s">
        <v>19</v>
      </c>
      <c r="F164" s="4">
        <v>1990</v>
      </c>
      <c r="G164" s="5">
        <v>1</v>
      </c>
      <c r="H164" s="6">
        <v>0.12</v>
      </c>
      <c r="I164" s="7">
        <v>238.8</v>
      </c>
      <c r="J164" s="7">
        <v>1751.2</v>
      </c>
      <c r="K164" s="7">
        <v>257.83</v>
      </c>
      <c r="L164" s="2" t="s">
        <v>517</v>
      </c>
      <c r="M164" s="18" t="s">
        <v>62</v>
      </c>
      <c r="N164" s="3" t="s">
        <v>22</v>
      </c>
      <c r="O164" s="3" t="s">
        <v>23</v>
      </c>
      <c r="P164">
        <f>DATEVALUE(OnePlusSalesData[[#This Row],[order_date]])</f>
        <v>43889</v>
      </c>
      <c r="Q164" s="28">
        <f>DATEVALUE(OnePlusSalesData[[#This Row],[delivery_date]])</f>
        <v>43895</v>
      </c>
    </row>
    <row r="165" spans="1:17" ht="16" x14ac:dyDescent="0.45">
      <c r="A165" s="8" t="s">
        <v>518</v>
      </c>
      <c r="B165" s="8" t="s">
        <v>16</v>
      </c>
      <c r="C165" s="9" t="s">
        <v>17</v>
      </c>
      <c r="D165" s="9" t="s">
        <v>27</v>
      </c>
      <c r="E165" s="9" t="s">
        <v>159</v>
      </c>
      <c r="F165" s="10">
        <v>22999</v>
      </c>
      <c r="G165" s="11">
        <v>2</v>
      </c>
      <c r="H165" s="12">
        <v>0.12</v>
      </c>
      <c r="I165" s="13">
        <v>5519.76</v>
      </c>
      <c r="J165" s="13">
        <v>40478.239999999998</v>
      </c>
      <c r="K165" s="13">
        <v>8252.35</v>
      </c>
      <c r="L165" s="8" t="s">
        <v>519</v>
      </c>
      <c r="M165" s="19" t="s">
        <v>248</v>
      </c>
      <c r="N165" s="9" t="s">
        <v>92</v>
      </c>
      <c r="O165" s="9" t="s">
        <v>31</v>
      </c>
      <c r="P165">
        <f>DATEVALUE(OnePlusSalesData[[#This Row],[order_date]])</f>
        <v>43206</v>
      </c>
      <c r="Q165" s="28">
        <f>DATEVALUE(OnePlusSalesData[[#This Row],[delivery_date]])</f>
        <v>43211</v>
      </c>
    </row>
    <row r="166" spans="1:17" ht="16" x14ac:dyDescent="0.45">
      <c r="A166" s="2" t="s">
        <v>520</v>
      </c>
      <c r="B166" s="2" t="s">
        <v>58</v>
      </c>
      <c r="C166" s="3" t="s">
        <v>113</v>
      </c>
      <c r="D166" s="3" t="s">
        <v>85</v>
      </c>
      <c r="E166" s="3" t="s">
        <v>228</v>
      </c>
      <c r="F166" s="4">
        <v>5990</v>
      </c>
      <c r="G166" s="5">
        <v>1</v>
      </c>
      <c r="H166" s="6">
        <v>0.1</v>
      </c>
      <c r="I166" s="7">
        <v>599</v>
      </c>
      <c r="J166" s="7">
        <v>5391</v>
      </c>
      <c r="K166" s="7">
        <v>1272.1300000000001</v>
      </c>
      <c r="L166" s="2" t="s">
        <v>521</v>
      </c>
      <c r="M166" s="18" t="s">
        <v>522</v>
      </c>
      <c r="N166" s="3" t="s">
        <v>22</v>
      </c>
      <c r="O166" s="3" t="s">
        <v>23</v>
      </c>
      <c r="P166">
        <f>DATEVALUE(OnePlusSalesData[[#This Row],[order_date]])</f>
        <v>43259</v>
      </c>
      <c r="Q166" s="28">
        <f>DATEVALUE(OnePlusSalesData[[#This Row],[delivery_date]])</f>
        <v>43261</v>
      </c>
    </row>
    <row r="167" spans="1:17" ht="16" x14ac:dyDescent="0.45">
      <c r="A167" s="8" t="s">
        <v>523</v>
      </c>
      <c r="B167" s="8" t="s">
        <v>58</v>
      </c>
      <c r="C167" s="9" t="s">
        <v>59</v>
      </c>
      <c r="D167" s="9" t="s">
        <v>40</v>
      </c>
      <c r="E167" s="9" t="s">
        <v>148</v>
      </c>
      <c r="F167" s="10">
        <v>41999</v>
      </c>
      <c r="G167" s="11">
        <v>2</v>
      </c>
      <c r="H167" s="12">
        <v>0.05</v>
      </c>
      <c r="I167" s="13">
        <v>4199.8999999999996</v>
      </c>
      <c r="J167" s="13">
        <v>79798.100000000006</v>
      </c>
      <c r="K167" s="13">
        <v>16213.37</v>
      </c>
      <c r="L167" s="8" t="s">
        <v>524</v>
      </c>
      <c r="M167" s="19" t="s">
        <v>525</v>
      </c>
      <c r="N167" s="9" t="s">
        <v>22</v>
      </c>
      <c r="O167" s="9" t="s">
        <v>63</v>
      </c>
      <c r="P167">
        <f>DATEVALUE(OnePlusSalesData[[#This Row],[order_date]])</f>
        <v>43659</v>
      </c>
      <c r="Q167" s="28">
        <f>DATEVALUE(OnePlusSalesData[[#This Row],[delivery_date]])</f>
        <v>43663</v>
      </c>
    </row>
    <row r="168" spans="1:17" ht="16" x14ac:dyDescent="0.45">
      <c r="A168" s="2" t="s">
        <v>526</v>
      </c>
      <c r="B168" s="2" t="s">
        <v>16</v>
      </c>
      <c r="C168" s="3" t="s">
        <v>152</v>
      </c>
      <c r="D168" s="3" t="s">
        <v>34</v>
      </c>
      <c r="E168" s="3" t="s">
        <v>77</v>
      </c>
      <c r="F168" s="4">
        <v>24999</v>
      </c>
      <c r="G168" s="5">
        <v>2</v>
      </c>
      <c r="H168" s="6">
        <v>0.08</v>
      </c>
      <c r="I168" s="7">
        <v>3999.84</v>
      </c>
      <c r="J168" s="7">
        <v>45998.16</v>
      </c>
      <c r="K168" s="7">
        <v>7404.45</v>
      </c>
      <c r="L168" s="2" t="s">
        <v>527</v>
      </c>
      <c r="M168" s="18" t="s">
        <v>528</v>
      </c>
      <c r="N168" s="3" t="s">
        <v>22</v>
      </c>
      <c r="O168" s="3" t="s">
        <v>63</v>
      </c>
      <c r="P168">
        <f>DATEVALUE(OnePlusSalesData[[#This Row],[order_date]])</f>
        <v>43782</v>
      </c>
      <c r="Q168" s="28">
        <f>DATEVALUE(OnePlusSalesData[[#This Row],[delivery_date]])</f>
        <v>43784</v>
      </c>
    </row>
    <row r="169" spans="1:17" ht="16" x14ac:dyDescent="0.45">
      <c r="A169" s="8" t="s">
        <v>529</v>
      </c>
      <c r="B169" s="8" t="s">
        <v>25</v>
      </c>
      <c r="C169" s="9" t="s">
        <v>26</v>
      </c>
      <c r="D169" s="9" t="s">
        <v>40</v>
      </c>
      <c r="E169" s="9" t="s">
        <v>406</v>
      </c>
      <c r="F169" s="10">
        <v>48999</v>
      </c>
      <c r="G169" s="11">
        <v>1</v>
      </c>
      <c r="H169" s="12">
        <v>0.08</v>
      </c>
      <c r="I169" s="13">
        <v>3919.92</v>
      </c>
      <c r="J169" s="13">
        <v>45079.08</v>
      </c>
      <c r="K169" s="13">
        <v>6827.87</v>
      </c>
      <c r="L169" s="8" t="s">
        <v>156</v>
      </c>
      <c r="M169" s="19" t="s">
        <v>530</v>
      </c>
      <c r="N169" s="9" t="s">
        <v>22</v>
      </c>
      <c r="O169" s="9" t="s">
        <v>23</v>
      </c>
      <c r="P169">
        <f>DATEVALUE(OnePlusSalesData[[#This Row],[order_date]])</f>
        <v>44093</v>
      </c>
      <c r="Q169" s="28">
        <f>DATEVALUE(OnePlusSalesData[[#This Row],[delivery_date]])</f>
        <v>44096</v>
      </c>
    </row>
    <row r="170" spans="1:17" ht="16" x14ac:dyDescent="0.45">
      <c r="A170" s="2" t="s">
        <v>531</v>
      </c>
      <c r="B170" s="2" t="s">
        <v>58</v>
      </c>
      <c r="C170" s="3" t="s">
        <v>257</v>
      </c>
      <c r="D170" s="3" t="s">
        <v>27</v>
      </c>
      <c r="E170" s="3" t="s">
        <v>28</v>
      </c>
      <c r="F170" s="4">
        <v>12999</v>
      </c>
      <c r="G170" s="5">
        <v>1</v>
      </c>
      <c r="H170" s="6">
        <v>0</v>
      </c>
      <c r="I170" s="7">
        <v>0</v>
      </c>
      <c r="J170" s="7">
        <v>12999</v>
      </c>
      <c r="K170" s="7">
        <v>2821.26</v>
      </c>
      <c r="L170" s="2" t="s">
        <v>532</v>
      </c>
      <c r="M170" s="18" t="s">
        <v>533</v>
      </c>
      <c r="N170" s="3" t="s">
        <v>22</v>
      </c>
      <c r="O170" s="3" t="s">
        <v>31</v>
      </c>
      <c r="P170">
        <f>DATEVALUE(OnePlusSalesData[[#This Row],[order_date]])</f>
        <v>44088</v>
      </c>
      <c r="Q170" s="28">
        <f>DATEVALUE(OnePlusSalesData[[#This Row],[delivery_date]])</f>
        <v>44092</v>
      </c>
    </row>
    <row r="171" spans="1:17" ht="16" x14ac:dyDescent="0.45">
      <c r="A171" s="8" t="s">
        <v>534</v>
      </c>
      <c r="B171" s="8" t="s">
        <v>16</v>
      </c>
      <c r="C171" s="9" t="s">
        <v>33</v>
      </c>
      <c r="D171" s="9" t="s">
        <v>40</v>
      </c>
      <c r="E171" s="9" t="s">
        <v>47</v>
      </c>
      <c r="F171" s="10">
        <v>37999</v>
      </c>
      <c r="G171" s="11">
        <v>1</v>
      </c>
      <c r="H171" s="12">
        <v>0.08</v>
      </c>
      <c r="I171" s="13">
        <v>3039.92</v>
      </c>
      <c r="J171" s="13">
        <v>34959.08</v>
      </c>
      <c r="K171" s="13">
        <v>7729.49</v>
      </c>
      <c r="L171" s="8" t="s">
        <v>535</v>
      </c>
      <c r="M171" s="19" t="s">
        <v>536</v>
      </c>
      <c r="N171" s="9" t="s">
        <v>92</v>
      </c>
      <c r="O171" s="9" t="s">
        <v>96</v>
      </c>
      <c r="P171">
        <f>DATEVALUE(OnePlusSalesData[[#This Row],[order_date]])</f>
        <v>43737</v>
      </c>
      <c r="Q171" s="28">
        <f>DATEVALUE(OnePlusSalesData[[#This Row],[delivery_date]])</f>
        <v>43739</v>
      </c>
    </row>
    <row r="172" spans="1:17" ht="16" x14ac:dyDescent="0.45">
      <c r="A172" s="2" t="s">
        <v>537</v>
      </c>
      <c r="B172" s="2" t="s">
        <v>25</v>
      </c>
      <c r="C172" s="3" t="s">
        <v>26</v>
      </c>
      <c r="D172" s="3" t="s">
        <v>40</v>
      </c>
      <c r="E172" s="3" t="s">
        <v>406</v>
      </c>
      <c r="F172" s="4">
        <v>48999</v>
      </c>
      <c r="G172" s="5">
        <v>2</v>
      </c>
      <c r="H172" s="6">
        <v>0.08</v>
      </c>
      <c r="I172" s="7">
        <v>7839.84</v>
      </c>
      <c r="J172" s="7">
        <v>90158.16</v>
      </c>
      <c r="K172" s="7">
        <v>15588.28</v>
      </c>
      <c r="L172" s="2" t="s">
        <v>538</v>
      </c>
      <c r="M172" s="18" t="s">
        <v>539</v>
      </c>
      <c r="N172" s="3" t="s">
        <v>22</v>
      </c>
      <c r="O172" s="3" t="s">
        <v>146</v>
      </c>
      <c r="P172">
        <f>DATEVALUE(OnePlusSalesData[[#This Row],[order_date]])</f>
        <v>44106</v>
      </c>
      <c r="Q172" s="28">
        <f>DATEVALUE(OnePlusSalesData[[#This Row],[delivery_date]])</f>
        <v>44111</v>
      </c>
    </row>
    <row r="173" spans="1:17" ht="16" x14ac:dyDescent="0.45">
      <c r="A173" s="8" t="s">
        <v>540</v>
      </c>
      <c r="B173" s="8" t="s">
        <v>25</v>
      </c>
      <c r="C173" s="9" t="s">
        <v>133</v>
      </c>
      <c r="D173" s="9" t="s">
        <v>40</v>
      </c>
      <c r="E173" s="9" t="s">
        <v>54</v>
      </c>
      <c r="F173" s="10">
        <v>53999</v>
      </c>
      <c r="G173" s="11">
        <v>1</v>
      </c>
      <c r="H173" s="12">
        <v>0</v>
      </c>
      <c r="I173" s="13">
        <v>0</v>
      </c>
      <c r="J173" s="13">
        <v>53999</v>
      </c>
      <c r="K173" s="13">
        <v>10923.31</v>
      </c>
      <c r="L173" s="8" t="s">
        <v>443</v>
      </c>
      <c r="M173" s="19" t="s">
        <v>369</v>
      </c>
      <c r="N173" s="9" t="s">
        <v>22</v>
      </c>
      <c r="O173" s="9" t="s">
        <v>63</v>
      </c>
      <c r="P173">
        <f>DATEVALUE(OnePlusSalesData[[#This Row],[order_date]])</f>
        <v>44056</v>
      </c>
      <c r="Q173" s="28">
        <f>DATEVALUE(OnePlusSalesData[[#This Row],[delivery_date]])</f>
        <v>44062</v>
      </c>
    </row>
    <row r="174" spans="1:17" ht="16" x14ac:dyDescent="0.45">
      <c r="A174" s="2" t="s">
        <v>541</v>
      </c>
      <c r="B174" s="2" t="s">
        <v>25</v>
      </c>
      <c r="C174" s="3" t="s">
        <v>172</v>
      </c>
      <c r="D174" s="3" t="s">
        <v>40</v>
      </c>
      <c r="E174" s="3" t="s">
        <v>73</v>
      </c>
      <c r="F174" s="4">
        <v>32999</v>
      </c>
      <c r="G174" s="5">
        <v>1</v>
      </c>
      <c r="H174" s="6">
        <v>0.05</v>
      </c>
      <c r="I174" s="7">
        <v>1649.95</v>
      </c>
      <c r="J174" s="7">
        <v>31349.05</v>
      </c>
      <c r="K174" s="7">
        <v>5641.58</v>
      </c>
      <c r="L174" s="2" t="s">
        <v>506</v>
      </c>
      <c r="M174" s="18" t="s">
        <v>542</v>
      </c>
      <c r="N174" s="3" t="s">
        <v>92</v>
      </c>
      <c r="O174" s="3" t="s">
        <v>63</v>
      </c>
      <c r="P174">
        <f>DATEVALUE(OnePlusSalesData[[#This Row],[order_date]])</f>
        <v>43827</v>
      </c>
      <c r="Q174" s="28">
        <f>DATEVALUE(OnePlusSalesData[[#This Row],[delivery_date]])</f>
        <v>43832</v>
      </c>
    </row>
    <row r="175" spans="1:17" ht="16" x14ac:dyDescent="0.45">
      <c r="A175" s="8" t="s">
        <v>543</v>
      </c>
      <c r="B175" s="8" t="s">
        <v>52</v>
      </c>
      <c r="C175" s="9" t="s">
        <v>106</v>
      </c>
      <c r="D175" s="9" t="s">
        <v>40</v>
      </c>
      <c r="E175" s="9" t="s">
        <v>60</v>
      </c>
      <c r="F175" s="10">
        <v>54999</v>
      </c>
      <c r="G175" s="11">
        <v>1</v>
      </c>
      <c r="H175" s="12">
        <v>0</v>
      </c>
      <c r="I175" s="13">
        <v>0</v>
      </c>
      <c r="J175" s="13">
        <v>54999</v>
      </c>
      <c r="K175" s="13">
        <v>14046.74</v>
      </c>
      <c r="L175" s="8" t="s">
        <v>544</v>
      </c>
      <c r="M175" s="19" t="s">
        <v>329</v>
      </c>
      <c r="N175" s="9" t="s">
        <v>22</v>
      </c>
      <c r="O175" s="9" t="s">
        <v>31</v>
      </c>
      <c r="P175">
        <f>DATEVALUE(OnePlusSalesData[[#This Row],[order_date]])</f>
        <v>43387</v>
      </c>
      <c r="Q175" s="28">
        <f>DATEVALUE(OnePlusSalesData[[#This Row],[delivery_date]])</f>
        <v>43389</v>
      </c>
    </row>
    <row r="176" spans="1:17" ht="16" x14ac:dyDescent="0.45">
      <c r="A176" s="2" t="s">
        <v>545</v>
      </c>
      <c r="B176" s="2" t="s">
        <v>16</v>
      </c>
      <c r="C176" s="3" t="s">
        <v>152</v>
      </c>
      <c r="D176" s="3" t="s">
        <v>18</v>
      </c>
      <c r="E176" s="3" t="s">
        <v>102</v>
      </c>
      <c r="F176" s="4">
        <v>1490</v>
      </c>
      <c r="G176" s="5">
        <v>1</v>
      </c>
      <c r="H176" s="6">
        <v>0.15</v>
      </c>
      <c r="I176" s="7">
        <v>223.5</v>
      </c>
      <c r="J176" s="7">
        <v>1266.5</v>
      </c>
      <c r="K176" s="7">
        <v>249.48</v>
      </c>
      <c r="L176" s="2" t="s">
        <v>546</v>
      </c>
      <c r="M176" s="18" t="s">
        <v>547</v>
      </c>
      <c r="N176" s="3" t="s">
        <v>44</v>
      </c>
      <c r="O176" s="3" t="s">
        <v>23</v>
      </c>
      <c r="P176">
        <f>DATEVALUE(OnePlusSalesData[[#This Row],[order_date]])</f>
        <v>43337</v>
      </c>
      <c r="Q176" s="28">
        <f>DATEVALUE(OnePlusSalesData[[#This Row],[delivery_date]])</f>
        <v>43342</v>
      </c>
    </row>
    <row r="177" spans="1:17" ht="16" x14ac:dyDescent="0.45">
      <c r="A177" s="8" t="s">
        <v>548</v>
      </c>
      <c r="B177" s="8" t="s">
        <v>52</v>
      </c>
      <c r="C177" s="9" t="s">
        <v>106</v>
      </c>
      <c r="D177" s="9" t="s">
        <v>40</v>
      </c>
      <c r="E177" s="9" t="s">
        <v>98</v>
      </c>
      <c r="F177" s="10">
        <v>34999</v>
      </c>
      <c r="G177" s="11">
        <v>3</v>
      </c>
      <c r="H177" s="12">
        <v>0.05</v>
      </c>
      <c r="I177" s="13">
        <v>5249.85</v>
      </c>
      <c r="J177" s="13">
        <v>99747.15</v>
      </c>
      <c r="K177" s="13">
        <v>21428.71</v>
      </c>
      <c r="L177" s="8" t="s">
        <v>549</v>
      </c>
      <c r="M177" s="19" t="s">
        <v>550</v>
      </c>
      <c r="N177" s="9" t="s">
        <v>22</v>
      </c>
      <c r="O177" s="9" t="s">
        <v>31</v>
      </c>
      <c r="P177">
        <f>DATEVALUE(OnePlusSalesData[[#This Row],[order_date]])</f>
        <v>44078</v>
      </c>
      <c r="Q177" s="28">
        <f>DATEVALUE(OnePlusSalesData[[#This Row],[delivery_date]])</f>
        <v>44080</v>
      </c>
    </row>
    <row r="178" spans="1:17" ht="16" x14ac:dyDescent="0.45">
      <c r="A178" s="2" t="s">
        <v>551</v>
      </c>
      <c r="B178" s="2" t="s">
        <v>25</v>
      </c>
      <c r="C178" s="3" t="s">
        <v>65</v>
      </c>
      <c r="D178" s="3" t="s">
        <v>85</v>
      </c>
      <c r="E178" s="3" t="s">
        <v>258</v>
      </c>
      <c r="F178" s="4">
        <v>2999</v>
      </c>
      <c r="G178" s="5">
        <v>1</v>
      </c>
      <c r="H178" s="6">
        <v>0</v>
      </c>
      <c r="I178" s="7">
        <v>0</v>
      </c>
      <c r="J178" s="7">
        <v>2999</v>
      </c>
      <c r="K178" s="7">
        <v>542.82000000000005</v>
      </c>
      <c r="L178" s="2" t="s">
        <v>552</v>
      </c>
      <c r="M178" s="18" t="s">
        <v>553</v>
      </c>
      <c r="N178" s="3" t="s">
        <v>22</v>
      </c>
      <c r="O178" s="3" t="s">
        <v>23</v>
      </c>
      <c r="P178">
        <f>DATEVALUE(OnePlusSalesData[[#This Row],[order_date]])</f>
        <v>43461</v>
      </c>
      <c r="Q178" s="28">
        <f>DATEVALUE(OnePlusSalesData[[#This Row],[delivery_date]])</f>
        <v>43467</v>
      </c>
    </row>
    <row r="179" spans="1:17" ht="16" x14ac:dyDescent="0.45">
      <c r="A179" s="8" t="s">
        <v>554</v>
      </c>
      <c r="B179" s="8" t="s">
        <v>16</v>
      </c>
      <c r="C179" s="9" t="s">
        <v>39</v>
      </c>
      <c r="D179" s="9" t="s">
        <v>27</v>
      </c>
      <c r="E179" s="9" t="s">
        <v>159</v>
      </c>
      <c r="F179" s="10">
        <v>22999</v>
      </c>
      <c r="G179" s="11">
        <v>1</v>
      </c>
      <c r="H179" s="12">
        <v>0.12</v>
      </c>
      <c r="I179" s="13">
        <v>2759.88</v>
      </c>
      <c r="J179" s="13">
        <v>20239.12</v>
      </c>
      <c r="K179" s="13">
        <v>4954.54</v>
      </c>
      <c r="L179" s="8" t="s">
        <v>555</v>
      </c>
      <c r="M179" s="19" t="s">
        <v>556</v>
      </c>
      <c r="N179" s="9" t="s">
        <v>92</v>
      </c>
      <c r="O179" s="9" t="s">
        <v>63</v>
      </c>
      <c r="P179">
        <f>DATEVALUE(OnePlusSalesData[[#This Row],[order_date]])</f>
        <v>43362</v>
      </c>
      <c r="Q179" s="28">
        <f>DATEVALUE(OnePlusSalesData[[#This Row],[delivery_date]])</f>
        <v>43366</v>
      </c>
    </row>
    <row r="180" spans="1:17" ht="16" x14ac:dyDescent="0.45">
      <c r="A180" s="2" t="s">
        <v>557</v>
      </c>
      <c r="B180" s="2" t="s">
        <v>16</v>
      </c>
      <c r="C180" s="3" t="s">
        <v>152</v>
      </c>
      <c r="D180" s="3" t="s">
        <v>34</v>
      </c>
      <c r="E180" s="3" t="s">
        <v>35</v>
      </c>
      <c r="F180" s="4">
        <v>19999</v>
      </c>
      <c r="G180" s="5">
        <v>1</v>
      </c>
      <c r="H180" s="6">
        <v>0.05</v>
      </c>
      <c r="I180" s="7">
        <v>999.95</v>
      </c>
      <c r="J180" s="7">
        <v>18999.05</v>
      </c>
      <c r="K180" s="7">
        <v>3890.4</v>
      </c>
      <c r="L180" s="2" t="s">
        <v>558</v>
      </c>
      <c r="M180" s="18" t="s">
        <v>486</v>
      </c>
      <c r="N180" s="3" t="s">
        <v>92</v>
      </c>
      <c r="O180" s="3" t="s">
        <v>23</v>
      </c>
      <c r="P180">
        <f>DATEVALUE(OnePlusSalesData[[#This Row],[order_date]])</f>
        <v>43234</v>
      </c>
      <c r="Q180" s="28">
        <f>DATEVALUE(OnePlusSalesData[[#This Row],[delivery_date]])</f>
        <v>43238</v>
      </c>
    </row>
    <row r="181" spans="1:17" ht="16" x14ac:dyDescent="0.45">
      <c r="A181" s="8" t="s">
        <v>559</v>
      </c>
      <c r="B181" s="8" t="s">
        <v>25</v>
      </c>
      <c r="C181" s="9" t="s">
        <v>65</v>
      </c>
      <c r="D181" s="9" t="s">
        <v>40</v>
      </c>
      <c r="E181" s="9" t="s">
        <v>73</v>
      </c>
      <c r="F181" s="10">
        <v>32999</v>
      </c>
      <c r="G181" s="11">
        <v>1</v>
      </c>
      <c r="H181" s="12">
        <v>0.08</v>
      </c>
      <c r="I181" s="13">
        <v>2639.92</v>
      </c>
      <c r="J181" s="13">
        <v>30359.08</v>
      </c>
      <c r="K181" s="13">
        <v>5511.14</v>
      </c>
      <c r="L181" s="8" t="s">
        <v>556</v>
      </c>
      <c r="M181" s="19" t="s">
        <v>560</v>
      </c>
      <c r="N181" s="9" t="s">
        <v>22</v>
      </c>
      <c r="O181" s="9" t="s">
        <v>31</v>
      </c>
      <c r="P181">
        <f>DATEVALUE(OnePlusSalesData[[#This Row],[order_date]])</f>
        <v>43366</v>
      </c>
      <c r="Q181" s="28">
        <f>DATEVALUE(OnePlusSalesData[[#This Row],[delivery_date]])</f>
        <v>43368</v>
      </c>
    </row>
    <row r="182" spans="1:17" ht="16" x14ac:dyDescent="0.45">
      <c r="A182" s="2" t="s">
        <v>561</v>
      </c>
      <c r="B182" s="2" t="s">
        <v>16</v>
      </c>
      <c r="C182" s="3" t="s">
        <v>33</v>
      </c>
      <c r="D182" s="3" t="s">
        <v>85</v>
      </c>
      <c r="E182" s="3" t="s">
        <v>258</v>
      </c>
      <c r="F182" s="4">
        <v>2999</v>
      </c>
      <c r="G182" s="5">
        <v>3</v>
      </c>
      <c r="H182" s="6">
        <v>0.1</v>
      </c>
      <c r="I182" s="7">
        <v>899.7</v>
      </c>
      <c r="J182" s="7">
        <v>8097.3</v>
      </c>
      <c r="K182" s="7">
        <v>1442.16</v>
      </c>
      <c r="L182" s="2" t="s">
        <v>562</v>
      </c>
      <c r="M182" s="18" t="s">
        <v>563</v>
      </c>
      <c r="N182" s="3" t="s">
        <v>50</v>
      </c>
      <c r="O182" s="3" t="s">
        <v>63</v>
      </c>
      <c r="P182">
        <f>DATEVALUE(OnePlusSalesData[[#This Row],[order_date]])</f>
        <v>43583</v>
      </c>
      <c r="Q182" s="28">
        <f>DATEVALUE(OnePlusSalesData[[#This Row],[delivery_date]])</f>
        <v>43585</v>
      </c>
    </row>
    <row r="183" spans="1:17" ht="16" x14ac:dyDescent="0.45">
      <c r="A183" s="8" t="s">
        <v>564</v>
      </c>
      <c r="B183" s="8" t="s">
        <v>25</v>
      </c>
      <c r="C183" s="9" t="s">
        <v>65</v>
      </c>
      <c r="D183" s="9" t="s">
        <v>40</v>
      </c>
      <c r="E183" s="9" t="s">
        <v>47</v>
      </c>
      <c r="F183" s="10">
        <v>37999</v>
      </c>
      <c r="G183" s="11">
        <v>1</v>
      </c>
      <c r="H183" s="12">
        <v>0</v>
      </c>
      <c r="I183" s="13">
        <v>0</v>
      </c>
      <c r="J183" s="13">
        <v>37999</v>
      </c>
      <c r="K183" s="13">
        <v>5684.49</v>
      </c>
      <c r="L183" s="8" t="s">
        <v>565</v>
      </c>
      <c r="M183" s="19" t="s">
        <v>566</v>
      </c>
      <c r="N183" s="9" t="s">
        <v>22</v>
      </c>
      <c r="O183" s="9" t="s">
        <v>31</v>
      </c>
      <c r="P183">
        <f>DATEVALUE(OnePlusSalesData[[#This Row],[order_date]])</f>
        <v>44136</v>
      </c>
      <c r="Q183" s="28">
        <f>DATEVALUE(OnePlusSalesData[[#This Row],[delivery_date]])</f>
        <v>44141</v>
      </c>
    </row>
    <row r="184" spans="1:17" ht="16" x14ac:dyDescent="0.45">
      <c r="A184" s="2" t="s">
        <v>567</v>
      </c>
      <c r="B184" s="2" t="s">
        <v>16</v>
      </c>
      <c r="C184" s="3" t="s">
        <v>152</v>
      </c>
      <c r="D184" s="3" t="s">
        <v>40</v>
      </c>
      <c r="E184" s="3" t="s">
        <v>54</v>
      </c>
      <c r="F184" s="4">
        <v>53999</v>
      </c>
      <c r="G184" s="5">
        <v>1</v>
      </c>
      <c r="H184" s="6">
        <v>0</v>
      </c>
      <c r="I184" s="7">
        <v>0</v>
      </c>
      <c r="J184" s="7">
        <v>53999</v>
      </c>
      <c r="K184" s="7">
        <v>11464.33</v>
      </c>
      <c r="L184" s="2" t="s">
        <v>377</v>
      </c>
      <c r="M184" s="18" t="s">
        <v>251</v>
      </c>
      <c r="N184" s="3" t="s">
        <v>22</v>
      </c>
      <c r="O184" s="3" t="s">
        <v>63</v>
      </c>
      <c r="P184">
        <f>DATEVALUE(OnePlusSalesData[[#This Row],[order_date]])</f>
        <v>43763</v>
      </c>
      <c r="Q184" s="28">
        <f>DATEVALUE(OnePlusSalesData[[#This Row],[delivery_date]])</f>
        <v>43767</v>
      </c>
    </row>
    <row r="185" spans="1:17" ht="16" x14ac:dyDescent="0.45">
      <c r="A185" s="8" t="s">
        <v>568</v>
      </c>
      <c r="B185" s="8" t="s">
        <v>25</v>
      </c>
      <c r="C185" s="9" t="s">
        <v>133</v>
      </c>
      <c r="D185" s="9" t="s">
        <v>40</v>
      </c>
      <c r="E185" s="9" t="s">
        <v>47</v>
      </c>
      <c r="F185" s="10">
        <v>37999</v>
      </c>
      <c r="G185" s="11">
        <v>1</v>
      </c>
      <c r="H185" s="12">
        <v>0.1</v>
      </c>
      <c r="I185" s="13">
        <v>3799.9</v>
      </c>
      <c r="J185" s="13">
        <v>34199.1</v>
      </c>
      <c r="K185" s="13">
        <v>7330.23</v>
      </c>
      <c r="L185" s="8" t="s">
        <v>569</v>
      </c>
      <c r="M185" s="19" t="s">
        <v>570</v>
      </c>
      <c r="N185" s="9" t="s">
        <v>22</v>
      </c>
      <c r="O185" s="9" t="s">
        <v>23</v>
      </c>
      <c r="P185">
        <f>DATEVALUE(OnePlusSalesData[[#This Row],[order_date]])</f>
        <v>43557</v>
      </c>
      <c r="Q185" s="28">
        <f>DATEVALUE(OnePlusSalesData[[#This Row],[delivery_date]])</f>
        <v>43561</v>
      </c>
    </row>
    <row r="186" spans="1:17" ht="16" x14ac:dyDescent="0.45">
      <c r="A186" s="2" t="s">
        <v>571</v>
      </c>
      <c r="B186" s="2" t="s">
        <v>52</v>
      </c>
      <c r="C186" s="3" t="s">
        <v>69</v>
      </c>
      <c r="D186" s="3" t="s">
        <v>40</v>
      </c>
      <c r="E186" s="3" t="s">
        <v>148</v>
      </c>
      <c r="F186" s="4">
        <v>41999</v>
      </c>
      <c r="G186" s="5">
        <v>2</v>
      </c>
      <c r="H186" s="6">
        <v>0</v>
      </c>
      <c r="I186" s="7">
        <v>0</v>
      </c>
      <c r="J186" s="7">
        <v>83998</v>
      </c>
      <c r="K186" s="7">
        <v>16894.57</v>
      </c>
      <c r="L186" s="2" t="s">
        <v>572</v>
      </c>
      <c r="M186" s="18" t="s">
        <v>573</v>
      </c>
      <c r="N186" s="3" t="s">
        <v>22</v>
      </c>
      <c r="O186" s="3" t="s">
        <v>23</v>
      </c>
      <c r="P186">
        <f>DATEVALUE(OnePlusSalesData[[#This Row],[order_date]])</f>
        <v>43885</v>
      </c>
      <c r="Q186" s="28">
        <f>DATEVALUE(OnePlusSalesData[[#This Row],[delivery_date]])</f>
        <v>43891</v>
      </c>
    </row>
    <row r="187" spans="1:17" ht="16" x14ac:dyDescent="0.45">
      <c r="A187" s="8" t="s">
        <v>574</v>
      </c>
      <c r="B187" s="8" t="s">
        <v>52</v>
      </c>
      <c r="C187" s="9" t="s">
        <v>106</v>
      </c>
      <c r="D187" s="9" t="s">
        <v>40</v>
      </c>
      <c r="E187" s="9" t="s">
        <v>54</v>
      </c>
      <c r="F187" s="10">
        <v>53999</v>
      </c>
      <c r="G187" s="11">
        <v>1</v>
      </c>
      <c r="H187" s="12">
        <v>0</v>
      </c>
      <c r="I187" s="13">
        <v>0</v>
      </c>
      <c r="J187" s="13">
        <v>53999</v>
      </c>
      <c r="K187" s="13">
        <v>13304.95</v>
      </c>
      <c r="L187" s="8" t="s">
        <v>575</v>
      </c>
      <c r="M187" s="19" t="s">
        <v>576</v>
      </c>
      <c r="N187" s="9" t="s">
        <v>22</v>
      </c>
      <c r="O187" s="9" t="s">
        <v>31</v>
      </c>
      <c r="P187">
        <f>DATEVALUE(OnePlusSalesData[[#This Row],[order_date]])</f>
        <v>43868</v>
      </c>
      <c r="Q187" s="28">
        <f>DATEVALUE(OnePlusSalesData[[#This Row],[delivery_date]])</f>
        <v>43874</v>
      </c>
    </row>
    <row r="188" spans="1:17" ht="16" x14ac:dyDescent="0.45">
      <c r="A188" s="2" t="s">
        <v>577</v>
      </c>
      <c r="B188" s="2" t="s">
        <v>16</v>
      </c>
      <c r="C188" s="3" t="s">
        <v>17</v>
      </c>
      <c r="D188" s="3" t="s">
        <v>40</v>
      </c>
      <c r="E188" s="3" t="s">
        <v>41</v>
      </c>
      <c r="F188" s="4">
        <v>37999</v>
      </c>
      <c r="G188" s="5">
        <v>1</v>
      </c>
      <c r="H188" s="6">
        <v>0.05</v>
      </c>
      <c r="I188" s="7">
        <v>1899.95</v>
      </c>
      <c r="J188" s="7">
        <v>36099.050000000003</v>
      </c>
      <c r="K188" s="7">
        <v>7138.99</v>
      </c>
      <c r="L188" s="2" t="s">
        <v>578</v>
      </c>
      <c r="M188" s="18" t="s">
        <v>579</v>
      </c>
      <c r="N188" s="3" t="s">
        <v>22</v>
      </c>
      <c r="O188" s="3" t="s">
        <v>63</v>
      </c>
      <c r="P188">
        <f>DATEVALUE(OnePlusSalesData[[#This Row],[order_date]])</f>
        <v>43346</v>
      </c>
      <c r="Q188" s="28">
        <f>DATEVALUE(OnePlusSalesData[[#This Row],[delivery_date]])</f>
        <v>43353</v>
      </c>
    </row>
    <row r="189" spans="1:17" ht="16" x14ac:dyDescent="0.45">
      <c r="A189" s="8" t="s">
        <v>580</v>
      </c>
      <c r="B189" s="8" t="s">
        <v>25</v>
      </c>
      <c r="C189" s="9" t="s">
        <v>65</v>
      </c>
      <c r="D189" s="9" t="s">
        <v>40</v>
      </c>
      <c r="E189" s="9" t="s">
        <v>98</v>
      </c>
      <c r="F189" s="10">
        <v>34999</v>
      </c>
      <c r="G189" s="11">
        <v>1</v>
      </c>
      <c r="H189" s="12">
        <v>0.1</v>
      </c>
      <c r="I189" s="13">
        <v>3499.9</v>
      </c>
      <c r="J189" s="13">
        <v>31499.1</v>
      </c>
      <c r="K189" s="13">
        <v>6788.56</v>
      </c>
      <c r="L189" s="8" t="s">
        <v>446</v>
      </c>
      <c r="M189" s="19" t="s">
        <v>581</v>
      </c>
      <c r="N189" s="9" t="s">
        <v>44</v>
      </c>
      <c r="O189" s="9" t="s">
        <v>31</v>
      </c>
      <c r="P189">
        <f>DATEVALUE(OnePlusSalesData[[#This Row],[order_date]])</f>
        <v>43438</v>
      </c>
      <c r="Q189" s="28">
        <f>DATEVALUE(OnePlusSalesData[[#This Row],[delivery_date]])</f>
        <v>43444</v>
      </c>
    </row>
    <row r="190" spans="1:17" ht="16" x14ac:dyDescent="0.45">
      <c r="A190" s="2" t="s">
        <v>582</v>
      </c>
      <c r="B190" s="2" t="s">
        <v>25</v>
      </c>
      <c r="C190" s="3" t="s">
        <v>120</v>
      </c>
      <c r="D190" s="3" t="s">
        <v>85</v>
      </c>
      <c r="E190" s="3" t="s">
        <v>228</v>
      </c>
      <c r="F190" s="4">
        <v>5990</v>
      </c>
      <c r="G190" s="5">
        <v>1</v>
      </c>
      <c r="H190" s="6">
        <v>0.1</v>
      </c>
      <c r="I190" s="7">
        <v>599</v>
      </c>
      <c r="J190" s="7">
        <v>5391</v>
      </c>
      <c r="K190" s="7">
        <v>818.19</v>
      </c>
      <c r="L190" s="2" t="s">
        <v>211</v>
      </c>
      <c r="M190" s="18" t="s">
        <v>583</v>
      </c>
      <c r="N190" s="3" t="s">
        <v>50</v>
      </c>
      <c r="O190" s="3" t="s">
        <v>23</v>
      </c>
      <c r="P190">
        <f>DATEVALUE(OnePlusSalesData[[#This Row],[order_date]])</f>
        <v>43610</v>
      </c>
      <c r="Q190" s="28">
        <f>DATEVALUE(OnePlusSalesData[[#This Row],[delivery_date]])</f>
        <v>43615</v>
      </c>
    </row>
    <row r="191" spans="1:17" ht="16" x14ac:dyDescent="0.45">
      <c r="A191" s="8" t="s">
        <v>584</v>
      </c>
      <c r="B191" s="8" t="s">
        <v>52</v>
      </c>
      <c r="C191" s="9" t="s">
        <v>69</v>
      </c>
      <c r="D191" s="9" t="s">
        <v>34</v>
      </c>
      <c r="E191" s="9" t="s">
        <v>77</v>
      </c>
      <c r="F191" s="10">
        <v>24999</v>
      </c>
      <c r="G191" s="11">
        <v>2</v>
      </c>
      <c r="H191" s="12">
        <v>0.1</v>
      </c>
      <c r="I191" s="13">
        <v>4999.8</v>
      </c>
      <c r="J191" s="13">
        <v>44998.2</v>
      </c>
      <c r="K191" s="13">
        <v>8418.59</v>
      </c>
      <c r="L191" s="8" t="s">
        <v>585</v>
      </c>
      <c r="M191" s="19" t="s">
        <v>586</v>
      </c>
      <c r="N191" s="9" t="s">
        <v>22</v>
      </c>
      <c r="O191" s="9" t="s">
        <v>23</v>
      </c>
      <c r="P191">
        <f>DATEVALUE(OnePlusSalesData[[#This Row],[order_date]])</f>
        <v>43654</v>
      </c>
      <c r="Q191" s="28">
        <f>DATEVALUE(OnePlusSalesData[[#This Row],[delivery_date]])</f>
        <v>43660</v>
      </c>
    </row>
    <row r="192" spans="1:17" ht="16" x14ac:dyDescent="0.45">
      <c r="A192" s="2" t="s">
        <v>587</v>
      </c>
      <c r="B192" s="2" t="s">
        <v>52</v>
      </c>
      <c r="C192" s="3" t="s">
        <v>192</v>
      </c>
      <c r="D192" s="3" t="s">
        <v>40</v>
      </c>
      <c r="E192" s="3" t="s">
        <v>98</v>
      </c>
      <c r="F192" s="4">
        <v>34999</v>
      </c>
      <c r="G192" s="5">
        <v>2</v>
      </c>
      <c r="H192" s="6">
        <v>0</v>
      </c>
      <c r="I192" s="7">
        <v>0</v>
      </c>
      <c r="J192" s="7">
        <v>69998</v>
      </c>
      <c r="K192" s="7">
        <v>12146.34</v>
      </c>
      <c r="L192" s="2" t="s">
        <v>547</v>
      </c>
      <c r="M192" s="18" t="s">
        <v>588</v>
      </c>
      <c r="N192" s="3" t="s">
        <v>22</v>
      </c>
      <c r="O192" s="3" t="s">
        <v>63</v>
      </c>
      <c r="P192">
        <f>DATEVALUE(OnePlusSalesData[[#This Row],[order_date]])</f>
        <v>43342</v>
      </c>
      <c r="Q192" s="28">
        <f>DATEVALUE(OnePlusSalesData[[#This Row],[delivery_date]])</f>
        <v>43345</v>
      </c>
    </row>
    <row r="193" spans="1:17" ht="16" x14ac:dyDescent="0.45">
      <c r="A193" s="8" t="s">
        <v>589</v>
      </c>
      <c r="B193" s="8" t="s">
        <v>52</v>
      </c>
      <c r="C193" s="9" t="s">
        <v>53</v>
      </c>
      <c r="D193" s="9" t="s">
        <v>40</v>
      </c>
      <c r="E193" s="9" t="s">
        <v>60</v>
      </c>
      <c r="F193" s="10">
        <v>54999</v>
      </c>
      <c r="G193" s="11">
        <v>3</v>
      </c>
      <c r="H193" s="12">
        <v>0.08</v>
      </c>
      <c r="I193" s="13">
        <v>13199.76</v>
      </c>
      <c r="J193" s="13">
        <v>151797.24</v>
      </c>
      <c r="K193" s="13">
        <v>32434.82</v>
      </c>
      <c r="L193" s="8" t="s">
        <v>443</v>
      </c>
      <c r="M193" s="19" t="s">
        <v>369</v>
      </c>
      <c r="N193" s="9" t="s">
        <v>22</v>
      </c>
      <c r="O193" s="9" t="s">
        <v>63</v>
      </c>
      <c r="P193">
        <f>DATEVALUE(OnePlusSalesData[[#This Row],[order_date]])</f>
        <v>44056</v>
      </c>
      <c r="Q193" s="28">
        <f>DATEVALUE(OnePlusSalesData[[#This Row],[delivery_date]])</f>
        <v>44062</v>
      </c>
    </row>
    <row r="194" spans="1:17" ht="16" x14ac:dyDescent="0.45">
      <c r="A194" s="2" t="s">
        <v>590</v>
      </c>
      <c r="B194" s="2" t="s">
        <v>16</v>
      </c>
      <c r="C194" s="3" t="s">
        <v>17</v>
      </c>
      <c r="D194" s="3" t="s">
        <v>40</v>
      </c>
      <c r="E194" s="3" t="s">
        <v>60</v>
      </c>
      <c r="F194" s="4">
        <v>54999</v>
      </c>
      <c r="G194" s="5">
        <v>1</v>
      </c>
      <c r="H194" s="6">
        <v>0</v>
      </c>
      <c r="I194" s="7">
        <v>0</v>
      </c>
      <c r="J194" s="7">
        <v>54999</v>
      </c>
      <c r="K194" s="7">
        <v>12427.51</v>
      </c>
      <c r="L194" s="2" t="s">
        <v>591</v>
      </c>
      <c r="M194" s="18" t="s">
        <v>592</v>
      </c>
      <c r="N194" s="3" t="s">
        <v>22</v>
      </c>
      <c r="O194" s="3" t="s">
        <v>96</v>
      </c>
      <c r="P194">
        <f>DATEVALUE(OnePlusSalesData[[#This Row],[order_date]])</f>
        <v>43508</v>
      </c>
      <c r="Q194" s="28">
        <f>DATEVALUE(OnePlusSalesData[[#This Row],[delivery_date]])</f>
        <v>43512</v>
      </c>
    </row>
    <row r="195" spans="1:17" ht="16" x14ac:dyDescent="0.45">
      <c r="A195" s="8" t="s">
        <v>593</v>
      </c>
      <c r="B195" s="8" t="s">
        <v>52</v>
      </c>
      <c r="C195" s="9" t="s">
        <v>53</v>
      </c>
      <c r="D195" s="9" t="s">
        <v>85</v>
      </c>
      <c r="E195" s="9" t="s">
        <v>258</v>
      </c>
      <c r="F195" s="10">
        <v>2999</v>
      </c>
      <c r="G195" s="11">
        <v>5</v>
      </c>
      <c r="H195" s="12">
        <v>0.15</v>
      </c>
      <c r="I195" s="13">
        <v>2249.25</v>
      </c>
      <c r="J195" s="13">
        <v>12745.75</v>
      </c>
      <c r="K195" s="13">
        <v>3225.67</v>
      </c>
      <c r="L195" s="8" t="s">
        <v>356</v>
      </c>
      <c r="M195" s="19" t="s">
        <v>594</v>
      </c>
      <c r="N195" s="9" t="s">
        <v>22</v>
      </c>
      <c r="O195" s="9" t="s">
        <v>31</v>
      </c>
      <c r="P195">
        <f>DATEVALUE(OnePlusSalesData[[#This Row],[order_date]])</f>
        <v>43599</v>
      </c>
      <c r="Q195" s="28">
        <f>DATEVALUE(OnePlusSalesData[[#This Row],[delivery_date]])</f>
        <v>43604</v>
      </c>
    </row>
    <row r="196" spans="1:17" ht="16" x14ac:dyDescent="0.45">
      <c r="A196" s="2" t="s">
        <v>595</v>
      </c>
      <c r="B196" s="2" t="s">
        <v>16</v>
      </c>
      <c r="C196" s="3" t="s">
        <v>140</v>
      </c>
      <c r="D196" s="3" t="s">
        <v>40</v>
      </c>
      <c r="E196" s="3" t="s">
        <v>54</v>
      </c>
      <c r="F196" s="4">
        <v>53999</v>
      </c>
      <c r="G196" s="5">
        <v>1</v>
      </c>
      <c r="H196" s="6">
        <v>0.05</v>
      </c>
      <c r="I196" s="7">
        <v>2699.95</v>
      </c>
      <c r="J196" s="7">
        <v>51299.05</v>
      </c>
      <c r="K196" s="7">
        <v>12715.4</v>
      </c>
      <c r="L196" s="2" t="s">
        <v>174</v>
      </c>
      <c r="M196" s="18" t="s">
        <v>596</v>
      </c>
      <c r="N196" s="3" t="s">
        <v>44</v>
      </c>
      <c r="O196" s="3" t="s">
        <v>63</v>
      </c>
      <c r="P196">
        <f>DATEVALUE(OnePlusSalesData[[#This Row],[order_date]])</f>
        <v>43460</v>
      </c>
      <c r="Q196" s="28">
        <f>DATEVALUE(OnePlusSalesData[[#This Row],[delivery_date]])</f>
        <v>43462</v>
      </c>
    </row>
    <row r="197" spans="1:17" ht="16" x14ac:dyDescent="0.45">
      <c r="A197" s="8" t="s">
        <v>597</v>
      </c>
      <c r="B197" s="8" t="s">
        <v>25</v>
      </c>
      <c r="C197" s="9" t="s">
        <v>120</v>
      </c>
      <c r="D197" s="9" t="s">
        <v>40</v>
      </c>
      <c r="E197" s="9" t="s">
        <v>406</v>
      </c>
      <c r="F197" s="10">
        <v>48999</v>
      </c>
      <c r="G197" s="11">
        <v>2</v>
      </c>
      <c r="H197" s="12">
        <v>0.08</v>
      </c>
      <c r="I197" s="13">
        <v>7839.84</v>
      </c>
      <c r="J197" s="13">
        <v>90158.16</v>
      </c>
      <c r="K197" s="13">
        <v>18359.47</v>
      </c>
      <c r="L197" s="8" t="s">
        <v>87</v>
      </c>
      <c r="M197" s="19" t="s">
        <v>598</v>
      </c>
      <c r="N197" s="9" t="s">
        <v>22</v>
      </c>
      <c r="O197" s="9" t="s">
        <v>23</v>
      </c>
      <c r="P197">
        <f>DATEVALUE(OnePlusSalesData[[#This Row],[order_date]])</f>
        <v>43290</v>
      </c>
      <c r="Q197" s="28">
        <f>DATEVALUE(OnePlusSalesData[[#This Row],[delivery_date]])</f>
        <v>43293</v>
      </c>
    </row>
    <row r="198" spans="1:17" ht="16" x14ac:dyDescent="0.45">
      <c r="A198" s="2" t="s">
        <v>599</v>
      </c>
      <c r="B198" s="2" t="s">
        <v>16</v>
      </c>
      <c r="C198" s="3" t="s">
        <v>140</v>
      </c>
      <c r="D198" s="3" t="s">
        <v>85</v>
      </c>
      <c r="E198" s="3" t="s">
        <v>265</v>
      </c>
      <c r="F198" s="4">
        <v>4990</v>
      </c>
      <c r="G198" s="5">
        <v>1</v>
      </c>
      <c r="H198" s="6">
        <v>0.08</v>
      </c>
      <c r="I198" s="7">
        <v>399.2</v>
      </c>
      <c r="J198" s="7">
        <v>4590.8</v>
      </c>
      <c r="K198" s="7">
        <v>1089.9100000000001</v>
      </c>
      <c r="L198" s="2" t="s">
        <v>600</v>
      </c>
      <c r="M198" s="18" t="s">
        <v>601</v>
      </c>
      <c r="N198" s="3" t="s">
        <v>22</v>
      </c>
      <c r="O198" s="3" t="s">
        <v>23</v>
      </c>
      <c r="P198">
        <f>DATEVALUE(OnePlusSalesData[[#This Row],[order_date]])</f>
        <v>43992</v>
      </c>
      <c r="Q198" s="28">
        <f>DATEVALUE(OnePlusSalesData[[#This Row],[delivery_date]])</f>
        <v>43995</v>
      </c>
    </row>
    <row r="199" spans="1:17" ht="16" x14ac:dyDescent="0.45">
      <c r="A199" s="8" t="s">
        <v>602</v>
      </c>
      <c r="B199" s="8" t="s">
        <v>58</v>
      </c>
      <c r="C199" s="9" t="s">
        <v>257</v>
      </c>
      <c r="D199" s="9" t="s">
        <v>40</v>
      </c>
      <c r="E199" s="9" t="s">
        <v>60</v>
      </c>
      <c r="F199" s="10">
        <v>54999</v>
      </c>
      <c r="G199" s="11">
        <v>1</v>
      </c>
      <c r="H199" s="12">
        <v>0.05</v>
      </c>
      <c r="I199" s="13">
        <v>2749.95</v>
      </c>
      <c r="J199" s="13">
        <v>52249.05</v>
      </c>
      <c r="K199" s="13">
        <v>11157.93</v>
      </c>
      <c r="L199" s="8" t="s">
        <v>603</v>
      </c>
      <c r="M199" s="19" t="s">
        <v>62</v>
      </c>
      <c r="N199" s="9" t="s">
        <v>22</v>
      </c>
      <c r="O199" s="9" t="s">
        <v>23</v>
      </c>
      <c r="P199">
        <f>DATEVALUE(OnePlusSalesData[[#This Row],[order_date]])</f>
        <v>43890</v>
      </c>
      <c r="Q199" s="28">
        <f>DATEVALUE(OnePlusSalesData[[#This Row],[delivery_date]])</f>
        <v>43895</v>
      </c>
    </row>
    <row r="200" spans="1:17" ht="16" x14ac:dyDescent="0.45">
      <c r="A200" s="2" t="s">
        <v>604</v>
      </c>
      <c r="B200" s="2" t="s">
        <v>25</v>
      </c>
      <c r="C200" s="3" t="s">
        <v>133</v>
      </c>
      <c r="D200" s="3" t="s">
        <v>27</v>
      </c>
      <c r="E200" s="3" t="s">
        <v>28</v>
      </c>
      <c r="F200" s="4">
        <v>12999</v>
      </c>
      <c r="G200" s="5">
        <v>1</v>
      </c>
      <c r="H200" s="6">
        <v>0.1</v>
      </c>
      <c r="I200" s="7">
        <v>1299.9000000000001</v>
      </c>
      <c r="J200" s="7">
        <v>11699.1</v>
      </c>
      <c r="K200" s="7">
        <v>2847.14</v>
      </c>
      <c r="L200" s="2" t="s">
        <v>605</v>
      </c>
      <c r="M200" s="18" t="s">
        <v>606</v>
      </c>
      <c r="N200" s="3" t="s">
        <v>50</v>
      </c>
      <c r="O200" s="3" t="s">
        <v>23</v>
      </c>
      <c r="P200">
        <f>DATEVALUE(OnePlusSalesData[[#This Row],[order_date]])</f>
        <v>43597</v>
      </c>
      <c r="Q200" s="28">
        <f>DATEVALUE(OnePlusSalesData[[#This Row],[delivery_date]])</f>
        <v>43602</v>
      </c>
    </row>
    <row r="201" spans="1:17" ht="16" x14ac:dyDescent="0.45">
      <c r="A201" s="8" t="s">
        <v>607</v>
      </c>
      <c r="B201" s="8" t="s">
        <v>52</v>
      </c>
      <c r="C201" s="9" t="s">
        <v>358</v>
      </c>
      <c r="D201" s="9" t="s">
        <v>40</v>
      </c>
      <c r="E201" s="9" t="s">
        <v>60</v>
      </c>
      <c r="F201" s="10">
        <v>54999</v>
      </c>
      <c r="G201" s="11">
        <v>2</v>
      </c>
      <c r="H201" s="12">
        <v>0.08</v>
      </c>
      <c r="I201" s="13">
        <v>8799.84</v>
      </c>
      <c r="J201" s="13">
        <v>101198.16</v>
      </c>
      <c r="K201" s="13">
        <v>16360.84</v>
      </c>
      <c r="L201" s="8" t="s">
        <v>608</v>
      </c>
      <c r="M201" s="19" t="s">
        <v>609</v>
      </c>
      <c r="N201" s="9" t="s">
        <v>92</v>
      </c>
      <c r="O201" s="9" t="s">
        <v>23</v>
      </c>
      <c r="P201">
        <f>DATEVALUE(OnePlusSalesData[[#This Row],[order_date]])</f>
        <v>43303</v>
      </c>
      <c r="Q201" s="28">
        <f>DATEVALUE(OnePlusSalesData[[#This Row],[delivery_date]])</f>
        <v>43310</v>
      </c>
    </row>
    <row r="202" spans="1:17" ht="16" x14ac:dyDescent="0.45">
      <c r="A202" s="2" t="s">
        <v>610</v>
      </c>
      <c r="B202" s="2" t="s">
        <v>16</v>
      </c>
      <c r="C202" s="3" t="s">
        <v>17</v>
      </c>
      <c r="D202" s="3" t="s">
        <v>18</v>
      </c>
      <c r="E202" s="3" t="s">
        <v>179</v>
      </c>
      <c r="F202" s="4">
        <v>1290</v>
      </c>
      <c r="G202" s="5">
        <v>1</v>
      </c>
      <c r="H202" s="6">
        <v>0.08</v>
      </c>
      <c r="I202" s="7">
        <v>103.2</v>
      </c>
      <c r="J202" s="7">
        <v>1186.8</v>
      </c>
      <c r="K202" s="7">
        <v>179.24</v>
      </c>
      <c r="L202" s="2" t="s">
        <v>611</v>
      </c>
      <c r="M202" s="18" t="s">
        <v>612</v>
      </c>
      <c r="N202" s="3" t="s">
        <v>92</v>
      </c>
      <c r="O202" s="3" t="s">
        <v>31</v>
      </c>
      <c r="P202">
        <f>DATEVALUE(OnePlusSalesData[[#This Row],[order_date]])</f>
        <v>43188</v>
      </c>
      <c r="Q202" s="28">
        <f>DATEVALUE(OnePlusSalesData[[#This Row],[delivery_date]])</f>
        <v>43193</v>
      </c>
    </row>
    <row r="203" spans="1:17" ht="16" x14ac:dyDescent="0.45">
      <c r="A203" s="8" t="s">
        <v>613</v>
      </c>
      <c r="B203" s="8" t="s">
        <v>16</v>
      </c>
      <c r="C203" s="9" t="s">
        <v>39</v>
      </c>
      <c r="D203" s="9" t="s">
        <v>27</v>
      </c>
      <c r="E203" s="9" t="s">
        <v>176</v>
      </c>
      <c r="F203" s="10">
        <v>69900</v>
      </c>
      <c r="G203" s="11">
        <v>1</v>
      </c>
      <c r="H203" s="12">
        <v>0</v>
      </c>
      <c r="I203" s="13">
        <v>0</v>
      </c>
      <c r="J203" s="13">
        <v>69900</v>
      </c>
      <c r="K203" s="13">
        <v>14627.33</v>
      </c>
      <c r="L203" s="8" t="s">
        <v>614</v>
      </c>
      <c r="M203" s="19" t="s">
        <v>286</v>
      </c>
      <c r="N203" s="9" t="s">
        <v>22</v>
      </c>
      <c r="O203" s="9" t="s">
        <v>45</v>
      </c>
      <c r="P203">
        <f>DATEVALUE(OnePlusSalesData[[#This Row],[order_date]])</f>
        <v>43236</v>
      </c>
      <c r="Q203" s="28">
        <f>DATEVALUE(OnePlusSalesData[[#This Row],[delivery_date]])</f>
        <v>43239</v>
      </c>
    </row>
    <row r="204" spans="1:17" ht="16" x14ac:dyDescent="0.45">
      <c r="A204" s="2" t="s">
        <v>615</v>
      </c>
      <c r="B204" s="2" t="s">
        <v>52</v>
      </c>
      <c r="C204" s="3" t="s">
        <v>69</v>
      </c>
      <c r="D204" s="3" t="s">
        <v>40</v>
      </c>
      <c r="E204" s="3" t="s">
        <v>98</v>
      </c>
      <c r="F204" s="4">
        <v>34999</v>
      </c>
      <c r="G204" s="5">
        <v>1</v>
      </c>
      <c r="H204" s="6">
        <v>0</v>
      </c>
      <c r="I204" s="7">
        <v>0</v>
      </c>
      <c r="J204" s="7">
        <v>34999</v>
      </c>
      <c r="K204" s="7">
        <v>8594.98</v>
      </c>
      <c r="L204" s="2" t="s">
        <v>616</v>
      </c>
      <c r="M204" s="18" t="s">
        <v>617</v>
      </c>
      <c r="N204" s="3" t="s">
        <v>92</v>
      </c>
      <c r="O204" s="3" t="s">
        <v>45</v>
      </c>
      <c r="P204">
        <f>DATEVALUE(OnePlusSalesData[[#This Row],[order_date]])</f>
        <v>43573</v>
      </c>
      <c r="Q204" s="28">
        <f>DATEVALUE(OnePlusSalesData[[#This Row],[delivery_date]])</f>
        <v>43576</v>
      </c>
    </row>
    <row r="205" spans="1:17" ht="16" x14ac:dyDescent="0.45">
      <c r="A205" s="8" t="s">
        <v>618</v>
      </c>
      <c r="B205" s="8" t="s">
        <v>52</v>
      </c>
      <c r="C205" s="9" t="s">
        <v>53</v>
      </c>
      <c r="D205" s="9" t="s">
        <v>34</v>
      </c>
      <c r="E205" s="9" t="s">
        <v>77</v>
      </c>
      <c r="F205" s="10">
        <v>24999</v>
      </c>
      <c r="G205" s="11">
        <v>1</v>
      </c>
      <c r="H205" s="12">
        <v>0.05</v>
      </c>
      <c r="I205" s="13">
        <v>1249.95</v>
      </c>
      <c r="J205" s="13">
        <v>23749.05</v>
      </c>
      <c r="K205" s="13">
        <v>4818.66</v>
      </c>
      <c r="L205" s="8" t="s">
        <v>619</v>
      </c>
      <c r="M205" s="19" t="s">
        <v>546</v>
      </c>
      <c r="N205" s="9" t="s">
        <v>50</v>
      </c>
      <c r="O205" s="9" t="s">
        <v>45</v>
      </c>
      <c r="P205">
        <f>DATEVALUE(OnePlusSalesData[[#This Row],[order_date]])</f>
        <v>43334</v>
      </c>
      <c r="Q205" s="28">
        <f>DATEVALUE(OnePlusSalesData[[#This Row],[delivery_date]])</f>
        <v>43337</v>
      </c>
    </row>
    <row r="206" spans="1:17" ht="16" x14ac:dyDescent="0.45">
      <c r="A206" s="2" t="s">
        <v>620</v>
      </c>
      <c r="B206" s="2" t="s">
        <v>25</v>
      </c>
      <c r="C206" s="3" t="s">
        <v>133</v>
      </c>
      <c r="D206" s="3" t="s">
        <v>40</v>
      </c>
      <c r="E206" s="3" t="s">
        <v>47</v>
      </c>
      <c r="F206" s="4">
        <v>37999</v>
      </c>
      <c r="G206" s="5">
        <v>2</v>
      </c>
      <c r="H206" s="6">
        <v>0.08</v>
      </c>
      <c r="I206" s="7">
        <v>6079.84</v>
      </c>
      <c r="J206" s="7">
        <v>69918.16</v>
      </c>
      <c r="K206" s="7">
        <v>16133.74</v>
      </c>
      <c r="L206" s="2" t="s">
        <v>164</v>
      </c>
      <c r="M206" s="18" t="s">
        <v>621</v>
      </c>
      <c r="N206" s="3" t="s">
        <v>50</v>
      </c>
      <c r="O206" s="3" t="s">
        <v>96</v>
      </c>
      <c r="P206">
        <f>DATEVALUE(OnePlusSalesData[[#This Row],[order_date]])</f>
        <v>44115</v>
      </c>
      <c r="Q206" s="28">
        <f>DATEVALUE(OnePlusSalesData[[#This Row],[delivery_date]])</f>
        <v>44122</v>
      </c>
    </row>
    <row r="207" spans="1:17" ht="16" x14ac:dyDescent="0.45">
      <c r="A207" s="8" t="s">
        <v>622</v>
      </c>
      <c r="B207" s="8" t="s">
        <v>16</v>
      </c>
      <c r="C207" s="9" t="s">
        <v>17</v>
      </c>
      <c r="D207" s="9" t="s">
        <v>40</v>
      </c>
      <c r="E207" s="9" t="s">
        <v>406</v>
      </c>
      <c r="F207" s="10">
        <v>48999</v>
      </c>
      <c r="G207" s="11">
        <v>2</v>
      </c>
      <c r="H207" s="12">
        <v>0.1</v>
      </c>
      <c r="I207" s="13">
        <v>9799.7999999999993</v>
      </c>
      <c r="J207" s="13">
        <v>88198.2</v>
      </c>
      <c r="K207" s="13">
        <v>18624.400000000001</v>
      </c>
      <c r="L207" s="8" t="s">
        <v>623</v>
      </c>
      <c r="M207" s="19" t="s">
        <v>624</v>
      </c>
      <c r="N207" s="9" t="s">
        <v>22</v>
      </c>
      <c r="O207" s="9" t="s">
        <v>23</v>
      </c>
      <c r="P207">
        <f>DATEVALUE(OnePlusSalesData[[#This Row],[order_date]])</f>
        <v>43922</v>
      </c>
      <c r="Q207" s="28">
        <f>DATEVALUE(OnePlusSalesData[[#This Row],[delivery_date]])</f>
        <v>43928</v>
      </c>
    </row>
    <row r="208" spans="1:17" ht="16" x14ac:dyDescent="0.45">
      <c r="A208" s="2" t="s">
        <v>625</v>
      </c>
      <c r="B208" s="2" t="s">
        <v>25</v>
      </c>
      <c r="C208" s="3" t="s">
        <v>65</v>
      </c>
      <c r="D208" s="3" t="s">
        <v>27</v>
      </c>
      <c r="E208" s="3" t="s">
        <v>159</v>
      </c>
      <c r="F208" s="4">
        <v>22999</v>
      </c>
      <c r="G208" s="5">
        <v>1</v>
      </c>
      <c r="H208" s="6">
        <v>0.1</v>
      </c>
      <c r="I208" s="7">
        <v>2299.9</v>
      </c>
      <c r="J208" s="7">
        <v>20699.099999999999</v>
      </c>
      <c r="K208" s="7">
        <v>4164.93</v>
      </c>
      <c r="L208" s="2" t="s">
        <v>626</v>
      </c>
      <c r="M208" s="18" t="s">
        <v>627</v>
      </c>
      <c r="N208" s="3" t="s">
        <v>22</v>
      </c>
      <c r="O208" s="3" t="s">
        <v>63</v>
      </c>
      <c r="P208">
        <f>DATEVALUE(OnePlusSalesData[[#This Row],[order_date]])</f>
        <v>43436</v>
      </c>
      <c r="Q208" s="28">
        <f>DATEVALUE(OnePlusSalesData[[#This Row],[delivery_date]])</f>
        <v>43439</v>
      </c>
    </row>
    <row r="209" spans="1:17" ht="16" x14ac:dyDescent="0.45">
      <c r="A209" s="8" t="s">
        <v>628</v>
      </c>
      <c r="B209" s="8" t="s">
        <v>52</v>
      </c>
      <c r="C209" s="9" t="s">
        <v>53</v>
      </c>
      <c r="D209" s="9" t="s">
        <v>18</v>
      </c>
      <c r="E209" s="9" t="s">
        <v>179</v>
      </c>
      <c r="F209" s="10">
        <v>1290</v>
      </c>
      <c r="G209" s="11">
        <v>2</v>
      </c>
      <c r="H209" s="12">
        <v>0</v>
      </c>
      <c r="I209" s="13">
        <v>0</v>
      </c>
      <c r="J209" s="13">
        <v>2580</v>
      </c>
      <c r="K209" s="13">
        <v>460.92</v>
      </c>
      <c r="L209" s="8" t="s">
        <v>629</v>
      </c>
      <c r="M209" s="19" t="s">
        <v>630</v>
      </c>
      <c r="N209" s="9" t="s">
        <v>92</v>
      </c>
      <c r="O209" s="9" t="s">
        <v>63</v>
      </c>
      <c r="P209">
        <f>DATEVALUE(OnePlusSalesData[[#This Row],[order_date]])</f>
        <v>43311</v>
      </c>
      <c r="Q209" s="28">
        <f>DATEVALUE(OnePlusSalesData[[#This Row],[delivery_date]])</f>
        <v>43318</v>
      </c>
    </row>
    <row r="210" spans="1:17" ht="16" x14ac:dyDescent="0.45">
      <c r="A210" s="2" t="s">
        <v>631</v>
      </c>
      <c r="B210" s="2" t="s">
        <v>58</v>
      </c>
      <c r="C210" s="3" t="s">
        <v>81</v>
      </c>
      <c r="D210" s="3" t="s">
        <v>40</v>
      </c>
      <c r="E210" s="3" t="s">
        <v>406</v>
      </c>
      <c r="F210" s="4">
        <v>48999</v>
      </c>
      <c r="G210" s="5">
        <v>1</v>
      </c>
      <c r="H210" s="6">
        <v>0.05</v>
      </c>
      <c r="I210" s="7">
        <v>2449.9499999999998</v>
      </c>
      <c r="J210" s="7">
        <v>46549.05</v>
      </c>
      <c r="K210" s="7">
        <v>7340.52</v>
      </c>
      <c r="L210" s="2" t="s">
        <v>632</v>
      </c>
      <c r="M210" s="18" t="s">
        <v>633</v>
      </c>
      <c r="N210" s="3" t="s">
        <v>22</v>
      </c>
      <c r="O210" s="3" t="s">
        <v>23</v>
      </c>
      <c r="P210">
        <f>DATEVALUE(OnePlusSalesData[[#This Row],[order_date]])</f>
        <v>43283</v>
      </c>
      <c r="Q210" s="28">
        <f>DATEVALUE(OnePlusSalesData[[#This Row],[delivery_date]])</f>
        <v>43285</v>
      </c>
    </row>
    <row r="211" spans="1:17" ht="16" x14ac:dyDescent="0.45">
      <c r="A211" s="8" t="s">
        <v>634</v>
      </c>
      <c r="B211" s="8" t="s">
        <v>25</v>
      </c>
      <c r="C211" s="9" t="s">
        <v>26</v>
      </c>
      <c r="D211" s="9" t="s">
        <v>18</v>
      </c>
      <c r="E211" s="9" t="s">
        <v>19</v>
      </c>
      <c r="F211" s="10">
        <v>1990</v>
      </c>
      <c r="G211" s="11">
        <v>5</v>
      </c>
      <c r="H211" s="12">
        <v>0.12</v>
      </c>
      <c r="I211" s="13">
        <v>1194</v>
      </c>
      <c r="J211" s="13">
        <v>8756</v>
      </c>
      <c r="K211" s="13">
        <v>1901</v>
      </c>
      <c r="L211" s="8" t="s">
        <v>427</v>
      </c>
      <c r="M211" s="19" t="s">
        <v>591</v>
      </c>
      <c r="N211" s="9" t="s">
        <v>22</v>
      </c>
      <c r="O211" s="9" t="s">
        <v>63</v>
      </c>
      <c r="P211">
        <f>DATEVALUE(OnePlusSalesData[[#This Row],[order_date]])</f>
        <v>43501</v>
      </c>
      <c r="Q211" s="28">
        <f>DATEVALUE(OnePlusSalesData[[#This Row],[delivery_date]])</f>
        <v>43508</v>
      </c>
    </row>
    <row r="212" spans="1:17" ht="16" x14ac:dyDescent="0.45">
      <c r="A212" s="2" t="s">
        <v>635</v>
      </c>
      <c r="B212" s="2" t="s">
        <v>25</v>
      </c>
      <c r="C212" s="3" t="s">
        <v>120</v>
      </c>
      <c r="D212" s="3" t="s">
        <v>85</v>
      </c>
      <c r="E212" s="3" t="s">
        <v>228</v>
      </c>
      <c r="F212" s="4">
        <v>5990</v>
      </c>
      <c r="G212" s="5">
        <v>2</v>
      </c>
      <c r="H212" s="6">
        <v>0.12</v>
      </c>
      <c r="I212" s="7">
        <v>1437.6</v>
      </c>
      <c r="J212" s="7">
        <v>10542.4</v>
      </c>
      <c r="K212" s="7">
        <v>1732.67</v>
      </c>
      <c r="L212" s="2" t="s">
        <v>636</v>
      </c>
      <c r="M212" s="18" t="s">
        <v>637</v>
      </c>
      <c r="N212" s="3" t="s">
        <v>44</v>
      </c>
      <c r="O212" s="3" t="s">
        <v>23</v>
      </c>
      <c r="P212">
        <f>DATEVALUE(OnePlusSalesData[[#This Row],[order_date]])</f>
        <v>43600</v>
      </c>
      <c r="Q212" s="28">
        <f>DATEVALUE(OnePlusSalesData[[#This Row],[delivery_date]])</f>
        <v>43606</v>
      </c>
    </row>
    <row r="213" spans="1:17" ht="16" x14ac:dyDescent="0.45">
      <c r="A213" s="8" t="s">
        <v>638</v>
      </c>
      <c r="B213" s="8" t="s">
        <v>52</v>
      </c>
      <c r="C213" s="9" t="s">
        <v>358</v>
      </c>
      <c r="D213" s="9" t="s">
        <v>40</v>
      </c>
      <c r="E213" s="9" t="s">
        <v>54</v>
      </c>
      <c r="F213" s="10">
        <v>53999</v>
      </c>
      <c r="G213" s="11">
        <v>1</v>
      </c>
      <c r="H213" s="12">
        <v>0.05</v>
      </c>
      <c r="I213" s="13">
        <v>2699.95</v>
      </c>
      <c r="J213" s="13">
        <v>51299.05</v>
      </c>
      <c r="K213" s="13">
        <v>12972.58</v>
      </c>
      <c r="L213" s="8" t="s">
        <v>639</v>
      </c>
      <c r="M213" s="19" t="s">
        <v>585</v>
      </c>
      <c r="N213" s="9" t="s">
        <v>22</v>
      </c>
      <c r="O213" s="9" t="s">
        <v>31</v>
      </c>
      <c r="P213">
        <f>DATEVALUE(OnePlusSalesData[[#This Row],[order_date]])</f>
        <v>43647</v>
      </c>
      <c r="Q213" s="28">
        <f>DATEVALUE(OnePlusSalesData[[#This Row],[delivery_date]])</f>
        <v>43654</v>
      </c>
    </row>
    <row r="214" spans="1:17" ht="16" x14ac:dyDescent="0.45">
      <c r="A214" s="2" t="s">
        <v>640</v>
      </c>
      <c r="B214" s="2" t="s">
        <v>16</v>
      </c>
      <c r="C214" s="3" t="s">
        <v>152</v>
      </c>
      <c r="D214" s="3" t="s">
        <v>18</v>
      </c>
      <c r="E214" s="3" t="s">
        <v>102</v>
      </c>
      <c r="F214" s="4">
        <v>1490</v>
      </c>
      <c r="G214" s="5">
        <v>1</v>
      </c>
      <c r="H214" s="6">
        <v>0.12</v>
      </c>
      <c r="I214" s="7">
        <v>178.8</v>
      </c>
      <c r="J214" s="7">
        <v>1311.2</v>
      </c>
      <c r="K214" s="7">
        <v>294.66000000000003</v>
      </c>
      <c r="L214" s="2" t="s">
        <v>641</v>
      </c>
      <c r="M214" s="18" t="s">
        <v>110</v>
      </c>
      <c r="N214" s="3" t="s">
        <v>50</v>
      </c>
      <c r="O214" s="3" t="s">
        <v>63</v>
      </c>
      <c r="P214">
        <f>DATEVALUE(OnePlusSalesData[[#This Row],[order_date]])</f>
        <v>43738</v>
      </c>
      <c r="Q214" s="28">
        <f>DATEVALUE(OnePlusSalesData[[#This Row],[delivery_date]])</f>
        <v>43741</v>
      </c>
    </row>
    <row r="215" spans="1:17" ht="16" x14ac:dyDescent="0.45">
      <c r="A215" s="8" t="s">
        <v>642</v>
      </c>
      <c r="B215" s="8" t="s">
        <v>25</v>
      </c>
      <c r="C215" s="9" t="s">
        <v>133</v>
      </c>
      <c r="D215" s="9" t="s">
        <v>85</v>
      </c>
      <c r="E215" s="9" t="s">
        <v>258</v>
      </c>
      <c r="F215" s="10">
        <v>2999</v>
      </c>
      <c r="G215" s="11">
        <v>2</v>
      </c>
      <c r="H215" s="12">
        <v>0</v>
      </c>
      <c r="I215" s="13">
        <v>0</v>
      </c>
      <c r="J215" s="13">
        <v>5998</v>
      </c>
      <c r="K215" s="13">
        <v>1380.53</v>
      </c>
      <c r="L215" s="8" t="s">
        <v>320</v>
      </c>
      <c r="M215" s="19" t="s">
        <v>643</v>
      </c>
      <c r="N215" s="9" t="s">
        <v>22</v>
      </c>
      <c r="O215" s="9" t="s">
        <v>23</v>
      </c>
      <c r="P215">
        <f>DATEVALUE(OnePlusSalesData[[#This Row],[order_date]])</f>
        <v>44085</v>
      </c>
      <c r="Q215" s="28">
        <f>DATEVALUE(OnePlusSalesData[[#This Row],[delivery_date]])</f>
        <v>44090</v>
      </c>
    </row>
    <row r="216" spans="1:17" ht="16" x14ac:dyDescent="0.45">
      <c r="A216" s="2" t="s">
        <v>644</v>
      </c>
      <c r="B216" s="2" t="s">
        <v>25</v>
      </c>
      <c r="C216" s="3" t="s">
        <v>120</v>
      </c>
      <c r="D216" s="3" t="s">
        <v>40</v>
      </c>
      <c r="E216" s="3" t="s">
        <v>148</v>
      </c>
      <c r="F216" s="4">
        <v>41999</v>
      </c>
      <c r="G216" s="5">
        <v>1</v>
      </c>
      <c r="H216" s="6">
        <v>0.12</v>
      </c>
      <c r="I216" s="7">
        <v>5039.88</v>
      </c>
      <c r="J216" s="7">
        <v>36959.120000000003</v>
      </c>
      <c r="K216" s="7">
        <v>6281.04</v>
      </c>
      <c r="L216" s="2" t="s">
        <v>104</v>
      </c>
      <c r="M216" s="18" t="s">
        <v>645</v>
      </c>
      <c r="N216" s="3" t="s">
        <v>22</v>
      </c>
      <c r="O216" s="3" t="s">
        <v>31</v>
      </c>
      <c r="P216">
        <f>DATEVALUE(OnePlusSalesData[[#This Row],[order_date]])</f>
        <v>43305</v>
      </c>
      <c r="Q216" s="28">
        <f>DATEVALUE(OnePlusSalesData[[#This Row],[delivery_date]])</f>
        <v>43312</v>
      </c>
    </row>
    <row r="217" spans="1:17" ht="16" x14ac:dyDescent="0.45">
      <c r="A217" s="8" t="s">
        <v>646</v>
      </c>
      <c r="B217" s="8" t="s">
        <v>25</v>
      </c>
      <c r="C217" s="9" t="s">
        <v>120</v>
      </c>
      <c r="D217" s="9" t="s">
        <v>18</v>
      </c>
      <c r="E217" s="9" t="s">
        <v>179</v>
      </c>
      <c r="F217" s="10">
        <v>1290</v>
      </c>
      <c r="G217" s="11">
        <v>3</v>
      </c>
      <c r="H217" s="12">
        <v>0</v>
      </c>
      <c r="I217" s="13">
        <v>0</v>
      </c>
      <c r="J217" s="13">
        <v>3870</v>
      </c>
      <c r="K217" s="13">
        <v>789.06</v>
      </c>
      <c r="L217" s="8" t="s">
        <v>205</v>
      </c>
      <c r="M217" s="19" t="s">
        <v>647</v>
      </c>
      <c r="N217" s="9" t="s">
        <v>92</v>
      </c>
      <c r="O217" s="9" t="s">
        <v>31</v>
      </c>
      <c r="P217">
        <f>DATEVALUE(OnePlusSalesData[[#This Row],[order_date]])</f>
        <v>44194</v>
      </c>
      <c r="Q217" s="28">
        <f>DATEVALUE(OnePlusSalesData[[#This Row],[delivery_date]])</f>
        <v>44197</v>
      </c>
    </row>
    <row r="218" spans="1:17" ht="16" x14ac:dyDescent="0.45">
      <c r="A218" s="2" t="s">
        <v>648</v>
      </c>
      <c r="B218" s="2" t="s">
        <v>25</v>
      </c>
      <c r="C218" s="3" t="s">
        <v>65</v>
      </c>
      <c r="D218" s="3" t="s">
        <v>34</v>
      </c>
      <c r="E218" s="3" t="s">
        <v>35</v>
      </c>
      <c r="F218" s="4">
        <v>19999</v>
      </c>
      <c r="G218" s="5">
        <v>3</v>
      </c>
      <c r="H218" s="6">
        <v>0.1</v>
      </c>
      <c r="I218" s="7">
        <v>5999.7</v>
      </c>
      <c r="J218" s="7">
        <v>53997.3</v>
      </c>
      <c r="K218" s="7">
        <v>11605.7</v>
      </c>
      <c r="L218" s="2" t="s">
        <v>649</v>
      </c>
      <c r="M218" s="18" t="s">
        <v>650</v>
      </c>
      <c r="N218" s="3" t="s">
        <v>44</v>
      </c>
      <c r="O218" s="3" t="s">
        <v>23</v>
      </c>
      <c r="P218">
        <f>DATEVALUE(OnePlusSalesData[[#This Row],[order_date]])</f>
        <v>43265</v>
      </c>
      <c r="Q218" s="28">
        <f>DATEVALUE(OnePlusSalesData[[#This Row],[delivery_date]])</f>
        <v>43268</v>
      </c>
    </row>
    <row r="219" spans="1:17" ht="16" x14ac:dyDescent="0.45">
      <c r="A219" s="8" t="s">
        <v>651</v>
      </c>
      <c r="B219" s="8" t="s">
        <v>52</v>
      </c>
      <c r="C219" s="9" t="s">
        <v>358</v>
      </c>
      <c r="D219" s="9" t="s">
        <v>18</v>
      </c>
      <c r="E219" s="9" t="s">
        <v>102</v>
      </c>
      <c r="F219" s="10">
        <v>1490</v>
      </c>
      <c r="G219" s="11">
        <v>1</v>
      </c>
      <c r="H219" s="12">
        <v>0.15</v>
      </c>
      <c r="I219" s="13">
        <v>223.5</v>
      </c>
      <c r="J219" s="13">
        <v>1266.5</v>
      </c>
      <c r="K219" s="13">
        <v>269.79000000000002</v>
      </c>
      <c r="L219" s="8" t="s">
        <v>652</v>
      </c>
      <c r="M219" s="19" t="s">
        <v>653</v>
      </c>
      <c r="N219" s="9" t="s">
        <v>22</v>
      </c>
      <c r="O219" s="9" t="s">
        <v>63</v>
      </c>
      <c r="P219">
        <f>DATEVALUE(OnePlusSalesData[[#This Row],[order_date]])</f>
        <v>43545</v>
      </c>
      <c r="Q219" s="28">
        <f>DATEVALUE(OnePlusSalesData[[#This Row],[delivery_date]])</f>
        <v>43547</v>
      </c>
    </row>
    <row r="220" spans="1:17" ht="16" x14ac:dyDescent="0.45">
      <c r="A220" s="2" t="s">
        <v>654</v>
      </c>
      <c r="B220" s="2" t="s">
        <v>16</v>
      </c>
      <c r="C220" s="3" t="s">
        <v>33</v>
      </c>
      <c r="D220" s="3" t="s">
        <v>40</v>
      </c>
      <c r="E220" s="3" t="s">
        <v>148</v>
      </c>
      <c r="F220" s="4">
        <v>41999</v>
      </c>
      <c r="G220" s="5">
        <v>2</v>
      </c>
      <c r="H220" s="6">
        <v>0.05</v>
      </c>
      <c r="I220" s="7">
        <v>4199.8999999999996</v>
      </c>
      <c r="J220" s="7">
        <v>79798.100000000006</v>
      </c>
      <c r="K220" s="7">
        <v>20560.939999999999</v>
      </c>
      <c r="L220" s="2" t="s">
        <v>655</v>
      </c>
      <c r="M220" s="18" t="s">
        <v>656</v>
      </c>
      <c r="N220" s="3" t="s">
        <v>22</v>
      </c>
      <c r="O220" s="3" t="s">
        <v>31</v>
      </c>
      <c r="P220">
        <f>DATEVALUE(OnePlusSalesData[[#This Row],[order_date]])</f>
        <v>43673</v>
      </c>
      <c r="Q220" s="28">
        <f>DATEVALUE(OnePlusSalesData[[#This Row],[delivery_date]])</f>
        <v>43676</v>
      </c>
    </row>
    <row r="221" spans="1:17" ht="16" x14ac:dyDescent="0.45">
      <c r="A221" s="8" t="s">
        <v>657</v>
      </c>
      <c r="B221" s="8" t="s">
        <v>52</v>
      </c>
      <c r="C221" s="9" t="s">
        <v>192</v>
      </c>
      <c r="D221" s="9" t="s">
        <v>18</v>
      </c>
      <c r="E221" s="9" t="s">
        <v>102</v>
      </c>
      <c r="F221" s="10">
        <v>1490</v>
      </c>
      <c r="G221" s="11">
        <v>2</v>
      </c>
      <c r="H221" s="12">
        <v>0</v>
      </c>
      <c r="I221" s="13">
        <v>0</v>
      </c>
      <c r="J221" s="13">
        <v>2980</v>
      </c>
      <c r="K221" s="13">
        <v>720.06</v>
      </c>
      <c r="L221" s="8" t="s">
        <v>658</v>
      </c>
      <c r="M221" s="19" t="s">
        <v>659</v>
      </c>
      <c r="N221" s="9" t="s">
        <v>22</v>
      </c>
      <c r="O221" s="9" t="s">
        <v>63</v>
      </c>
      <c r="P221">
        <f>DATEVALUE(OnePlusSalesData[[#This Row],[order_date]])</f>
        <v>43942</v>
      </c>
      <c r="Q221" s="28">
        <f>DATEVALUE(OnePlusSalesData[[#This Row],[delivery_date]])</f>
        <v>43948</v>
      </c>
    </row>
    <row r="222" spans="1:17" ht="16" x14ac:dyDescent="0.45">
      <c r="A222" s="2" t="s">
        <v>660</v>
      </c>
      <c r="B222" s="2" t="s">
        <v>25</v>
      </c>
      <c r="C222" s="3" t="s">
        <v>172</v>
      </c>
      <c r="D222" s="3" t="s">
        <v>40</v>
      </c>
      <c r="E222" s="3" t="s">
        <v>47</v>
      </c>
      <c r="F222" s="4">
        <v>37999</v>
      </c>
      <c r="G222" s="5">
        <v>3</v>
      </c>
      <c r="H222" s="6">
        <v>0.05</v>
      </c>
      <c r="I222" s="7">
        <v>5699.85</v>
      </c>
      <c r="J222" s="7">
        <v>108297.15</v>
      </c>
      <c r="K222" s="7">
        <v>24899.040000000001</v>
      </c>
      <c r="L222" s="2" t="s">
        <v>661</v>
      </c>
      <c r="M222" s="18" t="s">
        <v>662</v>
      </c>
      <c r="N222" s="3" t="s">
        <v>50</v>
      </c>
      <c r="O222" s="3" t="s">
        <v>31</v>
      </c>
      <c r="P222">
        <f>DATEVALUE(OnePlusSalesData[[#This Row],[order_date]])</f>
        <v>43688</v>
      </c>
      <c r="Q222" s="28">
        <f>DATEVALUE(OnePlusSalesData[[#This Row],[delivery_date]])</f>
        <v>43695</v>
      </c>
    </row>
    <row r="223" spans="1:17" ht="16" x14ac:dyDescent="0.45">
      <c r="A223" s="8" t="s">
        <v>663</v>
      </c>
      <c r="B223" s="8" t="s">
        <v>25</v>
      </c>
      <c r="C223" s="9" t="s">
        <v>133</v>
      </c>
      <c r="D223" s="9" t="s">
        <v>40</v>
      </c>
      <c r="E223" s="9" t="s">
        <v>148</v>
      </c>
      <c r="F223" s="10">
        <v>41999</v>
      </c>
      <c r="G223" s="11">
        <v>3</v>
      </c>
      <c r="H223" s="12">
        <v>0.05</v>
      </c>
      <c r="I223" s="13">
        <v>6299.85</v>
      </c>
      <c r="J223" s="13">
        <v>119697.15</v>
      </c>
      <c r="K223" s="13">
        <v>27651.360000000001</v>
      </c>
      <c r="L223" s="8" t="s">
        <v>115</v>
      </c>
      <c r="M223" s="19" t="s">
        <v>664</v>
      </c>
      <c r="N223" s="9" t="s">
        <v>22</v>
      </c>
      <c r="O223" s="9" t="s">
        <v>23</v>
      </c>
      <c r="P223">
        <f>DATEVALUE(OnePlusSalesData[[#This Row],[order_date]])</f>
        <v>43984</v>
      </c>
      <c r="Q223" s="28">
        <f>DATEVALUE(OnePlusSalesData[[#This Row],[delivery_date]])</f>
        <v>43991</v>
      </c>
    </row>
    <row r="224" spans="1:17" ht="16" x14ac:dyDescent="0.45">
      <c r="A224" s="2" t="s">
        <v>665</v>
      </c>
      <c r="B224" s="2" t="s">
        <v>52</v>
      </c>
      <c r="C224" s="3" t="s">
        <v>106</v>
      </c>
      <c r="D224" s="3" t="s">
        <v>85</v>
      </c>
      <c r="E224" s="3" t="s">
        <v>258</v>
      </c>
      <c r="F224" s="4">
        <v>2999</v>
      </c>
      <c r="G224" s="5">
        <v>1</v>
      </c>
      <c r="H224" s="6">
        <v>0.05</v>
      </c>
      <c r="I224" s="7">
        <v>149.94999999999999</v>
      </c>
      <c r="J224" s="7">
        <v>2849.05</v>
      </c>
      <c r="K224" s="7">
        <v>735.62</v>
      </c>
      <c r="L224" s="2" t="s">
        <v>434</v>
      </c>
      <c r="M224" s="18" t="s">
        <v>666</v>
      </c>
      <c r="N224" s="3" t="s">
        <v>22</v>
      </c>
      <c r="O224" s="3" t="s">
        <v>23</v>
      </c>
      <c r="P224">
        <f>DATEVALUE(OnePlusSalesData[[#This Row],[order_date]])</f>
        <v>44150</v>
      </c>
      <c r="Q224" s="28">
        <f>DATEVALUE(OnePlusSalesData[[#This Row],[delivery_date]])</f>
        <v>44152</v>
      </c>
    </row>
    <row r="225" spans="1:17" ht="16" x14ac:dyDescent="0.45">
      <c r="A225" s="8" t="s">
        <v>667</v>
      </c>
      <c r="B225" s="8" t="s">
        <v>16</v>
      </c>
      <c r="C225" s="9" t="s">
        <v>152</v>
      </c>
      <c r="D225" s="9" t="s">
        <v>40</v>
      </c>
      <c r="E225" s="9" t="s">
        <v>98</v>
      </c>
      <c r="F225" s="10">
        <v>34999</v>
      </c>
      <c r="G225" s="11">
        <v>1</v>
      </c>
      <c r="H225" s="12">
        <v>0.1</v>
      </c>
      <c r="I225" s="13">
        <v>3499.9</v>
      </c>
      <c r="J225" s="13">
        <v>31499.1</v>
      </c>
      <c r="K225" s="13">
        <v>5815.74</v>
      </c>
      <c r="L225" s="8" t="s">
        <v>668</v>
      </c>
      <c r="M225" s="19" t="s">
        <v>183</v>
      </c>
      <c r="N225" s="9" t="s">
        <v>22</v>
      </c>
      <c r="O225" s="9" t="s">
        <v>63</v>
      </c>
      <c r="P225">
        <f>DATEVALUE(OnePlusSalesData[[#This Row],[order_date]])</f>
        <v>43701</v>
      </c>
      <c r="Q225" s="28">
        <f>DATEVALUE(OnePlusSalesData[[#This Row],[delivery_date]])</f>
        <v>43705</v>
      </c>
    </row>
    <row r="226" spans="1:17" ht="16" x14ac:dyDescent="0.45">
      <c r="A226" s="2" t="s">
        <v>669</v>
      </c>
      <c r="B226" s="2" t="s">
        <v>58</v>
      </c>
      <c r="C226" s="3" t="s">
        <v>59</v>
      </c>
      <c r="D226" s="3" t="s">
        <v>34</v>
      </c>
      <c r="E226" s="3" t="s">
        <v>35</v>
      </c>
      <c r="F226" s="4">
        <v>19999</v>
      </c>
      <c r="G226" s="5">
        <v>1</v>
      </c>
      <c r="H226" s="6">
        <v>0.05</v>
      </c>
      <c r="I226" s="7">
        <v>999.95</v>
      </c>
      <c r="J226" s="7">
        <v>18999.05</v>
      </c>
      <c r="K226" s="7">
        <v>4386.84</v>
      </c>
      <c r="L226" s="2" t="s">
        <v>563</v>
      </c>
      <c r="M226" s="18" t="s">
        <v>670</v>
      </c>
      <c r="N226" s="3" t="s">
        <v>22</v>
      </c>
      <c r="O226" s="3" t="s">
        <v>63</v>
      </c>
      <c r="P226">
        <f>DATEVALUE(OnePlusSalesData[[#This Row],[order_date]])</f>
        <v>43585</v>
      </c>
      <c r="Q226" s="28">
        <f>DATEVALUE(OnePlusSalesData[[#This Row],[delivery_date]])</f>
        <v>43591</v>
      </c>
    </row>
    <row r="227" spans="1:17" ht="16" x14ac:dyDescent="0.45">
      <c r="A227" s="8" t="s">
        <v>671</v>
      </c>
      <c r="B227" s="8" t="s">
        <v>25</v>
      </c>
      <c r="C227" s="9" t="s">
        <v>172</v>
      </c>
      <c r="D227" s="9" t="s">
        <v>34</v>
      </c>
      <c r="E227" s="9" t="s">
        <v>35</v>
      </c>
      <c r="F227" s="10">
        <v>19999</v>
      </c>
      <c r="G227" s="11">
        <v>1</v>
      </c>
      <c r="H227" s="12">
        <v>0.08</v>
      </c>
      <c r="I227" s="13">
        <v>1599.92</v>
      </c>
      <c r="J227" s="13">
        <v>18399.080000000002</v>
      </c>
      <c r="K227" s="13">
        <v>2942.46</v>
      </c>
      <c r="L227" s="8" t="s">
        <v>659</v>
      </c>
      <c r="M227" s="19" t="s">
        <v>672</v>
      </c>
      <c r="N227" s="9" t="s">
        <v>22</v>
      </c>
      <c r="O227" s="9" t="s">
        <v>146</v>
      </c>
      <c r="P227">
        <f>DATEVALUE(OnePlusSalesData[[#This Row],[order_date]])</f>
        <v>43948</v>
      </c>
      <c r="Q227" s="28">
        <f>DATEVALUE(OnePlusSalesData[[#This Row],[delivery_date]])</f>
        <v>43952</v>
      </c>
    </row>
    <row r="228" spans="1:17" ht="16" x14ac:dyDescent="0.45">
      <c r="A228" s="2" t="s">
        <v>673</v>
      </c>
      <c r="B228" s="2" t="s">
        <v>25</v>
      </c>
      <c r="C228" s="3" t="s">
        <v>133</v>
      </c>
      <c r="D228" s="3" t="s">
        <v>40</v>
      </c>
      <c r="E228" s="3" t="s">
        <v>98</v>
      </c>
      <c r="F228" s="4">
        <v>34999</v>
      </c>
      <c r="G228" s="5">
        <v>1</v>
      </c>
      <c r="H228" s="6">
        <v>0.05</v>
      </c>
      <c r="I228" s="7">
        <v>1749.95</v>
      </c>
      <c r="J228" s="7">
        <v>33249.050000000003</v>
      </c>
      <c r="K228" s="7">
        <v>7578</v>
      </c>
      <c r="L228" s="2" t="s">
        <v>381</v>
      </c>
      <c r="M228" s="18" t="s">
        <v>674</v>
      </c>
      <c r="N228" s="3" t="s">
        <v>22</v>
      </c>
      <c r="O228" s="3" t="s">
        <v>63</v>
      </c>
      <c r="P228">
        <f>DATEVALUE(OnePlusSalesData[[#This Row],[order_date]])</f>
        <v>43788</v>
      </c>
      <c r="Q228" s="28">
        <f>DATEVALUE(OnePlusSalesData[[#This Row],[delivery_date]])</f>
        <v>43792</v>
      </c>
    </row>
    <row r="229" spans="1:17" ht="16" x14ac:dyDescent="0.45">
      <c r="A229" s="8" t="s">
        <v>675</v>
      </c>
      <c r="B229" s="8" t="s">
        <v>58</v>
      </c>
      <c r="C229" s="9" t="s">
        <v>221</v>
      </c>
      <c r="D229" s="9" t="s">
        <v>34</v>
      </c>
      <c r="E229" s="9" t="s">
        <v>77</v>
      </c>
      <c r="F229" s="10">
        <v>24999</v>
      </c>
      <c r="G229" s="11">
        <v>2</v>
      </c>
      <c r="H229" s="12">
        <v>0.05</v>
      </c>
      <c r="I229" s="13">
        <v>2499.9</v>
      </c>
      <c r="J229" s="13">
        <v>47498.1</v>
      </c>
      <c r="K229" s="13">
        <v>12162.14</v>
      </c>
      <c r="L229" s="8" t="s">
        <v>153</v>
      </c>
      <c r="M229" s="19" t="s">
        <v>83</v>
      </c>
      <c r="N229" s="9" t="s">
        <v>44</v>
      </c>
      <c r="O229" s="9" t="s">
        <v>63</v>
      </c>
      <c r="P229">
        <f>DATEVALUE(OnePlusSalesData[[#This Row],[order_date]])</f>
        <v>43675</v>
      </c>
      <c r="Q229" s="28">
        <f>DATEVALUE(OnePlusSalesData[[#This Row],[delivery_date]])</f>
        <v>43681</v>
      </c>
    </row>
    <row r="230" spans="1:17" ht="16" x14ac:dyDescent="0.45">
      <c r="A230" s="2" t="s">
        <v>676</v>
      </c>
      <c r="B230" s="2" t="s">
        <v>52</v>
      </c>
      <c r="C230" s="3" t="s">
        <v>106</v>
      </c>
      <c r="D230" s="3" t="s">
        <v>40</v>
      </c>
      <c r="E230" s="3" t="s">
        <v>54</v>
      </c>
      <c r="F230" s="4">
        <v>53999</v>
      </c>
      <c r="G230" s="5">
        <v>5</v>
      </c>
      <c r="H230" s="6">
        <v>0.08</v>
      </c>
      <c r="I230" s="7">
        <v>21599.599999999999</v>
      </c>
      <c r="J230" s="7">
        <v>248395.4</v>
      </c>
      <c r="K230" s="7">
        <v>38645.15</v>
      </c>
      <c r="L230" s="2" t="s">
        <v>677</v>
      </c>
      <c r="M230" s="18" t="s">
        <v>485</v>
      </c>
      <c r="N230" s="3" t="s">
        <v>22</v>
      </c>
      <c r="O230" s="3" t="s">
        <v>45</v>
      </c>
      <c r="P230">
        <f>DATEVALUE(OnePlusSalesData[[#This Row],[order_date]])</f>
        <v>43231</v>
      </c>
      <c r="Q230" s="28">
        <f>DATEVALUE(OnePlusSalesData[[#This Row],[delivery_date]])</f>
        <v>43233</v>
      </c>
    </row>
    <row r="231" spans="1:17" ht="16" x14ac:dyDescent="0.45">
      <c r="A231" s="8" t="s">
        <v>678</v>
      </c>
      <c r="B231" s="8" t="s">
        <v>25</v>
      </c>
      <c r="C231" s="9" t="s">
        <v>65</v>
      </c>
      <c r="D231" s="9" t="s">
        <v>40</v>
      </c>
      <c r="E231" s="9" t="s">
        <v>73</v>
      </c>
      <c r="F231" s="10">
        <v>32999</v>
      </c>
      <c r="G231" s="11">
        <v>1</v>
      </c>
      <c r="H231" s="12">
        <v>0.1</v>
      </c>
      <c r="I231" s="13">
        <v>3299.9</v>
      </c>
      <c r="J231" s="13">
        <v>29699.1</v>
      </c>
      <c r="K231" s="13">
        <v>7076.93</v>
      </c>
      <c r="L231" s="8" t="s">
        <v>281</v>
      </c>
      <c r="M231" s="19" t="s">
        <v>362</v>
      </c>
      <c r="N231" s="9" t="s">
        <v>92</v>
      </c>
      <c r="O231" s="9" t="s">
        <v>96</v>
      </c>
      <c r="P231">
        <f>DATEVALUE(OnePlusSalesData[[#This Row],[order_date]])</f>
        <v>43746</v>
      </c>
      <c r="Q231" s="28">
        <f>DATEVALUE(OnePlusSalesData[[#This Row],[delivery_date]])</f>
        <v>43750</v>
      </c>
    </row>
    <row r="232" spans="1:17" ht="16" x14ac:dyDescent="0.45">
      <c r="A232" s="2" t="s">
        <v>679</v>
      </c>
      <c r="B232" s="2" t="s">
        <v>58</v>
      </c>
      <c r="C232" s="3" t="s">
        <v>59</v>
      </c>
      <c r="D232" s="3" t="s">
        <v>85</v>
      </c>
      <c r="E232" s="3" t="s">
        <v>86</v>
      </c>
      <c r="F232" s="4">
        <v>1999</v>
      </c>
      <c r="G232" s="5">
        <v>1</v>
      </c>
      <c r="H232" s="6">
        <v>0.05</v>
      </c>
      <c r="I232" s="7">
        <v>99.95</v>
      </c>
      <c r="J232" s="7">
        <v>1899.05</v>
      </c>
      <c r="K232" s="7">
        <v>452.56</v>
      </c>
      <c r="L232" s="2" t="s">
        <v>661</v>
      </c>
      <c r="M232" s="18" t="s">
        <v>680</v>
      </c>
      <c r="N232" s="3" t="s">
        <v>22</v>
      </c>
      <c r="O232" s="3" t="s">
        <v>23</v>
      </c>
      <c r="P232">
        <f>DATEVALUE(OnePlusSalesData[[#This Row],[order_date]])</f>
        <v>43688</v>
      </c>
      <c r="Q232" s="28">
        <f>DATEVALUE(OnePlusSalesData[[#This Row],[delivery_date]])</f>
        <v>43693</v>
      </c>
    </row>
    <row r="233" spans="1:17" ht="16" x14ac:dyDescent="0.45">
      <c r="A233" s="8" t="s">
        <v>681</v>
      </c>
      <c r="B233" s="8" t="s">
        <v>25</v>
      </c>
      <c r="C233" s="9" t="s">
        <v>172</v>
      </c>
      <c r="D233" s="9" t="s">
        <v>40</v>
      </c>
      <c r="E233" s="9" t="s">
        <v>98</v>
      </c>
      <c r="F233" s="10">
        <v>34999</v>
      </c>
      <c r="G233" s="11">
        <v>1</v>
      </c>
      <c r="H233" s="12">
        <v>0</v>
      </c>
      <c r="I233" s="13">
        <v>0</v>
      </c>
      <c r="J233" s="13">
        <v>34999</v>
      </c>
      <c r="K233" s="13">
        <v>6361.17</v>
      </c>
      <c r="L233" s="8" t="s">
        <v>682</v>
      </c>
      <c r="M233" s="19" t="s">
        <v>683</v>
      </c>
      <c r="N233" s="9" t="s">
        <v>92</v>
      </c>
      <c r="O233" s="9" t="s">
        <v>63</v>
      </c>
      <c r="P233">
        <f>DATEVALUE(OnePlusSalesData[[#This Row],[order_date]])</f>
        <v>44043</v>
      </c>
      <c r="Q233" s="28">
        <f>DATEVALUE(OnePlusSalesData[[#This Row],[delivery_date]])</f>
        <v>44046</v>
      </c>
    </row>
    <row r="234" spans="1:17" ht="16" x14ac:dyDescent="0.45">
      <c r="A234" s="2" t="s">
        <v>684</v>
      </c>
      <c r="B234" s="2" t="s">
        <v>52</v>
      </c>
      <c r="C234" s="3" t="s">
        <v>192</v>
      </c>
      <c r="D234" s="3" t="s">
        <v>40</v>
      </c>
      <c r="E234" s="3" t="s">
        <v>41</v>
      </c>
      <c r="F234" s="4">
        <v>37999</v>
      </c>
      <c r="G234" s="5">
        <v>2</v>
      </c>
      <c r="H234" s="6">
        <v>0.1</v>
      </c>
      <c r="I234" s="7">
        <v>7599.8</v>
      </c>
      <c r="J234" s="7">
        <v>68398.2</v>
      </c>
      <c r="K234" s="7">
        <v>11660.32</v>
      </c>
      <c r="L234" s="2" t="s">
        <v>329</v>
      </c>
      <c r="M234" s="18" t="s">
        <v>685</v>
      </c>
      <c r="N234" s="3" t="s">
        <v>92</v>
      </c>
      <c r="O234" s="3" t="s">
        <v>23</v>
      </c>
      <c r="P234">
        <f>DATEVALUE(OnePlusSalesData[[#This Row],[order_date]])</f>
        <v>43389</v>
      </c>
      <c r="Q234" s="28">
        <f>DATEVALUE(OnePlusSalesData[[#This Row],[delivery_date]])</f>
        <v>43394</v>
      </c>
    </row>
    <row r="235" spans="1:17" ht="16" x14ac:dyDescent="0.45">
      <c r="A235" s="8" t="s">
        <v>686</v>
      </c>
      <c r="B235" s="8" t="s">
        <v>16</v>
      </c>
      <c r="C235" s="9" t="s">
        <v>152</v>
      </c>
      <c r="D235" s="9" t="s">
        <v>18</v>
      </c>
      <c r="E235" s="9" t="s">
        <v>19</v>
      </c>
      <c r="F235" s="10">
        <v>1990</v>
      </c>
      <c r="G235" s="11">
        <v>1</v>
      </c>
      <c r="H235" s="12">
        <v>0.1</v>
      </c>
      <c r="I235" s="13">
        <v>199</v>
      </c>
      <c r="J235" s="13">
        <v>1791</v>
      </c>
      <c r="K235" s="13">
        <v>299.57</v>
      </c>
      <c r="L235" s="8" t="s">
        <v>687</v>
      </c>
      <c r="M235" s="19" t="s">
        <v>688</v>
      </c>
      <c r="N235" s="9" t="s">
        <v>92</v>
      </c>
      <c r="O235" s="9" t="s">
        <v>31</v>
      </c>
      <c r="P235">
        <f>DATEVALUE(OnePlusSalesData[[#This Row],[order_date]])</f>
        <v>44068</v>
      </c>
      <c r="Q235" s="28">
        <f>DATEVALUE(OnePlusSalesData[[#This Row],[delivery_date]])</f>
        <v>44072</v>
      </c>
    </row>
    <row r="236" spans="1:17" ht="16" x14ac:dyDescent="0.45">
      <c r="A236" s="2" t="s">
        <v>689</v>
      </c>
      <c r="B236" s="2" t="s">
        <v>16</v>
      </c>
      <c r="C236" s="3" t="s">
        <v>17</v>
      </c>
      <c r="D236" s="3" t="s">
        <v>40</v>
      </c>
      <c r="E236" s="3" t="s">
        <v>73</v>
      </c>
      <c r="F236" s="4">
        <v>32999</v>
      </c>
      <c r="G236" s="5">
        <v>2</v>
      </c>
      <c r="H236" s="6">
        <v>0.05</v>
      </c>
      <c r="I236" s="7">
        <v>3299.9</v>
      </c>
      <c r="J236" s="7">
        <v>62698.1</v>
      </c>
      <c r="K236" s="7">
        <v>14490.15</v>
      </c>
      <c r="L236" s="2" t="s">
        <v>482</v>
      </c>
      <c r="M236" s="18" t="s">
        <v>690</v>
      </c>
      <c r="N236" s="3" t="s">
        <v>92</v>
      </c>
      <c r="O236" s="3" t="s">
        <v>63</v>
      </c>
      <c r="P236">
        <f>DATEVALUE(OnePlusSalesData[[#This Row],[order_date]])</f>
        <v>43560</v>
      </c>
      <c r="Q236" s="28">
        <f>DATEVALUE(OnePlusSalesData[[#This Row],[delivery_date]])</f>
        <v>43562</v>
      </c>
    </row>
    <row r="237" spans="1:17" ht="16" x14ac:dyDescent="0.45">
      <c r="A237" s="8" t="s">
        <v>691</v>
      </c>
      <c r="B237" s="8" t="s">
        <v>52</v>
      </c>
      <c r="C237" s="9" t="s">
        <v>53</v>
      </c>
      <c r="D237" s="9" t="s">
        <v>27</v>
      </c>
      <c r="E237" s="9" t="s">
        <v>176</v>
      </c>
      <c r="F237" s="10">
        <v>69900</v>
      </c>
      <c r="G237" s="11">
        <v>1</v>
      </c>
      <c r="H237" s="12">
        <v>0.08</v>
      </c>
      <c r="I237" s="13">
        <v>5592</v>
      </c>
      <c r="J237" s="13">
        <v>64308</v>
      </c>
      <c r="K237" s="13">
        <v>9859.6200000000008</v>
      </c>
      <c r="L237" s="8" t="s">
        <v>692</v>
      </c>
      <c r="M237" s="19" t="s">
        <v>601</v>
      </c>
      <c r="N237" s="9" t="s">
        <v>22</v>
      </c>
      <c r="O237" s="9" t="s">
        <v>146</v>
      </c>
      <c r="P237">
        <f>DATEVALUE(OnePlusSalesData[[#This Row],[order_date]])</f>
        <v>43988</v>
      </c>
      <c r="Q237" s="28">
        <f>DATEVALUE(OnePlusSalesData[[#This Row],[delivery_date]])</f>
        <v>43995</v>
      </c>
    </row>
    <row r="238" spans="1:17" ht="16" x14ac:dyDescent="0.45">
      <c r="A238" s="2" t="s">
        <v>693</v>
      </c>
      <c r="B238" s="2" t="s">
        <v>16</v>
      </c>
      <c r="C238" s="3" t="s">
        <v>39</v>
      </c>
      <c r="D238" s="3" t="s">
        <v>27</v>
      </c>
      <c r="E238" s="3" t="s">
        <v>176</v>
      </c>
      <c r="F238" s="4">
        <v>69900</v>
      </c>
      <c r="G238" s="5">
        <v>1</v>
      </c>
      <c r="H238" s="6">
        <v>0.05</v>
      </c>
      <c r="I238" s="7">
        <v>3495</v>
      </c>
      <c r="J238" s="7">
        <v>66405</v>
      </c>
      <c r="K238" s="7">
        <v>9631.58</v>
      </c>
      <c r="L238" s="2" t="s">
        <v>694</v>
      </c>
      <c r="M238" s="18" t="s">
        <v>243</v>
      </c>
      <c r="N238" s="3" t="s">
        <v>50</v>
      </c>
      <c r="O238" s="3" t="s">
        <v>23</v>
      </c>
      <c r="P238">
        <f>DATEVALUE(OnePlusSalesData[[#This Row],[order_date]])</f>
        <v>43956</v>
      </c>
      <c r="Q238" s="28">
        <f>DATEVALUE(OnePlusSalesData[[#This Row],[delivery_date]])</f>
        <v>43963</v>
      </c>
    </row>
    <row r="239" spans="1:17" ht="16" x14ac:dyDescent="0.45">
      <c r="A239" s="8" t="s">
        <v>695</v>
      </c>
      <c r="B239" s="8" t="s">
        <v>58</v>
      </c>
      <c r="C239" s="9" t="s">
        <v>221</v>
      </c>
      <c r="D239" s="9" t="s">
        <v>85</v>
      </c>
      <c r="E239" s="9" t="s">
        <v>258</v>
      </c>
      <c r="F239" s="10">
        <v>2999</v>
      </c>
      <c r="G239" s="11">
        <v>3</v>
      </c>
      <c r="H239" s="12">
        <v>0.1</v>
      </c>
      <c r="I239" s="13">
        <v>899.7</v>
      </c>
      <c r="J239" s="13">
        <v>8097.3</v>
      </c>
      <c r="K239" s="13">
        <v>1915.73</v>
      </c>
      <c r="L239" s="8" t="s">
        <v>550</v>
      </c>
      <c r="M239" s="19" t="s">
        <v>696</v>
      </c>
      <c r="N239" s="9" t="s">
        <v>44</v>
      </c>
      <c r="O239" s="9" t="s">
        <v>63</v>
      </c>
      <c r="P239">
        <f>DATEVALUE(OnePlusSalesData[[#This Row],[order_date]])</f>
        <v>44080</v>
      </c>
      <c r="Q239" s="28">
        <f>DATEVALUE(OnePlusSalesData[[#This Row],[delivery_date]])</f>
        <v>44086</v>
      </c>
    </row>
    <row r="240" spans="1:17" ht="16" x14ac:dyDescent="0.45">
      <c r="A240" s="2" t="s">
        <v>697</v>
      </c>
      <c r="B240" s="2" t="s">
        <v>16</v>
      </c>
      <c r="C240" s="3" t="s">
        <v>33</v>
      </c>
      <c r="D240" s="3" t="s">
        <v>27</v>
      </c>
      <c r="E240" s="3" t="s">
        <v>176</v>
      </c>
      <c r="F240" s="4">
        <v>69900</v>
      </c>
      <c r="G240" s="5">
        <v>1</v>
      </c>
      <c r="H240" s="6">
        <v>0.08</v>
      </c>
      <c r="I240" s="7">
        <v>5592</v>
      </c>
      <c r="J240" s="7">
        <v>64308</v>
      </c>
      <c r="K240" s="7">
        <v>13175.67</v>
      </c>
      <c r="L240" s="2" t="s">
        <v>698</v>
      </c>
      <c r="M240" s="18" t="s">
        <v>699</v>
      </c>
      <c r="N240" s="3" t="s">
        <v>22</v>
      </c>
      <c r="O240" s="3" t="s">
        <v>23</v>
      </c>
      <c r="P240">
        <f>DATEVALUE(OnePlusSalesData[[#This Row],[order_date]])</f>
        <v>44036</v>
      </c>
      <c r="Q240" s="28">
        <f>DATEVALUE(OnePlusSalesData[[#This Row],[delivery_date]])</f>
        <v>44038</v>
      </c>
    </row>
    <row r="241" spans="1:17" ht="16" x14ac:dyDescent="0.45">
      <c r="A241" s="8" t="s">
        <v>700</v>
      </c>
      <c r="B241" s="8" t="s">
        <v>16</v>
      </c>
      <c r="C241" s="9" t="s">
        <v>33</v>
      </c>
      <c r="D241" s="9" t="s">
        <v>85</v>
      </c>
      <c r="E241" s="9" t="s">
        <v>258</v>
      </c>
      <c r="F241" s="10">
        <v>2999</v>
      </c>
      <c r="G241" s="11">
        <v>1</v>
      </c>
      <c r="H241" s="12">
        <v>0.05</v>
      </c>
      <c r="I241" s="13">
        <v>149.94999999999999</v>
      </c>
      <c r="J241" s="13">
        <v>2849.05</v>
      </c>
      <c r="K241" s="13">
        <v>501.41</v>
      </c>
      <c r="L241" s="8" t="s">
        <v>701</v>
      </c>
      <c r="M241" s="19" t="s">
        <v>702</v>
      </c>
      <c r="N241" s="9" t="s">
        <v>22</v>
      </c>
      <c r="O241" s="9" t="s">
        <v>96</v>
      </c>
      <c r="P241">
        <f>DATEVALUE(OnePlusSalesData[[#This Row],[order_date]])</f>
        <v>43322</v>
      </c>
      <c r="Q241" s="28">
        <f>DATEVALUE(OnePlusSalesData[[#This Row],[delivery_date]])</f>
        <v>43324</v>
      </c>
    </row>
    <row r="242" spans="1:17" ht="16" x14ac:dyDescent="0.45">
      <c r="A242" s="2" t="s">
        <v>703</v>
      </c>
      <c r="B242" s="2" t="s">
        <v>58</v>
      </c>
      <c r="C242" s="3" t="s">
        <v>257</v>
      </c>
      <c r="D242" s="3" t="s">
        <v>85</v>
      </c>
      <c r="E242" s="3" t="s">
        <v>258</v>
      </c>
      <c r="F242" s="4">
        <v>2999</v>
      </c>
      <c r="G242" s="5">
        <v>1</v>
      </c>
      <c r="H242" s="6">
        <v>0.15</v>
      </c>
      <c r="I242" s="7">
        <v>449.85</v>
      </c>
      <c r="J242" s="7">
        <v>2549.15</v>
      </c>
      <c r="K242" s="7">
        <v>548.42999999999995</v>
      </c>
      <c r="L242" s="2" t="s">
        <v>704</v>
      </c>
      <c r="M242" s="18" t="s">
        <v>433</v>
      </c>
      <c r="N242" s="3" t="s">
        <v>50</v>
      </c>
      <c r="O242" s="3" t="s">
        <v>23</v>
      </c>
      <c r="P242">
        <f>DATEVALUE(OnePlusSalesData[[#This Row],[order_date]])</f>
        <v>44140</v>
      </c>
      <c r="Q242" s="28">
        <f>DATEVALUE(OnePlusSalesData[[#This Row],[delivery_date]])</f>
        <v>44146</v>
      </c>
    </row>
    <row r="243" spans="1:17" ht="16" x14ac:dyDescent="0.45">
      <c r="A243" s="8" t="s">
        <v>705</v>
      </c>
      <c r="B243" s="8" t="s">
        <v>16</v>
      </c>
      <c r="C243" s="9" t="s">
        <v>39</v>
      </c>
      <c r="D243" s="9" t="s">
        <v>85</v>
      </c>
      <c r="E243" s="9" t="s">
        <v>258</v>
      </c>
      <c r="F243" s="10">
        <v>2999</v>
      </c>
      <c r="G243" s="11">
        <v>3</v>
      </c>
      <c r="H243" s="12">
        <v>0.05</v>
      </c>
      <c r="I243" s="13">
        <v>449.85</v>
      </c>
      <c r="J243" s="13">
        <v>8547.15</v>
      </c>
      <c r="K243" s="13">
        <v>1261.8699999999999</v>
      </c>
      <c r="L243" s="8" t="s">
        <v>163</v>
      </c>
      <c r="M243" s="19" t="s">
        <v>706</v>
      </c>
      <c r="N243" s="9" t="s">
        <v>22</v>
      </c>
      <c r="O243" s="9" t="s">
        <v>23</v>
      </c>
      <c r="P243">
        <f>DATEVALUE(OnePlusSalesData[[#This Row],[order_date]])</f>
        <v>44113</v>
      </c>
      <c r="Q243" s="28">
        <f>DATEVALUE(OnePlusSalesData[[#This Row],[delivery_date]])</f>
        <v>44119</v>
      </c>
    </row>
    <row r="244" spans="1:17" ht="16" x14ac:dyDescent="0.45">
      <c r="A244" s="2" t="s">
        <v>707</v>
      </c>
      <c r="B244" s="2" t="s">
        <v>58</v>
      </c>
      <c r="C244" s="3" t="s">
        <v>113</v>
      </c>
      <c r="D244" s="3" t="s">
        <v>40</v>
      </c>
      <c r="E244" s="3" t="s">
        <v>98</v>
      </c>
      <c r="F244" s="4">
        <v>34999</v>
      </c>
      <c r="G244" s="5">
        <v>1</v>
      </c>
      <c r="H244" s="6">
        <v>0.08</v>
      </c>
      <c r="I244" s="7">
        <v>2799.92</v>
      </c>
      <c r="J244" s="7">
        <v>32199.08</v>
      </c>
      <c r="K244" s="7">
        <v>4825.51</v>
      </c>
      <c r="L244" s="2" t="s">
        <v>708</v>
      </c>
      <c r="M244" s="18" t="s">
        <v>709</v>
      </c>
      <c r="N244" s="3" t="s">
        <v>22</v>
      </c>
      <c r="O244" s="3" t="s">
        <v>23</v>
      </c>
      <c r="P244">
        <f>DATEVALUE(OnePlusSalesData[[#This Row],[order_date]])</f>
        <v>43538</v>
      </c>
      <c r="Q244" s="28">
        <f>DATEVALUE(OnePlusSalesData[[#This Row],[delivery_date]])</f>
        <v>43543</v>
      </c>
    </row>
    <row r="245" spans="1:17" ht="16" x14ac:dyDescent="0.45">
      <c r="A245" s="8" t="s">
        <v>710</v>
      </c>
      <c r="B245" s="8" t="s">
        <v>16</v>
      </c>
      <c r="C245" s="9" t="s">
        <v>152</v>
      </c>
      <c r="D245" s="9" t="s">
        <v>40</v>
      </c>
      <c r="E245" s="9" t="s">
        <v>60</v>
      </c>
      <c r="F245" s="10">
        <v>54999</v>
      </c>
      <c r="G245" s="11">
        <v>4</v>
      </c>
      <c r="H245" s="12">
        <v>0.05</v>
      </c>
      <c r="I245" s="13">
        <v>10999.8</v>
      </c>
      <c r="J245" s="13">
        <v>208996.2</v>
      </c>
      <c r="K245" s="13">
        <v>49042.27</v>
      </c>
      <c r="L245" s="8" t="s">
        <v>711</v>
      </c>
      <c r="M245" s="19" t="s">
        <v>245</v>
      </c>
      <c r="N245" s="9" t="s">
        <v>92</v>
      </c>
      <c r="O245" s="9" t="s">
        <v>23</v>
      </c>
      <c r="P245">
        <f>DATEVALUE(OnePlusSalesData[[#This Row],[order_date]])</f>
        <v>43279</v>
      </c>
      <c r="Q245" s="28">
        <f>DATEVALUE(OnePlusSalesData[[#This Row],[delivery_date]])</f>
        <v>43284</v>
      </c>
    </row>
    <row r="246" spans="1:17" ht="16" x14ac:dyDescent="0.45">
      <c r="A246" s="2" t="s">
        <v>712</v>
      </c>
      <c r="B246" s="2" t="s">
        <v>25</v>
      </c>
      <c r="C246" s="3" t="s">
        <v>120</v>
      </c>
      <c r="D246" s="3" t="s">
        <v>85</v>
      </c>
      <c r="E246" s="3" t="s">
        <v>265</v>
      </c>
      <c r="F246" s="4">
        <v>4990</v>
      </c>
      <c r="G246" s="5">
        <v>5</v>
      </c>
      <c r="H246" s="6">
        <v>0.05</v>
      </c>
      <c r="I246" s="7">
        <v>1247.5</v>
      </c>
      <c r="J246" s="7">
        <v>23702.5</v>
      </c>
      <c r="K246" s="7">
        <v>4090.77</v>
      </c>
      <c r="L246" s="2" t="s">
        <v>713</v>
      </c>
      <c r="M246" s="18" t="s">
        <v>714</v>
      </c>
      <c r="N246" s="3" t="s">
        <v>22</v>
      </c>
      <c r="O246" s="3" t="s">
        <v>63</v>
      </c>
      <c r="P246">
        <f>DATEVALUE(OnePlusSalesData[[#This Row],[order_date]])</f>
        <v>43447</v>
      </c>
      <c r="Q246" s="28">
        <f>DATEVALUE(OnePlusSalesData[[#This Row],[delivery_date]])</f>
        <v>43449</v>
      </c>
    </row>
    <row r="247" spans="1:17" ht="16" x14ac:dyDescent="0.45">
      <c r="A247" s="8" t="s">
        <v>715</v>
      </c>
      <c r="B247" s="8" t="s">
        <v>25</v>
      </c>
      <c r="C247" s="9" t="s">
        <v>133</v>
      </c>
      <c r="D247" s="9" t="s">
        <v>18</v>
      </c>
      <c r="E247" s="9" t="s">
        <v>179</v>
      </c>
      <c r="F247" s="10">
        <v>1290</v>
      </c>
      <c r="G247" s="11">
        <v>1</v>
      </c>
      <c r="H247" s="12">
        <v>0.05</v>
      </c>
      <c r="I247" s="13">
        <v>64.5</v>
      </c>
      <c r="J247" s="13">
        <v>1225.5</v>
      </c>
      <c r="K247" s="13">
        <v>178.28</v>
      </c>
      <c r="L247" s="8" t="s">
        <v>596</v>
      </c>
      <c r="M247" s="19" t="s">
        <v>514</v>
      </c>
      <c r="N247" s="9" t="s">
        <v>22</v>
      </c>
      <c r="O247" s="9" t="s">
        <v>31</v>
      </c>
      <c r="P247">
        <f>DATEVALUE(OnePlusSalesData[[#This Row],[order_date]])</f>
        <v>43462</v>
      </c>
      <c r="Q247" s="28">
        <f>DATEVALUE(OnePlusSalesData[[#This Row],[delivery_date]])</f>
        <v>43464</v>
      </c>
    </row>
    <row r="248" spans="1:17" ht="16" x14ac:dyDescent="0.45">
      <c r="A248" s="2" t="s">
        <v>716</v>
      </c>
      <c r="B248" s="2" t="s">
        <v>52</v>
      </c>
      <c r="C248" s="3" t="s">
        <v>69</v>
      </c>
      <c r="D248" s="3" t="s">
        <v>18</v>
      </c>
      <c r="E248" s="3" t="s">
        <v>124</v>
      </c>
      <c r="F248" s="4">
        <v>3990</v>
      </c>
      <c r="G248" s="5">
        <v>1</v>
      </c>
      <c r="H248" s="6">
        <v>0</v>
      </c>
      <c r="I248" s="7">
        <v>0</v>
      </c>
      <c r="J248" s="7">
        <v>3990</v>
      </c>
      <c r="K248" s="7">
        <v>805.93</v>
      </c>
      <c r="L248" s="2" t="s">
        <v>314</v>
      </c>
      <c r="M248" s="18" t="s">
        <v>384</v>
      </c>
      <c r="N248" s="3" t="s">
        <v>22</v>
      </c>
      <c r="O248" s="3" t="s">
        <v>23</v>
      </c>
      <c r="P248">
        <f>DATEVALUE(OnePlusSalesData[[#This Row],[order_date]])</f>
        <v>44098</v>
      </c>
      <c r="Q248" s="28">
        <f>DATEVALUE(OnePlusSalesData[[#This Row],[delivery_date]])</f>
        <v>44100</v>
      </c>
    </row>
    <row r="249" spans="1:17" ht="16" x14ac:dyDescent="0.45">
      <c r="A249" s="8" t="s">
        <v>717</v>
      </c>
      <c r="B249" s="8" t="s">
        <v>25</v>
      </c>
      <c r="C249" s="9" t="s">
        <v>120</v>
      </c>
      <c r="D249" s="9" t="s">
        <v>40</v>
      </c>
      <c r="E249" s="9" t="s">
        <v>98</v>
      </c>
      <c r="F249" s="10">
        <v>34999</v>
      </c>
      <c r="G249" s="11">
        <v>1</v>
      </c>
      <c r="H249" s="12">
        <v>0.1</v>
      </c>
      <c r="I249" s="13">
        <v>3499.9</v>
      </c>
      <c r="J249" s="13">
        <v>31499.1</v>
      </c>
      <c r="K249" s="13">
        <v>6572.16</v>
      </c>
      <c r="L249" s="8" t="s">
        <v>90</v>
      </c>
      <c r="M249" s="19" t="s">
        <v>276</v>
      </c>
      <c r="N249" s="9" t="s">
        <v>22</v>
      </c>
      <c r="O249" s="9" t="s">
        <v>96</v>
      </c>
      <c r="P249">
        <f>DATEVALUE(OnePlusSalesData[[#This Row],[order_date]])</f>
        <v>43418</v>
      </c>
      <c r="Q249" s="28">
        <f>DATEVALUE(OnePlusSalesData[[#This Row],[delivery_date]])</f>
        <v>43421</v>
      </c>
    </row>
    <row r="250" spans="1:17" ht="16" x14ac:dyDescent="0.45">
      <c r="A250" s="2" t="s">
        <v>718</v>
      </c>
      <c r="B250" s="2" t="s">
        <v>16</v>
      </c>
      <c r="C250" s="3" t="s">
        <v>17</v>
      </c>
      <c r="D250" s="3" t="s">
        <v>18</v>
      </c>
      <c r="E250" s="3" t="s">
        <v>102</v>
      </c>
      <c r="F250" s="4">
        <v>1490</v>
      </c>
      <c r="G250" s="5">
        <v>2</v>
      </c>
      <c r="H250" s="6">
        <v>0</v>
      </c>
      <c r="I250" s="7">
        <v>0</v>
      </c>
      <c r="J250" s="7">
        <v>2980</v>
      </c>
      <c r="K250" s="7">
        <v>540.65</v>
      </c>
      <c r="L250" s="2" t="s">
        <v>632</v>
      </c>
      <c r="M250" s="18" t="s">
        <v>633</v>
      </c>
      <c r="N250" s="3" t="s">
        <v>22</v>
      </c>
      <c r="O250" s="3" t="s">
        <v>63</v>
      </c>
      <c r="P250">
        <f>DATEVALUE(OnePlusSalesData[[#This Row],[order_date]])</f>
        <v>43283</v>
      </c>
      <c r="Q250" s="28">
        <f>DATEVALUE(OnePlusSalesData[[#This Row],[delivery_date]])</f>
        <v>43285</v>
      </c>
    </row>
    <row r="251" spans="1:17" ht="16" x14ac:dyDescent="0.45">
      <c r="A251" s="8" t="s">
        <v>719</v>
      </c>
      <c r="B251" s="8" t="s">
        <v>25</v>
      </c>
      <c r="C251" s="9" t="s">
        <v>26</v>
      </c>
      <c r="D251" s="9" t="s">
        <v>85</v>
      </c>
      <c r="E251" s="9" t="s">
        <v>265</v>
      </c>
      <c r="F251" s="10">
        <v>4990</v>
      </c>
      <c r="G251" s="11">
        <v>4</v>
      </c>
      <c r="H251" s="12">
        <v>0</v>
      </c>
      <c r="I251" s="13">
        <v>0</v>
      </c>
      <c r="J251" s="13">
        <v>19960</v>
      </c>
      <c r="K251" s="13">
        <v>3728.22</v>
      </c>
      <c r="L251" s="8" t="s">
        <v>720</v>
      </c>
      <c r="M251" s="19" t="s">
        <v>721</v>
      </c>
      <c r="N251" s="9" t="s">
        <v>50</v>
      </c>
      <c r="O251" s="9" t="s">
        <v>63</v>
      </c>
      <c r="P251">
        <f>DATEVALUE(OnePlusSalesData[[#This Row],[order_date]])</f>
        <v>43119</v>
      </c>
      <c r="Q251" s="28">
        <f>DATEVALUE(OnePlusSalesData[[#This Row],[delivery_date]])</f>
        <v>43124</v>
      </c>
    </row>
    <row r="252" spans="1:17" ht="16" x14ac:dyDescent="0.45">
      <c r="A252" s="2" t="s">
        <v>722</v>
      </c>
      <c r="B252" s="2" t="s">
        <v>25</v>
      </c>
      <c r="C252" s="3" t="s">
        <v>65</v>
      </c>
      <c r="D252" s="3" t="s">
        <v>18</v>
      </c>
      <c r="E252" s="3" t="s">
        <v>124</v>
      </c>
      <c r="F252" s="4">
        <v>3990</v>
      </c>
      <c r="G252" s="5">
        <v>1</v>
      </c>
      <c r="H252" s="6">
        <v>0.08</v>
      </c>
      <c r="I252" s="7">
        <v>319.2</v>
      </c>
      <c r="J252" s="7">
        <v>3670.8</v>
      </c>
      <c r="K252" s="7">
        <v>934.16</v>
      </c>
      <c r="L252" s="2" t="s">
        <v>723</v>
      </c>
      <c r="M252" s="18" t="s">
        <v>135</v>
      </c>
      <c r="N252" s="3" t="s">
        <v>22</v>
      </c>
      <c r="O252" s="3" t="s">
        <v>23</v>
      </c>
      <c r="P252">
        <f>DATEVALUE(OnePlusSalesData[[#This Row],[order_date]])</f>
        <v>43620</v>
      </c>
      <c r="Q252" s="28">
        <f>DATEVALUE(OnePlusSalesData[[#This Row],[delivery_date]])</f>
        <v>43622</v>
      </c>
    </row>
    <row r="253" spans="1:17" ht="16" x14ac:dyDescent="0.45">
      <c r="A253" s="8" t="s">
        <v>724</v>
      </c>
      <c r="B253" s="8" t="s">
        <v>25</v>
      </c>
      <c r="C253" s="9" t="s">
        <v>133</v>
      </c>
      <c r="D253" s="9" t="s">
        <v>18</v>
      </c>
      <c r="E253" s="9" t="s">
        <v>19</v>
      </c>
      <c r="F253" s="10">
        <v>1990</v>
      </c>
      <c r="G253" s="11">
        <v>3</v>
      </c>
      <c r="H253" s="12">
        <v>0.05</v>
      </c>
      <c r="I253" s="13">
        <v>298.5</v>
      </c>
      <c r="J253" s="13">
        <v>5671.5</v>
      </c>
      <c r="K253" s="13">
        <v>1246.79</v>
      </c>
      <c r="L253" s="8" t="s">
        <v>536</v>
      </c>
      <c r="M253" s="19" t="s">
        <v>326</v>
      </c>
      <c r="N253" s="9" t="s">
        <v>22</v>
      </c>
      <c r="O253" s="9" t="s">
        <v>23</v>
      </c>
      <c r="P253">
        <f>DATEVALUE(OnePlusSalesData[[#This Row],[order_date]])</f>
        <v>43739</v>
      </c>
      <c r="Q253" s="28">
        <f>DATEVALUE(OnePlusSalesData[[#This Row],[delivery_date]])</f>
        <v>43744</v>
      </c>
    </row>
    <row r="254" spans="1:17" ht="16" x14ac:dyDescent="0.45">
      <c r="A254" s="2" t="s">
        <v>725</v>
      </c>
      <c r="B254" s="2" t="s">
        <v>16</v>
      </c>
      <c r="C254" s="3" t="s">
        <v>152</v>
      </c>
      <c r="D254" s="3" t="s">
        <v>18</v>
      </c>
      <c r="E254" s="3" t="s">
        <v>102</v>
      </c>
      <c r="F254" s="4">
        <v>1490</v>
      </c>
      <c r="G254" s="5">
        <v>1</v>
      </c>
      <c r="H254" s="6">
        <v>0</v>
      </c>
      <c r="I254" s="7">
        <v>0</v>
      </c>
      <c r="J254" s="7">
        <v>1490</v>
      </c>
      <c r="K254" s="7">
        <v>272.02999999999997</v>
      </c>
      <c r="L254" s="2" t="s">
        <v>726</v>
      </c>
      <c r="M254" s="18" t="s">
        <v>37</v>
      </c>
      <c r="N254" s="3" t="s">
        <v>92</v>
      </c>
      <c r="O254" s="3" t="s">
        <v>31</v>
      </c>
      <c r="P254">
        <f>DATEVALUE(OnePlusSalesData[[#This Row],[order_date]])</f>
        <v>44059</v>
      </c>
      <c r="Q254" s="28">
        <f>DATEVALUE(OnePlusSalesData[[#This Row],[delivery_date]])</f>
        <v>44065</v>
      </c>
    </row>
    <row r="255" spans="1:17" ht="16" x14ac:dyDescent="0.45">
      <c r="A255" s="8" t="s">
        <v>727</v>
      </c>
      <c r="B255" s="8" t="s">
        <v>16</v>
      </c>
      <c r="C255" s="9" t="s">
        <v>140</v>
      </c>
      <c r="D255" s="9" t="s">
        <v>85</v>
      </c>
      <c r="E255" s="9" t="s">
        <v>258</v>
      </c>
      <c r="F255" s="10">
        <v>2999</v>
      </c>
      <c r="G255" s="11">
        <v>2</v>
      </c>
      <c r="H255" s="12">
        <v>0.12</v>
      </c>
      <c r="I255" s="13">
        <v>719.76</v>
      </c>
      <c r="J255" s="13">
        <v>5278.24</v>
      </c>
      <c r="K255" s="13">
        <v>1126.95</v>
      </c>
      <c r="L255" s="8" t="s">
        <v>231</v>
      </c>
      <c r="M255" s="19" t="s">
        <v>728</v>
      </c>
      <c r="N255" s="9" t="s">
        <v>22</v>
      </c>
      <c r="O255" s="9" t="s">
        <v>63</v>
      </c>
      <c r="P255">
        <f>DATEVALUE(OnePlusSalesData[[#This Row],[order_date]])</f>
        <v>43871</v>
      </c>
      <c r="Q255" s="28">
        <f>DATEVALUE(OnePlusSalesData[[#This Row],[delivery_date]])</f>
        <v>43876</v>
      </c>
    </row>
    <row r="256" spans="1:17" ht="16" x14ac:dyDescent="0.45">
      <c r="A256" s="2" t="s">
        <v>729</v>
      </c>
      <c r="B256" s="2" t="s">
        <v>16</v>
      </c>
      <c r="C256" s="3" t="s">
        <v>39</v>
      </c>
      <c r="D256" s="3" t="s">
        <v>18</v>
      </c>
      <c r="E256" s="3" t="s">
        <v>124</v>
      </c>
      <c r="F256" s="4">
        <v>3990</v>
      </c>
      <c r="G256" s="5">
        <v>5</v>
      </c>
      <c r="H256" s="6">
        <v>0.1</v>
      </c>
      <c r="I256" s="7">
        <v>1995</v>
      </c>
      <c r="J256" s="7">
        <v>17955</v>
      </c>
      <c r="K256" s="7">
        <v>4010.89</v>
      </c>
      <c r="L256" s="2" t="s">
        <v>560</v>
      </c>
      <c r="M256" s="18" t="s">
        <v>730</v>
      </c>
      <c r="N256" s="3" t="s">
        <v>22</v>
      </c>
      <c r="O256" s="3" t="s">
        <v>23</v>
      </c>
      <c r="P256">
        <f>DATEVALUE(OnePlusSalesData[[#This Row],[order_date]])</f>
        <v>43368</v>
      </c>
      <c r="Q256" s="28">
        <f>DATEVALUE(OnePlusSalesData[[#This Row],[delivery_date]])</f>
        <v>43372</v>
      </c>
    </row>
    <row r="257" spans="1:17" ht="16" x14ac:dyDescent="0.45">
      <c r="A257" s="8" t="s">
        <v>731</v>
      </c>
      <c r="B257" s="8" t="s">
        <v>16</v>
      </c>
      <c r="C257" s="9" t="s">
        <v>17</v>
      </c>
      <c r="D257" s="9" t="s">
        <v>27</v>
      </c>
      <c r="E257" s="9" t="s">
        <v>28</v>
      </c>
      <c r="F257" s="10">
        <v>12999</v>
      </c>
      <c r="G257" s="11">
        <v>2</v>
      </c>
      <c r="H257" s="12">
        <v>0</v>
      </c>
      <c r="I257" s="13">
        <v>0</v>
      </c>
      <c r="J257" s="13">
        <v>25998</v>
      </c>
      <c r="K257" s="13">
        <v>5095.42</v>
      </c>
      <c r="L257" s="8" t="s">
        <v>29</v>
      </c>
      <c r="M257" s="19" t="s">
        <v>732</v>
      </c>
      <c r="N257" s="9" t="s">
        <v>50</v>
      </c>
      <c r="O257" s="9" t="s">
        <v>31</v>
      </c>
      <c r="P257">
        <f>DATEVALUE(OnePlusSalesData[[#This Row],[order_date]])</f>
        <v>43377</v>
      </c>
      <c r="Q257" s="28">
        <f>DATEVALUE(OnePlusSalesData[[#This Row],[delivery_date]])</f>
        <v>43384</v>
      </c>
    </row>
    <row r="258" spans="1:17" ht="16" x14ac:dyDescent="0.45">
      <c r="A258" s="2" t="s">
        <v>733</v>
      </c>
      <c r="B258" s="2" t="s">
        <v>25</v>
      </c>
      <c r="C258" s="3" t="s">
        <v>133</v>
      </c>
      <c r="D258" s="3" t="s">
        <v>27</v>
      </c>
      <c r="E258" s="3" t="s">
        <v>28</v>
      </c>
      <c r="F258" s="4">
        <v>12999</v>
      </c>
      <c r="G258" s="5">
        <v>1</v>
      </c>
      <c r="H258" s="6">
        <v>0</v>
      </c>
      <c r="I258" s="7">
        <v>0</v>
      </c>
      <c r="J258" s="7">
        <v>12999</v>
      </c>
      <c r="K258" s="7">
        <v>2419.23</v>
      </c>
      <c r="L258" s="2" t="s">
        <v>418</v>
      </c>
      <c r="M258" s="18" t="s">
        <v>734</v>
      </c>
      <c r="N258" s="3" t="s">
        <v>22</v>
      </c>
      <c r="O258" s="3" t="s">
        <v>63</v>
      </c>
      <c r="P258">
        <f>DATEVALUE(OnePlusSalesData[[#This Row],[order_date]])</f>
        <v>43295</v>
      </c>
      <c r="Q258" s="28">
        <f>DATEVALUE(OnePlusSalesData[[#This Row],[delivery_date]])</f>
        <v>43300</v>
      </c>
    </row>
    <row r="259" spans="1:17" ht="16" x14ac:dyDescent="0.45">
      <c r="A259" s="8" t="s">
        <v>735</v>
      </c>
      <c r="B259" s="8" t="s">
        <v>25</v>
      </c>
      <c r="C259" s="9" t="s">
        <v>26</v>
      </c>
      <c r="D259" s="9" t="s">
        <v>18</v>
      </c>
      <c r="E259" s="9" t="s">
        <v>124</v>
      </c>
      <c r="F259" s="10">
        <v>3990</v>
      </c>
      <c r="G259" s="11">
        <v>1</v>
      </c>
      <c r="H259" s="12">
        <v>0.05</v>
      </c>
      <c r="I259" s="13">
        <v>199.5</v>
      </c>
      <c r="J259" s="13">
        <v>3790.5</v>
      </c>
      <c r="K259" s="13">
        <v>543.14</v>
      </c>
      <c r="L259" s="8" t="s">
        <v>736</v>
      </c>
      <c r="M259" s="19" t="s">
        <v>527</v>
      </c>
      <c r="N259" s="9" t="s">
        <v>22</v>
      </c>
      <c r="O259" s="9" t="s">
        <v>31</v>
      </c>
      <c r="P259">
        <f>DATEVALUE(OnePlusSalesData[[#This Row],[order_date]])</f>
        <v>43779</v>
      </c>
      <c r="Q259" s="28">
        <f>DATEVALUE(OnePlusSalesData[[#This Row],[delivery_date]])</f>
        <v>43782</v>
      </c>
    </row>
    <row r="260" spans="1:17" ht="16" x14ac:dyDescent="0.45">
      <c r="A260" s="2" t="s">
        <v>737</v>
      </c>
      <c r="B260" s="2" t="s">
        <v>25</v>
      </c>
      <c r="C260" s="3" t="s">
        <v>133</v>
      </c>
      <c r="D260" s="3" t="s">
        <v>40</v>
      </c>
      <c r="E260" s="3" t="s">
        <v>98</v>
      </c>
      <c r="F260" s="4">
        <v>34999</v>
      </c>
      <c r="G260" s="5">
        <v>4</v>
      </c>
      <c r="H260" s="6">
        <v>0.05</v>
      </c>
      <c r="I260" s="7">
        <v>6999.8</v>
      </c>
      <c r="J260" s="7">
        <v>132996.20000000001</v>
      </c>
      <c r="K260" s="7">
        <v>26874.37</v>
      </c>
      <c r="L260" s="2" t="s">
        <v>738</v>
      </c>
      <c r="M260" s="18" t="s">
        <v>739</v>
      </c>
      <c r="N260" s="3" t="s">
        <v>22</v>
      </c>
      <c r="O260" s="3" t="s">
        <v>31</v>
      </c>
      <c r="P260">
        <f>DATEVALUE(OnePlusSalesData[[#This Row],[order_date]])</f>
        <v>44014</v>
      </c>
      <c r="Q260" s="28">
        <f>DATEVALUE(OnePlusSalesData[[#This Row],[delivery_date]])</f>
        <v>44019</v>
      </c>
    </row>
    <row r="261" spans="1:17" ht="16" x14ac:dyDescent="0.45">
      <c r="A261" s="8" t="s">
        <v>740</v>
      </c>
      <c r="B261" s="8" t="s">
        <v>52</v>
      </c>
      <c r="C261" s="9" t="s">
        <v>69</v>
      </c>
      <c r="D261" s="9" t="s">
        <v>18</v>
      </c>
      <c r="E261" s="9" t="s">
        <v>102</v>
      </c>
      <c r="F261" s="10">
        <v>1490</v>
      </c>
      <c r="G261" s="11">
        <v>1</v>
      </c>
      <c r="H261" s="12">
        <v>0.1</v>
      </c>
      <c r="I261" s="13">
        <v>149</v>
      </c>
      <c r="J261" s="13">
        <v>1341</v>
      </c>
      <c r="K261" s="13">
        <v>273.2</v>
      </c>
      <c r="L261" s="8" t="s">
        <v>741</v>
      </c>
      <c r="M261" s="19" t="s">
        <v>254</v>
      </c>
      <c r="N261" s="9" t="s">
        <v>22</v>
      </c>
      <c r="O261" s="9" t="s">
        <v>96</v>
      </c>
      <c r="P261">
        <f>DATEVALUE(OnePlusSalesData[[#This Row],[order_date]])</f>
        <v>43933</v>
      </c>
      <c r="Q261" s="28">
        <f>DATEVALUE(OnePlusSalesData[[#This Row],[delivery_date]])</f>
        <v>43938</v>
      </c>
    </row>
    <row r="262" spans="1:17" ht="16" x14ac:dyDescent="0.45">
      <c r="A262" s="2" t="s">
        <v>742</v>
      </c>
      <c r="B262" s="2" t="s">
        <v>25</v>
      </c>
      <c r="C262" s="3" t="s">
        <v>26</v>
      </c>
      <c r="D262" s="3" t="s">
        <v>40</v>
      </c>
      <c r="E262" s="3" t="s">
        <v>73</v>
      </c>
      <c r="F262" s="4">
        <v>32999</v>
      </c>
      <c r="G262" s="5">
        <v>4</v>
      </c>
      <c r="H262" s="6">
        <v>0.05</v>
      </c>
      <c r="I262" s="7">
        <v>6599.8</v>
      </c>
      <c r="J262" s="7">
        <v>125396.2</v>
      </c>
      <c r="K262" s="7">
        <v>18142.259999999998</v>
      </c>
      <c r="L262" s="2" t="s">
        <v>743</v>
      </c>
      <c r="M262" s="18" t="s">
        <v>553</v>
      </c>
      <c r="N262" s="3" t="s">
        <v>22</v>
      </c>
      <c r="O262" s="3" t="s">
        <v>23</v>
      </c>
      <c r="P262">
        <f>DATEVALUE(OnePlusSalesData[[#This Row],[order_date]])</f>
        <v>43463</v>
      </c>
      <c r="Q262" s="28">
        <f>DATEVALUE(OnePlusSalesData[[#This Row],[delivery_date]])</f>
        <v>43467</v>
      </c>
    </row>
    <row r="263" spans="1:17" ht="16" x14ac:dyDescent="0.45">
      <c r="A263" s="8" t="s">
        <v>744</v>
      </c>
      <c r="B263" s="8" t="s">
        <v>52</v>
      </c>
      <c r="C263" s="9" t="s">
        <v>358</v>
      </c>
      <c r="D263" s="9" t="s">
        <v>34</v>
      </c>
      <c r="E263" s="9" t="s">
        <v>35</v>
      </c>
      <c r="F263" s="10">
        <v>19999</v>
      </c>
      <c r="G263" s="11">
        <v>3</v>
      </c>
      <c r="H263" s="12">
        <v>0</v>
      </c>
      <c r="I263" s="13">
        <v>0</v>
      </c>
      <c r="J263" s="13">
        <v>59997</v>
      </c>
      <c r="K263" s="13">
        <v>15281.85</v>
      </c>
      <c r="L263" s="8" t="s">
        <v>745</v>
      </c>
      <c r="M263" s="19" t="s">
        <v>746</v>
      </c>
      <c r="N263" s="9" t="s">
        <v>22</v>
      </c>
      <c r="O263" s="9" t="s">
        <v>45</v>
      </c>
      <c r="P263">
        <f>DATEVALUE(OnePlusSalesData[[#This Row],[order_date]])</f>
        <v>44159</v>
      </c>
      <c r="Q263" s="28">
        <f>DATEVALUE(OnePlusSalesData[[#This Row],[delivery_date]])</f>
        <v>44166</v>
      </c>
    </row>
    <row r="264" spans="1:17" ht="16" x14ac:dyDescent="0.45">
      <c r="A264" s="2" t="s">
        <v>747</v>
      </c>
      <c r="B264" s="2" t="s">
        <v>58</v>
      </c>
      <c r="C264" s="3" t="s">
        <v>81</v>
      </c>
      <c r="D264" s="3" t="s">
        <v>18</v>
      </c>
      <c r="E264" s="3" t="s">
        <v>19</v>
      </c>
      <c r="F264" s="4">
        <v>1990</v>
      </c>
      <c r="G264" s="5">
        <v>1</v>
      </c>
      <c r="H264" s="6">
        <v>0</v>
      </c>
      <c r="I264" s="7">
        <v>0</v>
      </c>
      <c r="J264" s="7">
        <v>1990</v>
      </c>
      <c r="K264" s="7">
        <v>510.41</v>
      </c>
      <c r="L264" s="2" t="s">
        <v>748</v>
      </c>
      <c r="M264" s="18" t="s">
        <v>749</v>
      </c>
      <c r="N264" s="3" t="s">
        <v>22</v>
      </c>
      <c r="O264" s="3" t="s">
        <v>63</v>
      </c>
      <c r="P264">
        <f>DATEVALUE(OnePlusSalesData[[#This Row],[order_date]])</f>
        <v>43168</v>
      </c>
      <c r="Q264" s="28">
        <f>DATEVALUE(OnePlusSalesData[[#This Row],[delivery_date]])</f>
        <v>43174</v>
      </c>
    </row>
    <row r="265" spans="1:17" ht="16" x14ac:dyDescent="0.45">
      <c r="A265" s="8" t="s">
        <v>750</v>
      </c>
      <c r="B265" s="8" t="s">
        <v>16</v>
      </c>
      <c r="C265" s="9" t="s">
        <v>17</v>
      </c>
      <c r="D265" s="9" t="s">
        <v>27</v>
      </c>
      <c r="E265" s="9" t="s">
        <v>176</v>
      </c>
      <c r="F265" s="10">
        <v>69900</v>
      </c>
      <c r="G265" s="11">
        <v>1</v>
      </c>
      <c r="H265" s="12">
        <v>0.1</v>
      </c>
      <c r="I265" s="13">
        <v>6990</v>
      </c>
      <c r="J265" s="13">
        <v>62910</v>
      </c>
      <c r="K265" s="13">
        <v>14159.89</v>
      </c>
      <c r="L265" s="8" t="s">
        <v>145</v>
      </c>
      <c r="M265" s="19" t="s">
        <v>751</v>
      </c>
      <c r="N265" s="9" t="s">
        <v>22</v>
      </c>
      <c r="O265" s="9" t="s">
        <v>63</v>
      </c>
      <c r="P265">
        <f>DATEVALUE(OnePlusSalesData[[#This Row],[order_date]])</f>
        <v>43862</v>
      </c>
      <c r="Q265" s="28">
        <f>DATEVALUE(OnePlusSalesData[[#This Row],[delivery_date]])</f>
        <v>43864</v>
      </c>
    </row>
    <row r="266" spans="1:17" ht="16" x14ac:dyDescent="0.45">
      <c r="A266" s="2" t="s">
        <v>752</v>
      </c>
      <c r="B266" s="2" t="s">
        <v>25</v>
      </c>
      <c r="C266" s="3" t="s">
        <v>26</v>
      </c>
      <c r="D266" s="3" t="s">
        <v>40</v>
      </c>
      <c r="E266" s="3" t="s">
        <v>148</v>
      </c>
      <c r="F266" s="4">
        <v>41999</v>
      </c>
      <c r="G266" s="5">
        <v>1</v>
      </c>
      <c r="H266" s="6">
        <v>0</v>
      </c>
      <c r="I266" s="7">
        <v>0</v>
      </c>
      <c r="J266" s="7">
        <v>41999</v>
      </c>
      <c r="K266" s="7">
        <v>8818.0300000000007</v>
      </c>
      <c r="L266" s="2" t="s">
        <v>562</v>
      </c>
      <c r="M266" s="18" t="s">
        <v>753</v>
      </c>
      <c r="N266" s="3" t="s">
        <v>22</v>
      </c>
      <c r="O266" s="3" t="s">
        <v>31</v>
      </c>
      <c r="P266">
        <f>DATEVALUE(OnePlusSalesData[[#This Row],[order_date]])</f>
        <v>43583</v>
      </c>
      <c r="Q266" s="28">
        <f>DATEVALUE(OnePlusSalesData[[#This Row],[delivery_date]])</f>
        <v>43589</v>
      </c>
    </row>
    <row r="267" spans="1:17" ht="16" x14ac:dyDescent="0.45">
      <c r="A267" s="8" t="s">
        <v>754</v>
      </c>
      <c r="B267" s="8" t="s">
        <v>16</v>
      </c>
      <c r="C267" s="9" t="s">
        <v>33</v>
      </c>
      <c r="D267" s="9" t="s">
        <v>40</v>
      </c>
      <c r="E267" s="9" t="s">
        <v>73</v>
      </c>
      <c r="F267" s="10">
        <v>32999</v>
      </c>
      <c r="G267" s="11">
        <v>3</v>
      </c>
      <c r="H267" s="12">
        <v>0.08</v>
      </c>
      <c r="I267" s="13">
        <v>7919.76</v>
      </c>
      <c r="J267" s="13">
        <v>91077.24</v>
      </c>
      <c r="K267" s="13">
        <v>18973.689999999999</v>
      </c>
      <c r="L267" s="8" t="s">
        <v>145</v>
      </c>
      <c r="M267" s="19" t="s">
        <v>755</v>
      </c>
      <c r="N267" s="9" t="s">
        <v>22</v>
      </c>
      <c r="O267" s="9" t="s">
        <v>31</v>
      </c>
      <c r="P267">
        <f>DATEVALUE(OnePlusSalesData[[#This Row],[order_date]])</f>
        <v>43862</v>
      </c>
      <c r="Q267" s="28">
        <f>DATEVALUE(OnePlusSalesData[[#This Row],[delivery_date]])</f>
        <v>43866</v>
      </c>
    </row>
    <row r="268" spans="1:17" ht="16" x14ac:dyDescent="0.45">
      <c r="A268" s="2" t="s">
        <v>756</v>
      </c>
      <c r="B268" s="2" t="s">
        <v>25</v>
      </c>
      <c r="C268" s="3" t="s">
        <v>133</v>
      </c>
      <c r="D268" s="3" t="s">
        <v>40</v>
      </c>
      <c r="E268" s="3" t="s">
        <v>41</v>
      </c>
      <c r="F268" s="4">
        <v>37999</v>
      </c>
      <c r="G268" s="5">
        <v>1</v>
      </c>
      <c r="H268" s="6">
        <v>0</v>
      </c>
      <c r="I268" s="7">
        <v>0</v>
      </c>
      <c r="J268" s="7">
        <v>37999</v>
      </c>
      <c r="K268" s="7">
        <v>9715.7199999999993</v>
      </c>
      <c r="L268" s="2" t="s">
        <v>757</v>
      </c>
      <c r="M268" s="18" t="s">
        <v>758</v>
      </c>
      <c r="N268" s="3" t="s">
        <v>22</v>
      </c>
      <c r="O268" s="3" t="s">
        <v>146</v>
      </c>
      <c r="P268">
        <f>DATEVALUE(OnePlusSalesData[[#This Row],[order_date]])</f>
        <v>43367</v>
      </c>
      <c r="Q268" s="28">
        <f>DATEVALUE(OnePlusSalesData[[#This Row],[delivery_date]])</f>
        <v>43374</v>
      </c>
    </row>
    <row r="269" spans="1:17" ht="16" x14ac:dyDescent="0.45">
      <c r="A269" s="8" t="s">
        <v>759</v>
      </c>
      <c r="B269" s="8" t="s">
        <v>25</v>
      </c>
      <c r="C269" s="9" t="s">
        <v>26</v>
      </c>
      <c r="D269" s="9" t="s">
        <v>40</v>
      </c>
      <c r="E269" s="9" t="s">
        <v>148</v>
      </c>
      <c r="F269" s="10">
        <v>41999</v>
      </c>
      <c r="G269" s="11">
        <v>1</v>
      </c>
      <c r="H269" s="12">
        <v>0.1</v>
      </c>
      <c r="I269" s="13">
        <v>4199.8999999999996</v>
      </c>
      <c r="J269" s="13">
        <v>37799.1</v>
      </c>
      <c r="K269" s="13">
        <v>6542.73</v>
      </c>
      <c r="L269" s="8" t="s">
        <v>760</v>
      </c>
      <c r="M269" s="19" t="s">
        <v>761</v>
      </c>
      <c r="N269" s="9" t="s">
        <v>44</v>
      </c>
      <c r="O269" s="9" t="s">
        <v>23</v>
      </c>
      <c r="P269">
        <f>DATEVALUE(OnePlusSalesData[[#This Row],[order_date]])</f>
        <v>43658</v>
      </c>
      <c r="Q269" s="28">
        <f>DATEVALUE(OnePlusSalesData[[#This Row],[delivery_date]])</f>
        <v>43661</v>
      </c>
    </row>
    <row r="270" spans="1:17" ht="16" x14ac:dyDescent="0.45">
      <c r="A270" s="2" t="s">
        <v>762</v>
      </c>
      <c r="B270" s="2" t="s">
        <v>16</v>
      </c>
      <c r="C270" s="3" t="s">
        <v>152</v>
      </c>
      <c r="D270" s="3" t="s">
        <v>85</v>
      </c>
      <c r="E270" s="3" t="s">
        <v>86</v>
      </c>
      <c r="F270" s="4">
        <v>1999</v>
      </c>
      <c r="G270" s="5">
        <v>2</v>
      </c>
      <c r="H270" s="6">
        <v>0.05</v>
      </c>
      <c r="I270" s="7">
        <v>199.9</v>
      </c>
      <c r="J270" s="7">
        <v>3798.1</v>
      </c>
      <c r="K270" s="7">
        <v>669.58</v>
      </c>
      <c r="L270" s="2" t="s">
        <v>763</v>
      </c>
      <c r="M270" s="18" t="s">
        <v>118</v>
      </c>
      <c r="N270" s="3" t="s">
        <v>22</v>
      </c>
      <c r="O270" s="3" t="s">
        <v>31</v>
      </c>
      <c r="P270">
        <f>DATEVALUE(OnePlusSalesData[[#This Row],[order_date]])</f>
        <v>43507</v>
      </c>
      <c r="Q270" s="28">
        <f>DATEVALUE(OnePlusSalesData[[#This Row],[delivery_date]])</f>
        <v>43511</v>
      </c>
    </row>
    <row r="271" spans="1:17" ht="16" x14ac:dyDescent="0.45">
      <c r="A271" s="8" t="s">
        <v>764</v>
      </c>
      <c r="B271" s="8" t="s">
        <v>16</v>
      </c>
      <c r="C271" s="9" t="s">
        <v>39</v>
      </c>
      <c r="D271" s="9" t="s">
        <v>27</v>
      </c>
      <c r="E271" s="9" t="s">
        <v>28</v>
      </c>
      <c r="F271" s="10">
        <v>12999</v>
      </c>
      <c r="G271" s="11">
        <v>1</v>
      </c>
      <c r="H271" s="12">
        <v>0.1</v>
      </c>
      <c r="I271" s="13">
        <v>1299.9000000000001</v>
      </c>
      <c r="J271" s="13">
        <v>11699.1</v>
      </c>
      <c r="K271" s="13">
        <v>2711.19</v>
      </c>
      <c r="L271" s="8" t="s">
        <v>765</v>
      </c>
      <c r="M271" s="19" t="s">
        <v>766</v>
      </c>
      <c r="N271" s="9" t="s">
        <v>22</v>
      </c>
      <c r="O271" s="9" t="s">
        <v>96</v>
      </c>
      <c r="P271">
        <f>DATEVALUE(OnePlusSalesData[[#This Row],[order_date]])</f>
        <v>43872</v>
      </c>
      <c r="Q271" s="28">
        <f>DATEVALUE(OnePlusSalesData[[#This Row],[delivery_date]])</f>
        <v>43878</v>
      </c>
    </row>
    <row r="272" spans="1:17" ht="16" x14ac:dyDescent="0.45">
      <c r="A272" s="2" t="s">
        <v>767</v>
      </c>
      <c r="B272" s="2" t="s">
        <v>25</v>
      </c>
      <c r="C272" s="3" t="s">
        <v>65</v>
      </c>
      <c r="D272" s="3" t="s">
        <v>18</v>
      </c>
      <c r="E272" s="3" t="s">
        <v>102</v>
      </c>
      <c r="F272" s="4">
        <v>1490</v>
      </c>
      <c r="G272" s="5">
        <v>2</v>
      </c>
      <c r="H272" s="6">
        <v>0.05</v>
      </c>
      <c r="I272" s="7">
        <v>149</v>
      </c>
      <c r="J272" s="7">
        <v>2831</v>
      </c>
      <c r="K272" s="7">
        <v>478</v>
      </c>
      <c r="L272" s="2" t="s">
        <v>709</v>
      </c>
      <c r="M272" s="18" t="s">
        <v>768</v>
      </c>
      <c r="N272" s="3" t="s">
        <v>22</v>
      </c>
      <c r="O272" s="3" t="s">
        <v>63</v>
      </c>
      <c r="P272">
        <f>DATEVALUE(OnePlusSalesData[[#This Row],[order_date]])</f>
        <v>43543</v>
      </c>
      <c r="Q272" s="28">
        <f>DATEVALUE(OnePlusSalesData[[#This Row],[delivery_date]])</f>
        <v>43549</v>
      </c>
    </row>
    <row r="273" spans="1:17" ht="16" x14ac:dyDescent="0.45">
      <c r="A273" s="8" t="s">
        <v>769</v>
      </c>
      <c r="B273" s="8" t="s">
        <v>58</v>
      </c>
      <c r="C273" s="9" t="s">
        <v>113</v>
      </c>
      <c r="D273" s="9" t="s">
        <v>85</v>
      </c>
      <c r="E273" s="9" t="s">
        <v>228</v>
      </c>
      <c r="F273" s="10">
        <v>5990</v>
      </c>
      <c r="G273" s="11">
        <v>3</v>
      </c>
      <c r="H273" s="12">
        <v>0.05</v>
      </c>
      <c r="I273" s="13">
        <v>898.5</v>
      </c>
      <c r="J273" s="13">
        <v>17071.5</v>
      </c>
      <c r="K273" s="13">
        <v>3685.83</v>
      </c>
      <c r="L273" s="8" t="s">
        <v>29</v>
      </c>
      <c r="M273" s="19" t="s">
        <v>770</v>
      </c>
      <c r="N273" s="9" t="s">
        <v>50</v>
      </c>
      <c r="O273" s="9" t="s">
        <v>23</v>
      </c>
      <c r="P273">
        <f>DATEVALUE(OnePlusSalesData[[#This Row],[order_date]])</f>
        <v>43377</v>
      </c>
      <c r="Q273" s="28">
        <f>DATEVALUE(OnePlusSalesData[[#This Row],[delivery_date]])</f>
        <v>43382</v>
      </c>
    </row>
    <row r="274" spans="1:17" ht="16" x14ac:dyDescent="0.45">
      <c r="A274" s="2" t="s">
        <v>771</v>
      </c>
      <c r="B274" s="2" t="s">
        <v>25</v>
      </c>
      <c r="C274" s="3" t="s">
        <v>133</v>
      </c>
      <c r="D274" s="3" t="s">
        <v>18</v>
      </c>
      <c r="E274" s="3" t="s">
        <v>19</v>
      </c>
      <c r="F274" s="4">
        <v>1990</v>
      </c>
      <c r="G274" s="5">
        <v>5</v>
      </c>
      <c r="H274" s="6">
        <v>0</v>
      </c>
      <c r="I274" s="7">
        <v>0</v>
      </c>
      <c r="J274" s="7">
        <v>9950</v>
      </c>
      <c r="K274" s="7">
        <v>2580.61</v>
      </c>
      <c r="L274" s="2" t="s">
        <v>772</v>
      </c>
      <c r="M274" s="18" t="s">
        <v>773</v>
      </c>
      <c r="N274" s="3" t="s">
        <v>92</v>
      </c>
      <c r="O274" s="3" t="s">
        <v>45</v>
      </c>
      <c r="P274">
        <f>DATEVALUE(OnePlusSalesData[[#This Row],[order_date]])</f>
        <v>43642</v>
      </c>
      <c r="Q274" s="28">
        <f>DATEVALUE(OnePlusSalesData[[#This Row],[delivery_date]])</f>
        <v>43646</v>
      </c>
    </row>
    <row r="275" spans="1:17" ht="16" x14ac:dyDescent="0.45">
      <c r="A275" s="8" t="s">
        <v>774</v>
      </c>
      <c r="B275" s="8" t="s">
        <v>52</v>
      </c>
      <c r="C275" s="9" t="s">
        <v>358</v>
      </c>
      <c r="D275" s="9" t="s">
        <v>85</v>
      </c>
      <c r="E275" s="9" t="s">
        <v>265</v>
      </c>
      <c r="F275" s="10">
        <v>4990</v>
      </c>
      <c r="G275" s="11">
        <v>2</v>
      </c>
      <c r="H275" s="12">
        <v>0.1</v>
      </c>
      <c r="I275" s="13">
        <v>998</v>
      </c>
      <c r="J275" s="13">
        <v>8982</v>
      </c>
      <c r="K275" s="13">
        <v>1967.28</v>
      </c>
      <c r="L275" s="8" t="s">
        <v>775</v>
      </c>
      <c r="M275" s="19" t="s">
        <v>555</v>
      </c>
      <c r="N275" s="9" t="s">
        <v>92</v>
      </c>
      <c r="O275" s="9" t="s">
        <v>23</v>
      </c>
      <c r="P275">
        <f>DATEVALUE(OnePlusSalesData[[#This Row],[order_date]])</f>
        <v>43357</v>
      </c>
      <c r="Q275" s="28">
        <f>DATEVALUE(OnePlusSalesData[[#This Row],[delivery_date]])</f>
        <v>43362</v>
      </c>
    </row>
    <row r="276" spans="1:17" ht="16" x14ac:dyDescent="0.45">
      <c r="A276" s="2" t="s">
        <v>776</v>
      </c>
      <c r="B276" s="2" t="s">
        <v>16</v>
      </c>
      <c r="C276" s="3" t="s">
        <v>140</v>
      </c>
      <c r="D276" s="3" t="s">
        <v>85</v>
      </c>
      <c r="E276" s="3" t="s">
        <v>258</v>
      </c>
      <c r="F276" s="4">
        <v>2999</v>
      </c>
      <c r="G276" s="5">
        <v>1</v>
      </c>
      <c r="H276" s="6">
        <v>0.08</v>
      </c>
      <c r="I276" s="7">
        <v>239.92</v>
      </c>
      <c r="J276" s="7">
        <v>2759.08</v>
      </c>
      <c r="K276" s="7">
        <v>394.38</v>
      </c>
      <c r="L276" s="2" t="s">
        <v>777</v>
      </c>
      <c r="M276" s="18" t="s">
        <v>778</v>
      </c>
      <c r="N276" s="3" t="s">
        <v>22</v>
      </c>
      <c r="O276" s="3" t="s">
        <v>63</v>
      </c>
      <c r="P276">
        <f>DATEVALUE(OnePlusSalesData[[#This Row],[order_date]])</f>
        <v>44010</v>
      </c>
      <c r="Q276" s="28">
        <f>DATEVALUE(OnePlusSalesData[[#This Row],[delivery_date]])</f>
        <v>44015</v>
      </c>
    </row>
    <row r="277" spans="1:17" ht="16" x14ac:dyDescent="0.45">
      <c r="A277" s="8" t="s">
        <v>779</v>
      </c>
      <c r="B277" s="8" t="s">
        <v>25</v>
      </c>
      <c r="C277" s="9" t="s">
        <v>26</v>
      </c>
      <c r="D277" s="9" t="s">
        <v>40</v>
      </c>
      <c r="E277" s="9" t="s">
        <v>54</v>
      </c>
      <c r="F277" s="10">
        <v>53999</v>
      </c>
      <c r="G277" s="11">
        <v>1</v>
      </c>
      <c r="H277" s="12">
        <v>0</v>
      </c>
      <c r="I277" s="13">
        <v>0</v>
      </c>
      <c r="J277" s="13">
        <v>53999</v>
      </c>
      <c r="K277" s="13">
        <v>10803.85</v>
      </c>
      <c r="L277" s="8" t="s">
        <v>780</v>
      </c>
      <c r="M277" s="19" t="s">
        <v>781</v>
      </c>
      <c r="N277" s="9" t="s">
        <v>92</v>
      </c>
      <c r="O277" s="9" t="s">
        <v>63</v>
      </c>
      <c r="P277">
        <f>DATEVALUE(OnePlusSalesData[[#This Row],[order_date]])</f>
        <v>43422</v>
      </c>
      <c r="Q277" s="28">
        <f>DATEVALUE(OnePlusSalesData[[#This Row],[delivery_date]])</f>
        <v>43425</v>
      </c>
    </row>
    <row r="278" spans="1:17" ht="16" x14ac:dyDescent="0.45">
      <c r="A278" s="2" t="s">
        <v>782</v>
      </c>
      <c r="B278" s="2" t="s">
        <v>25</v>
      </c>
      <c r="C278" s="3" t="s">
        <v>172</v>
      </c>
      <c r="D278" s="3" t="s">
        <v>40</v>
      </c>
      <c r="E278" s="3" t="s">
        <v>148</v>
      </c>
      <c r="F278" s="4">
        <v>41999</v>
      </c>
      <c r="G278" s="5">
        <v>1</v>
      </c>
      <c r="H278" s="6">
        <v>0.05</v>
      </c>
      <c r="I278" s="7">
        <v>2099.9499999999998</v>
      </c>
      <c r="J278" s="7">
        <v>39899.050000000003</v>
      </c>
      <c r="K278" s="7">
        <v>6315.2</v>
      </c>
      <c r="L278" s="2" t="s">
        <v>783</v>
      </c>
      <c r="M278" s="18" t="s">
        <v>784</v>
      </c>
      <c r="N278" s="3" t="s">
        <v>22</v>
      </c>
      <c r="O278" s="3" t="s">
        <v>31</v>
      </c>
      <c r="P278">
        <f>DATEVALUE(OnePlusSalesData[[#This Row],[order_date]])</f>
        <v>44151</v>
      </c>
      <c r="Q278" s="28">
        <f>DATEVALUE(OnePlusSalesData[[#This Row],[delivery_date]])</f>
        <v>44158</v>
      </c>
    </row>
    <row r="279" spans="1:17" ht="16" x14ac:dyDescent="0.45">
      <c r="A279" s="8" t="s">
        <v>785</v>
      </c>
      <c r="B279" s="8" t="s">
        <v>25</v>
      </c>
      <c r="C279" s="9" t="s">
        <v>133</v>
      </c>
      <c r="D279" s="9" t="s">
        <v>27</v>
      </c>
      <c r="E279" s="9" t="s">
        <v>28</v>
      </c>
      <c r="F279" s="10">
        <v>12999</v>
      </c>
      <c r="G279" s="11">
        <v>1</v>
      </c>
      <c r="H279" s="12">
        <v>0</v>
      </c>
      <c r="I279" s="13">
        <v>0</v>
      </c>
      <c r="J279" s="13">
        <v>12999</v>
      </c>
      <c r="K279" s="13">
        <v>2468.96</v>
      </c>
      <c r="L279" s="8" t="s">
        <v>263</v>
      </c>
      <c r="M279" s="19" t="s">
        <v>786</v>
      </c>
      <c r="N279" s="9" t="s">
        <v>92</v>
      </c>
      <c r="O279" s="9" t="s">
        <v>146</v>
      </c>
      <c r="P279">
        <f>DATEVALUE(OnePlusSalesData[[#This Row],[order_date]])</f>
        <v>43826</v>
      </c>
      <c r="Q279" s="28">
        <f>DATEVALUE(OnePlusSalesData[[#This Row],[delivery_date]])</f>
        <v>43828</v>
      </c>
    </row>
    <row r="280" spans="1:17" ht="16" x14ac:dyDescent="0.45">
      <c r="A280" s="2" t="s">
        <v>787</v>
      </c>
      <c r="B280" s="2" t="s">
        <v>16</v>
      </c>
      <c r="C280" s="3" t="s">
        <v>152</v>
      </c>
      <c r="D280" s="3" t="s">
        <v>40</v>
      </c>
      <c r="E280" s="3" t="s">
        <v>60</v>
      </c>
      <c r="F280" s="4">
        <v>54999</v>
      </c>
      <c r="G280" s="5">
        <v>1</v>
      </c>
      <c r="H280" s="6">
        <v>0.08</v>
      </c>
      <c r="I280" s="7">
        <v>4399.92</v>
      </c>
      <c r="J280" s="7">
        <v>50599.08</v>
      </c>
      <c r="K280" s="7">
        <v>10279.379999999999</v>
      </c>
      <c r="L280" s="2" t="s">
        <v>592</v>
      </c>
      <c r="M280" s="18" t="s">
        <v>788</v>
      </c>
      <c r="N280" s="3" t="s">
        <v>50</v>
      </c>
      <c r="O280" s="3" t="s">
        <v>45</v>
      </c>
      <c r="P280">
        <f>DATEVALUE(OnePlusSalesData[[#This Row],[order_date]])</f>
        <v>43512</v>
      </c>
      <c r="Q280" s="28">
        <f>DATEVALUE(OnePlusSalesData[[#This Row],[delivery_date]])</f>
        <v>43519</v>
      </c>
    </row>
    <row r="281" spans="1:17" ht="16" x14ac:dyDescent="0.45">
      <c r="A281" s="8" t="s">
        <v>789</v>
      </c>
      <c r="B281" s="8" t="s">
        <v>16</v>
      </c>
      <c r="C281" s="9" t="s">
        <v>152</v>
      </c>
      <c r="D281" s="9" t="s">
        <v>85</v>
      </c>
      <c r="E281" s="9" t="s">
        <v>265</v>
      </c>
      <c r="F281" s="10">
        <v>4990</v>
      </c>
      <c r="G281" s="11">
        <v>3</v>
      </c>
      <c r="H281" s="12">
        <v>0.08</v>
      </c>
      <c r="I281" s="13">
        <v>1197.5999999999999</v>
      </c>
      <c r="J281" s="13">
        <v>13772.4</v>
      </c>
      <c r="K281" s="13">
        <v>2591.6</v>
      </c>
      <c r="L281" s="8" t="s">
        <v>310</v>
      </c>
      <c r="M281" s="19" t="s">
        <v>239</v>
      </c>
      <c r="N281" s="9" t="s">
        <v>92</v>
      </c>
      <c r="O281" s="9" t="s">
        <v>23</v>
      </c>
      <c r="P281">
        <f>DATEVALUE(OnePlusSalesData[[#This Row],[order_date]])</f>
        <v>43950</v>
      </c>
      <c r="Q281" s="28">
        <f>DATEVALUE(OnePlusSalesData[[#This Row],[delivery_date]])</f>
        <v>43953</v>
      </c>
    </row>
    <row r="282" spans="1:17" ht="16" x14ac:dyDescent="0.45">
      <c r="A282" s="2" t="s">
        <v>790</v>
      </c>
      <c r="B282" s="2" t="s">
        <v>16</v>
      </c>
      <c r="C282" s="3" t="s">
        <v>33</v>
      </c>
      <c r="D282" s="3" t="s">
        <v>18</v>
      </c>
      <c r="E282" s="3" t="s">
        <v>102</v>
      </c>
      <c r="F282" s="4">
        <v>1490</v>
      </c>
      <c r="G282" s="5">
        <v>1</v>
      </c>
      <c r="H282" s="6">
        <v>0</v>
      </c>
      <c r="I282" s="7">
        <v>0</v>
      </c>
      <c r="J282" s="7">
        <v>1490</v>
      </c>
      <c r="K282" s="7">
        <v>257.98</v>
      </c>
      <c r="L282" s="2" t="s">
        <v>685</v>
      </c>
      <c r="M282" s="18" t="s">
        <v>791</v>
      </c>
      <c r="N282" s="3" t="s">
        <v>22</v>
      </c>
      <c r="O282" s="3" t="s">
        <v>45</v>
      </c>
      <c r="P282">
        <f>DATEVALUE(OnePlusSalesData[[#This Row],[order_date]])</f>
        <v>43394</v>
      </c>
      <c r="Q282" s="28">
        <f>DATEVALUE(OnePlusSalesData[[#This Row],[delivery_date]])</f>
        <v>43396</v>
      </c>
    </row>
    <row r="283" spans="1:17" ht="16" x14ac:dyDescent="0.45">
      <c r="A283" s="8" t="s">
        <v>792</v>
      </c>
      <c r="B283" s="8" t="s">
        <v>25</v>
      </c>
      <c r="C283" s="9" t="s">
        <v>65</v>
      </c>
      <c r="D283" s="9" t="s">
        <v>85</v>
      </c>
      <c r="E283" s="9" t="s">
        <v>86</v>
      </c>
      <c r="F283" s="10">
        <v>1999</v>
      </c>
      <c r="G283" s="11">
        <v>2</v>
      </c>
      <c r="H283" s="12">
        <v>0.05</v>
      </c>
      <c r="I283" s="13">
        <v>199.9</v>
      </c>
      <c r="J283" s="13">
        <v>3798.1</v>
      </c>
      <c r="K283" s="13">
        <v>578.16999999999996</v>
      </c>
      <c r="L283" s="8" t="s">
        <v>793</v>
      </c>
      <c r="M283" s="19" t="s">
        <v>83</v>
      </c>
      <c r="N283" s="9" t="s">
        <v>22</v>
      </c>
      <c r="O283" s="9" t="s">
        <v>45</v>
      </c>
      <c r="P283">
        <f>DATEVALUE(OnePlusSalesData[[#This Row],[order_date]])</f>
        <v>43677</v>
      </c>
      <c r="Q283" s="28">
        <f>DATEVALUE(OnePlusSalesData[[#This Row],[delivery_date]])</f>
        <v>43681</v>
      </c>
    </row>
    <row r="284" spans="1:17" ht="16" x14ac:dyDescent="0.45">
      <c r="A284" s="2" t="s">
        <v>794</v>
      </c>
      <c r="B284" s="2" t="s">
        <v>16</v>
      </c>
      <c r="C284" s="3" t="s">
        <v>152</v>
      </c>
      <c r="D284" s="3" t="s">
        <v>18</v>
      </c>
      <c r="E284" s="3" t="s">
        <v>179</v>
      </c>
      <c r="F284" s="4">
        <v>1290</v>
      </c>
      <c r="G284" s="5">
        <v>3</v>
      </c>
      <c r="H284" s="6">
        <v>0.05</v>
      </c>
      <c r="I284" s="7">
        <v>193.5</v>
      </c>
      <c r="J284" s="7">
        <v>3676.5</v>
      </c>
      <c r="K284" s="7">
        <v>916.16</v>
      </c>
      <c r="L284" s="2" t="s">
        <v>795</v>
      </c>
      <c r="M284" s="18" t="s">
        <v>796</v>
      </c>
      <c r="N284" s="3" t="s">
        <v>92</v>
      </c>
      <c r="O284" s="3" t="s">
        <v>23</v>
      </c>
      <c r="P284">
        <f>DATEVALUE(OnePlusSalesData[[#This Row],[order_date]])</f>
        <v>43724</v>
      </c>
      <c r="Q284" s="28">
        <f>DATEVALUE(OnePlusSalesData[[#This Row],[delivery_date]])</f>
        <v>43729</v>
      </c>
    </row>
    <row r="285" spans="1:17" ht="16" x14ac:dyDescent="0.45">
      <c r="A285" s="8" t="s">
        <v>797</v>
      </c>
      <c r="B285" s="8" t="s">
        <v>25</v>
      </c>
      <c r="C285" s="9" t="s">
        <v>65</v>
      </c>
      <c r="D285" s="9" t="s">
        <v>40</v>
      </c>
      <c r="E285" s="9" t="s">
        <v>98</v>
      </c>
      <c r="F285" s="10">
        <v>34999</v>
      </c>
      <c r="G285" s="11">
        <v>4</v>
      </c>
      <c r="H285" s="12">
        <v>0.1</v>
      </c>
      <c r="I285" s="13">
        <v>13999.6</v>
      </c>
      <c r="J285" s="13">
        <v>125996.4</v>
      </c>
      <c r="K285" s="13">
        <v>27858.02</v>
      </c>
      <c r="L285" s="8" t="s">
        <v>798</v>
      </c>
      <c r="M285" s="19" t="s">
        <v>799</v>
      </c>
      <c r="N285" s="9" t="s">
        <v>92</v>
      </c>
      <c r="O285" s="9" t="s">
        <v>63</v>
      </c>
      <c r="P285">
        <f>DATEVALUE(OnePlusSalesData[[#This Row],[order_date]])</f>
        <v>43275</v>
      </c>
      <c r="Q285" s="28">
        <f>DATEVALUE(OnePlusSalesData[[#This Row],[delivery_date]])</f>
        <v>43281</v>
      </c>
    </row>
    <row r="286" spans="1:17" ht="16" x14ac:dyDescent="0.45">
      <c r="A286" s="2" t="s">
        <v>800</v>
      </c>
      <c r="B286" s="2" t="s">
        <v>58</v>
      </c>
      <c r="C286" s="3" t="s">
        <v>59</v>
      </c>
      <c r="D286" s="3" t="s">
        <v>85</v>
      </c>
      <c r="E286" s="3" t="s">
        <v>228</v>
      </c>
      <c r="F286" s="4">
        <v>5990</v>
      </c>
      <c r="G286" s="5">
        <v>4</v>
      </c>
      <c r="H286" s="6">
        <v>0.08</v>
      </c>
      <c r="I286" s="7">
        <v>1916.8</v>
      </c>
      <c r="J286" s="7">
        <v>22043.200000000001</v>
      </c>
      <c r="K286" s="7">
        <v>3874.45</v>
      </c>
      <c r="L286" s="2" t="s">
        <v>801</v>
      </c>
      <c r="M286" s="18" t="s">
        <v>802</v>
      </c>
      <c r="N286" s="3" t="s">
        <v>92</v>
      </c>
      <c r="O286" s="3" t="s">
        <v>63</v>
      </c>
      <c r="P286">
        <f>DATEVALUE(OnePlusSalesData[[#This Row],[order_date]])</f>
        <v>43633</v>
      </c>
      <c r="Q286" s="28">
        <f>DATEVALUE(OnePlusSalesData[[#This Row],[delivery_date]])</f>
        <v>43638</v>
      </c>
    </row>
    <row r="287" spans="1:17" ht="16" x14ac:dyDescent="0.45">
      <c r="A287" s="8" t="s">
        <v>803</v>
      </c>
      <c r="B287" s="8" t="s">
        <v>25</v>
      </c>
      <c r="C287" s="9" t="s">
        <v>65</v>
      </c>
      <c r="D287" s="9" t="s">
        <v>18</v>
      </c>
      <c r="E287" s="9" t="s">
        <v>124</v>
      </c>
      <c r="F287" s="10">
        <v>3990</v>
      </c>
      <c r="G287" s="11">
        <v>1</v>
      </c>
      <c r="H287" s="12">
        <v>0.1</v>
      </c>
      <c r="I287" s="13">
        <v>399</v>
      </c>
      <c r="J287" s="13">
        <v>3591</v>
      </c>
      <c r="K287" s="13">
        <v>707.84</v>
      </c>
      <c r="L287" s="8" t="s">
        <v>804</v>
      </c>
      <c r="M287" s="19" t="s">
        <v>805</v>
      </c>
      <c r="N287" s="9" t="s">
        <v>22</v>
      </c>
      <c r="O287" s="9" t="s">
        <v>146</v>
      </c>
      <c r="P287">
        <f>DATEVALUE(OnePlusSalesData[[#This Row],[order_date]])</f>
        <v>43327</v>
      </c>
      <c r="Q287" s="28">
        <f>DATEVALUE(OnePlusSalesData[[#This Row],[delivery_date]])</f>
        <v>43332</v>
      </c>
    </row>
    <row r="288" spans="1:17" ht="16" x14ac:dyDescent="0.45">
      <c r="A288" s="2" t="s">
        <v>806</v>
      </c>
      <c r="B288" s="2" t="s">
        <v>25</v>
      </c>
      <c r="C288" s="3" t="s">
        <v>65</v>
      </c>
      <c r="D288" s="3" t="s">
        <v>85</v>
      </c>
      <c r="E288" s="3" t="s">
        <v>265</v>
      </c>
      <c r="F288" s="4">
        <v>4990</v>
      </c>
      <c r="G288" s="5">
        <v>1</v>
      </c>
      <c r="H288" s="6">
        <v>0.08</v>
      </c>
      <c r="I288" s="7">
        <v>399.2</v>
      </c>
      <c r="J288" s="7">
        <v>4590.8</v>
      </c>
      <c r="K288" s="7">
        <v>847.18</v>
      </c>
      <c r="L288" s="2" t="s">
        <v>94</v>
      </c>
      <c r="M288" s="18" t="s">
        <v>726</v>
      </c>
      <c r="N288" s="3" t="s">
        <v>22</v>
      </c>
      <c r="O288" s="3" t="s">
        <v>63</v>
      </c>
      <c r="P288">
        <f>DATEVALUE(OnePlusSalesData[[#This Row],[order_date]])</f>
        <v>44052</v>
      </c>
      <c r="Q288" s="28">
        <f>DATEVALUE(OnePlusSalesData[[#This Row],[delivery_date]])</f>
        <v>44059</v>
      </c>
    </row>
    <row r="289" spans="1:17" ht="16" x14ac:dyDescent="0.45">
      <c r="A289" s="8" t="s">
        <v>807</v>
      </c>
      <c r="B289" s="8" t="s">
        <v>52</v>
      </c>
      <c r="C289" s="9" t="s">
        <v>53</v>
      </c>
      <c r="D289" s="9" t="s">
        <v>34</v>
      </c>
      <c r="E289" s="9" t="s">
        <v>77</v>
      </c>
      <c r="F289" s="10">
        <v>24999</v>
      </c>
      <c r="G289" s="11">
        <v>1</v>
      </c>
      <c r="H289" s="12">
        <v>0.08</v>
      </c>
      <c r="I289" s="13">
        <v>1999.92</v>
      </c>
      <c r="J289" s="13">
        <v>22999.08</v>
      </c>
      <c r="K289" s="13">
        <v>5258.32</v>
      </c>
      <c r="L289" s="8" t="s">
        <v>666</v>
      </c>
      <c r="M289" s="19" t="s">
        <v>745</v>
      </c>
      <c r="N289" s="9" t="s">
        <v>22</v>
      </c>
      <c r="O289" s="9" t="s">
        <v>31</v>
      </c>
      <c r="P289">
        <f>DATEVALUE(OnePlusSalesData[[#This Row],[order_date]])</f>
        <v>44152</v>
      </c>
      <c r="Q289" s="28">
        <f>DATEVALUE(OnePlusSalesData[[#This Row],[delivery_date]])</f>
        <v>44159</v>
      </c>
    </row>
    <row r="290" spans="1:17" ht="16" x14ac:dyDescent="0.45">
      <c r="A290" s="2" t="s">
        <v>808</v>
      </c>
      <c r="B290" s="2" t="s">
        <v>52</v>
      </c>
      <c r="C290" s="3" t="s">
        <v>192</v>
      </c>
      <c r="D290" s="3" t="s">
        <v>40</v>
      </c>
      <c r="E290" s="3" t="s">
        <v>406</v>
      </c>
      <c r="F290" s="4">
        <v>48999</v>
      </c>
      <c r="G290" s="5">
        <v>1</v>
      </c>
      <c r="H290" s="6">
        <v>0</v>
      </c>
      <c r="I290" s="7">
        <v>0</v>
      </c>
      <c r="J290" s="7">
        <v>48999</v>
      </c>
      <c r="K290" s="7">
        <v>10780.96</v>
      </c>
      <c r="L290" s="2" t="s">
        <v>260</v>
      </c>
      <c r="M290" s="18" t="s">
        <v>401</v>
      </c>
      <c r="N290" s="3" t="s">
        <v>92</v>
      </c>
      <c r="O290" s="3" t="s">
        <v>31</v>
      </c>
      <c r="P290">
        <f>DATEVALUE(OnePlusSalesData[[#This Row],[order_date]])</f>
        <v>43149</v>
      </c>
      <c r="Q290" s="28">
        <f>DATEVALUE(OnePlusSalesData[[#This Row],[delivery_date]])</f>
        <v>43156</v>
      </c>
    </row>
    <row r="291" spans="1:17" ht="16" x14ac:dyDescent="0.45">
      <c r="A291" s="8" t="s">
        <v>809</v>
      </c>
      <c r="B291" s="8" t="s">
        <v>25</v>
      </c>
      <c r="C291" s="9" t="s">
        <v>172</v>
      </c>
      <c r="D291" s="9" t="s">
        <v>85</v>
      </c>
      <c r="E291" s="9" t="s">
        <v>258</v>
      </c>
      <c r="F291" s="10">
        <v>2999</v>
      </c>
      <c r="G291" s="11">
        <v>1</v>
      </c>
      <c r="H291" s="12">
        <v>0.12</v>
      </c>
      <c r="I291" s="13">
        <v>359.88</v>
      </c>
      <c r="J291" s="13">
        <v>2639.12</v>
      </c>
      <c r="K291" s="13">
        <v>634.95000000000005</v>
      </c>
      <c r="L291" s="8" t="s">
        <v>810</v>
      </c>
      <c r="M291" s="19" t="s">
        <v>811</v>
      </c>
      <c r="N291" s="9" t="s">
        <v>22</v>
      </c>
      <c r="O291" s="9" t="s">
        <v>31</v>
      </c>
      <c r="P291">
        <f>DATEVALUE(OnePlusSalesData[[#This Row],[order_date]])</f>
        <v>43968</v>
      </c>
      <c r="Q291" s="28">
        <f>DATEVALUE(OnePlusSalesData[[#This Row],[delivery_date]])</f>
        <v>43975</v>
      </c>
    </row>
    <row r="292" spans="1:17" ht="16" x14ac:dyDescent="0.45">
      <c r="A292" s="2" t="s">
        <v>812</v>
      </c>
      <c r="B292" s="2" t="s">
        <v>16</v>
      </c>
      <c r="C292" s="3" t="s">
        <v>33</v>
      </c>
      <c r="D292" s="3" t="s">
        <v>85</v>
      </c>
      <c r="E292" s="3" t="s">
        <v>86</v>
      </c>
      <c r="F292" s="4">
        <v>1999</v>
      </c>
      <c r="G292" s="5">
        <v>1</v>
      </c>
      <c r="H292" s="6">
        <v>0</v>
      </c>
      <c r="I292" s="7">
        <v>0</v>
      </c>
      <c r="J292" s="7">
        <v>1999</v>
      </c>
      <c r="K292" s="7">
        <v>391.19</v>
      </c>
      <c r="L292" s="2" t="s">
        <v>195</v>
      </c>
      <c r="M292" s="18" t="s">
        <v>813</v>
      </c>
      <c r="N292" s="3" t="s">
        <v>22</v>
      </c>
      <c r="O292" s="3" t="s">
        <v>63</v>
      </c>
      <c r="P292">
        <f>DATEVALUE(OnePlusSalesData[[#This Row],[order_date]])</f>
        <v>43840</v>
      </c>
      <c r="Q292" s="28">
        <f>DATEVALUE(OnePlusSalesData[[#This Row],[delivery_date]])</f>
        <v>43843</v>
      </c>
    </row>
    <row r="293" spans="1:17" ht="16" x14ac:dyDescent="0.45">
      <c r="A293" s="8" t="s">
        <v>814</v>
      </c>
      <c r="B293" s="8" t="s">
        <v>16</v>
      </c>
      <c r="C293" s="9" t="s">
        <v>152</v>
      </c>
      <c r="D293" s="9" t="s">
        <v>18</v>
      </c>
      <c r="E293" s="9" t="s">
        <v>124</v>
      </c>
      <c r="F293" s="10">
        <v>3990</v>
      </c>
      <c r="G293" s="11">
        <v>2</v>
      </c>
      <c r="H293" s="12">
        <v>0.05</v>
      </c>
      <c r="I293" s="13">
        <v>399</v>
      </c>
      <c r="J293" s="13">
        <v>7581</v>
      </c>
      <c r="K293" s="13">
        <v>1949.24</v>
      </c>
      <c r="L293" s="8" t="s">
        <v>798</v>
      </c>
      <c r="M293" s="19" t="s">
        <v>815</v>
      </c>
      <c r="N293" s="9" t="s">
        <v>22</v>
      </c>
      <c r="O293" s="9" t="s">
        <v>23</v>
      </c>
      <c r="P293">
        <f>DATEVALUE(OnePlusSalesData[[#This Row],[order_date]])</f>
        <v>43275</v>
      </c>
      <c r="Q293" s="28">
        <f>DATEVALUE(OnePlusSalesData[[#This Row],[delivery_date]])</f>
        <v>43282</v>
      </c>
    </row>
    <row r="294" spans="1:17" ht="16" x14ac:dyDescent="0.45">
      <c r="A294" s="2" t="s">
        <v>816</v>
      </c>
      <c r="B294" s="2" t="s">
        <v>16</v>
      </c>
      <c r="C294" s="3" t="s">
        <v>17</v>
      </c>
      <c r="D294" s="3" t="s">
        <v>40</v>
      </c>
      <c r="E294" s="3" t="s">
        <v>98</v>
      </c>
      <c r="F294" s="4">
        <v>34999</v>
      </c>
      <c r="G294" s="5">
        <v>2</v>
      </c>
      <c r="H294" s="6">
        <v>0</v>
      </c>
      <c r="I294" s="7">
        <v>0</v>
      </c>
      <c r="J294" s="7">
        <v>69998</v>
      </c>
      <c r="K294" s="7">
        <v>15191.19</v>
      </c>
      <c r="L294" s="2" t="s">
        <v>817</v>
      </c>
      <c r="M294" s="18" t="s">
        <v>818</v>
      </c>
      <c r="N294" s="3" t="s">
        <v>92</v>
      </c>
      <c r="O294" s="3" t="s">
        <v>31</v>
      </c>
      <c r="P294">
        <f>DATEVALUE(OnePlusSalesData[[#This Row],[order_date]])</f>
        <v>43112</v>
      </c>
      <c r="Q294" s="28">
        <f>DATEVALUE(OnePlusSalesData[[#This Row],[delivery_date]])</f>
        <v>43116</v>
      </c>
    </row>
    <row r="295" spans="1:17" ht="16" x14ac:dyDescent="0.45">
      <c r="A295" s="8" t="s">
        <v>819</v>
      </c>
      <c r="B295" s="8" t="s">
        <v>58</v>
      </c>
      <c r="C295" s="9" t="s">
        <v>221</v>
      </c>
      <c r="D295" s="9" t="s">
        <v>34</v>
      </c>
      <c r="E295" s="9" t="s">
        <v>77</v>
      </c>
      <c r="F295" s="10">
        <v>24999</v>
      </c>
      <c r="G295" s="11">
        <v>1</v>
      </c>
      <c r="H295" s="12">
        <v>0.1</v>
      </c>
      <c r="I295" s="13">
        <v>2499.9</v>
      </c>
      <c r="J295" s="13">
        <v>22499.1</v>
      </c>
      <c r="K295" s="13">
        <v>4786.3999999999996</v>
      </c>
      <c r="L295" s="8" t="s">
        <v>820</v>
      </c>
      <c r="M295" s="19" t="s">
        <v>821</v>
      </c>
      <c r="N295" s="9" t="s">
        <v>22</v>
      </c>
      <c r="O295" s="9" t="s">
        <v>146</v>
      </c>
      <c r="P295">
        <f>DATEVALUE(OnePlusSalesData[[#This Row],[order_date]])</f>
        <v>44169</v>
      </c>
      <c r="Q295" s="28">
        <f>DATEVALUE(OnePlusSalesData[[#This Row],[delivery_date]])</f>
        <v>44176</v>
      </c>
    </row>
    <row r="296" spans="1:17" ht="16" x14ac:dyDescent="0.45">
      <c r="A296" s="2" t="s">
        <v>822</v>
      </c>
      <c r="B296" s="2" t="s">
        <v>52</v>
      </c>
      <c r="C296" s="3" t="s">
        <v>358</v>
      </c>
      <c r="D296" s="3" t="s">
        <v>40</v>
      </c>
      <c r="E296" s="3" t="s">
        <v>47</v>
      </c>
      <c r="F296" s="4">
        <v>37999</v>
      </c>
      <c r="G296" s="5">
        <v>2</v>
      </c>
      <c r="H296" s="6">
        <v>0.05</v>
      </c>
      <c r="I296" s="7">
        <v>3799.9</v>
      </c>
      <c r="J296" s="7">
        <v>72198.100000000006</v>
      </c>
      <c r="K296" s="7">
        <v>10625.1</v>
      </c>
      <c r="L296" s="2" t="s">
        <v>177</v>
      </c>
      <c r="M296" s="18" t="s">
        <v>150</v>
      </c>
      <c r="N296" s="3" t="s">
        <v>44</v>
      </c>
      <c r="O296" s="3" t="s">
        <v>23</v>
      </c>
      <c r="P296">
        <f>DATEVALUE(OnePlusSalesData[[#This Row],[order_date]])</f>
        <v>43616</v>
      </c>
      <c r="Q296" s="28">
        <f>DATEVALUE(OnePlusSalesData[[#This Row],[delivery_date]])</f>
        <v>43619</v>
      </c>
    </row>
    <row r="297" spans="1:17" ht="16" x14ac:dyDescent="0.45">
      <c r="A297" s="8" t="s">
        <v>823</v>
      </c>
      <c r="B297" s="8" t="s">
        <v>16</v>
      </c>
      <c r="C297" s="9" t="s">
        <v>152</v>
      </c>
      <c r="D297" s="9" t="s">
        <v>18</v>
      </c>
      <c r="E297" s="9" t="s">
        <v>179</v>
      </c>
      <c r="F297" s="10">
        <v>1290</v>
      </c>
      <c r="G297" s="11">
        <v>2</v>
      </c>
      <c r="H297" s="12">
        <v>0.08</v>
      </c>
      <c r="I297" s="13">
        <v>206.4</v>
      </c>
      <c r="J297" s="13">
        <v>2373.6</v>
      </c>
      <c r="K297" s="13">
        <v>553.6</v>
      </c>
      <c r="L297" s="8" t="s">
        <v>596</v>
      </c>
      <c r="M297" s="19" t="s">
        <v>514</v>
      </c>
      <c r="N297" s="9" t="s">
        <v>22</v>
      </c>
      <c r="O297" s="9" t="s">
        <v>63</v>
      </c>
      <c r="P297">
        <f>DATEVALUE(OnePlusSalesData[[#This Row],[order_date]])</f>
        <v>43462</v>
      </c>
      <c r="Q297" s="28">
        <f>DATEVALUE(OnePlusSalesData[[#This Row],[delivery_date]])</f>
        <v>43464</v>
      </c>
    </row>
    <row r="298" spans="1:17" ht="16" x14ac:dyDescent="0.45">
      <c r="A298" s="2" t="s">
        <v>824</v>
      </c>
      <c r="B298" s="2" t="s">
        <v>16</v>
      </c>
      <c r="C298" s="3" t="s">
        <v>39</v>
      </c>
      <c r="D298" s="3" t="s">
        <v>85</v>
      </c>
      <c r="E298" s="3" t="s">
        <v>265</v>
      </c>
      <c r="F298" s="4">
        <v>4990</v>
      </c>
      <c r="G298" s="5">
        <v>2</v>
      </c>
      <c r="H298" s="6">
        <v>0.08</v>
      </c>
      <c r="I298" s="7">
        <v>798.4</v>
      </c>
      <c r="J298" s="7">
        <v>9181.6</v>
      </c>
      <c r="K298" s="7">
        <v>1713.1</v>
      </c>
      <c r="L298" s="2" t="s">
        <v>670</v>
      </c>
      <c r="M298" s="18" t="s">
        <v>825</v>
      </c>
      <c r="N298" s="3" t="s">
        <v>22</v>
      </c>
      <c r="O298" s="3" t="s">
        <v>96</v>
      </c>
      <c r="P298">
        <f>DATEVALUE(OnePlusSalesData[[#This Row],[order_date]])</f>
        <v>43591</v>
      </c>
      <c r="Q298" s="28">
        <f>DATEVALUE(OnePlusSalesData[[#This Row],[delivery_date]])</f>
        <v>43593</v>
      </c>
    </row>
    <row r="299" spans="1:17" ht="16" x14ac:dyDescent="0.45">
      <c r="A299" s="8" t="s">
        <v>826</v>
      </c>
      <c r="B299" s="8" t="s">
        <v>16</v>
      </c>
      <c r="C299" s="9" t="s">
        <v>152</v>
      </c>
      <c r="D299" s="9" t="s">
        <v>18</v>
      </c>
      <c r="E299" s="9" t="s">
        <v>19</v>
      </c>
      <c r="F299" s="10">
        <v>1990</v>
      </c>
      <c r="G299" s="11">
        <v>1</v>
      </c>
      <c r="H299" s="12">
        <v>0.08</v>
      </c>
      <c r="I299" s="13">
        <v>159.19999999999999</v>
      </c>
      <c r="J299" s="13">
        <v>1830.8</v>
      </c>
      <c r="K299" s="13">
        <v>407.92</v>
      </c>
      <c r="L299" s="8" t="s">
        <v>827</v>
      </c>
      <c r="M299" s="19" t="s">
        <v>828</v>
      </c>
      <c r="N299" s="9" t="s">
        <v>22</v>
      </c>
      <c r="O299" s="9" t="s">
        <v>31</v>
      </c>
      <c r="P299">
        <f>DATEVALUE(OnePlusSalesData[[#This Row],[order_date]])</f>
        <v>43105</v>
      </c>
      <c r="Q299" s="28">
        <f>DATEVALUE(OnePlusSalesData[[#This Row],[delivery_date]])</f>
        <v>43110</v>
      </c>
    </row>
    <row r="300" spans="1:17" ht="16" x14ac:dyDescent="0.45">
      <c r="A300" s="2" t="s">
        <v>829</v>
      </c>
      <c r="B300" s="2" t="s">
        <v>25</v>
      </c>
      <c r="C300" s="3" t="s">
        <v>172</v>
      </c>
      <c r="D300" s="3" t="s">
        <v>40</v>
      </c>
      <c r="E300" s="3" t="s">
        <v>54</v>
      </c>
      <c r="F300" s="4">
        <v>53999</v>
      </c>
      <c r="G300" s="5">
        <v>1</v>
      </c>
      <c r="H300" s="6">
        <v>0</v>
      </c>
      <c r="I300" s="7">
        <v>0</v>
      </c>
      <c r="J300" s="7">
        <v>53999</v>
      </c>
      <c r="K300" s="7">
        <v>10803.71</v>
      </c>
      <c r="L300" s="2" t="s">
        <v>29</v>
      </c>
      <c r="M300" s="18" t="s">
        <v>732</v>
      </c>
      <c r="N300" s="3" t="s">
        <v>22</v>
      </c>
      <c r="O300" s="3" t="s">
        <v>23</v>
      </c>
      <c r="P300">
        <f>DATEVALUE(OnePlusSalesData[[#This Row],[order_date]])</f>
        <v>43377</v>
      </c>
      <c r="Q300" s="28">
        <f>DATEVALUE(OnePlusSalesData[[#This Row],[delivery_date]])</f>
        <v>43384</v>
      </c>
    </row>
    <row r="301" spans="1:17" ht="16" x14ac:dyDescent="0.45">
      <c r="A301" s="8" t="s">
        <v>830</v>
      </c>
      <c r="B301" s="8" t="s">
        <v>52</v>
      </c>
      <c r="C301" s="9" t="s">
        <v>53</v>
      </c>
      <c r="D301" s="9" t="s">
        <v>85</v>
      </c>
      <c r="E301" s="9" t="s">
        <v>258</v>
      </c>
      <c r="F301" s="10">
        <v>2999</v>
      </c>
      <c r="G301" s="11">
        <v>1</v>
      </c>
      <c r="H301" s="12">
        <v>0.05</v>
      </c>
      <c r="I301" s="13">
        <v>149.94999999999999</v>
      </c>
      <c r="J301" s="13">
        <v>2849.05</v>
      </c>
      <c r="K301" s="13">
        <v>413.88</v>
      </c>
      <c r="L301" s="8" t="s">
        <v>643</v>
      </c>
      <c r="M301" s="19" t="s">
        <v>831</v>
      </c>
      <c r="N301" s="9" t="s">
        <v>22</v>
      </c>
      <c r="O301" s="9" t="s">
        <v>23</v>
      </c>
      <c r="P301">
        <f>DATEVALUE(OnePlusSalesData[[#This Row],[order_date]])</f>
        <v>44090</v>
      </c>
      <c r="Q301" s="28">
        <f>DATEVALUE(OnePlusSalesData[[#This Row],[delivery_date]])</f>
        <v>44097</v>
      </c>
    </row>
    <row r="302" spans="1:17" ht="16" x14ac:dyDescent="0.45">
      <c r="A302" s="2" t="s">
        <v>832</v>
      </c>
      <c r="B302" s="2" t="s">
        <v>25</v>
      </c>
      <c r="C302" s="3" t="s">
        <v>133</v>
      </c>
      <c r="D302" s="3" t="s">
        <v>18</v>
      </c>
      <c r="E302" s="3" t="s">
        <v>102</v>
      </c>
      <c r="F302" s="4">
        <v>1490</v>
      </c>
      <c r="G302" s="5">
        <v>5</v>
      </c>
      <c r="H302" s="6">
        <v>0.1</v>
      </c>
      <c r="I302" s="7">
        <v>745</v>
      </c>
      <c r="J302" s="7">
        <v>6705</v>
      </c>
      <c r="K302" s="7">
        <v>1625.66</v>
      </c>
      <c r="L302" s="2" t="s">
        <v>730</v>
      </c>
      <c r="M302" s="18" t="s">
        <v>29</v>
      </c>
      <c r="N302" s="3" t="s">
        <v>44</v>
      </c>
      <c r="O302" s="3" t="s">
        <v>96</v>
      </c>
      <c r="P302">
        <f>DATEVALUE(OnePlusSalesData[[#This Row],[order_date]])</f>
        <v>43372</v>
      </c>
      <c r="Q302" s="28">
        <f>DATEVALUE(OnePlusSalesData[[#This Row],[delivery_date]])</f>
        <v>43377</v>
      </c>
    </row>
    <row r="303" spans="1:17" ht="16" x14ac:dyDescent="0.45">
      <c r="A303" s="8" t="s">
        <v>833</v>
      </c>
      <c r="B303" s="8" t="s">
        <v>52</v>
      </c>
      <c r="C303" s="9" t="s">
        <v>53</v>
      </c>
      <c r="D303" s="9" t="s">
        <v>85</v>
      </c>
      <c r="E303" s="9" t="s">
        <v>86</v>
      </c>
      <c r="F303" s="10">
        <v>1999</v>
      </c>
      <c r="G303" s="11">
        <v>1</v>
      </c>
      <c r="H303" s="12">
        <v>0.05</v>
      </c>
      <c r="I303" s="13">
        <v>99.95</v>
      </c>
      <c r="J303" s="13">
        <v>1899.05</v>
      </c>
      <c r="K303" s="13">
        <v>401.13</v>
      </c>
      <c r="L303" s="8" t="s">
        <v>498</v>
      </c>
      <c r="M303" s="19" t="s">
        <v>90</v>
      </c>
      <c r="N303" s="9" t="s">
        <v>22</v>
      </c>
      <c r="O303" s="9" t="s">
        <v>96</v>
      </c>
      <c r="P303">
        <f>DATEVALUE(OnePlusSalesData[[#This Row],[order_date]])</f>
        <v>43411</v>
      </c>
      <c r="Q303" s="28">
        <f>DATEVALUE(OnePlusSalesData[[#This Row],[delivery_date]])</f>
        <v>43418</v>
      </c>
    </row>
    <row r="304" spans="1:17" ht="16" x14ac:dyDescent="0.45">
      <c r="A304" s="2" t="s">
        <v>834</v>
      </c>
      <c r="B304" s="2" t="s">
        <v>25</v>
      </c>
      <c r="C304" s="3" t="s">
        <v>26</v>
      </c>
      <c r="D304" s="3" t="s">
        <v>40</v>
      </c>
      <c r="E304" s="3" t="s">
        <v>47</v>
      </c>
      <c r="F304" s="4">
        <v>37999</v>
      </c>
      <c r="G304" s="5">
        <v>2</v>
      </c>
      <c r="H304" s="6">
        <v>0.05</v>
      </c>
      <c r="I304" s="7">
        <v>3799.9</v>
      </c>
      <c r="J304" s="7">
        <v>72198.100000000006</v>
      </c>
      <c r="K304" s="7">
        <v>18363.41</v>
      </c>
      <c r="L304" s="2" t="s">
        <v>138</v>
      </c>
      <c r="M304" s="18" t="s">
        <v>698</v>
      </c>
      <c r="N304" s="3" t="s">
        <v>50</v>
      </c>
      <c r="O304" s="3" t="s">
        <v>63</v>
      </c>
      <c r="P304">
        <f>DATEVALUE(OnePlusSalesData[[#This Row],[order_date]])</f>
        <v>44030</v>
      </c>
      <c r="Q304" s="28">
        <f>DATEVALUE(OnePlusSalesData[[#This Row],[delivery_date]])</f>
        <v>44036</v>
      </c>
    </row>
    <row r="305" spans="1:17" ht="16" x14ac:dyDescent="0.45">
      <c r="A305" s="8" t="s">
        <v>835</v>
      </c>
      <c r="B305" s="8" t="s">
        <v>16</v>
      </c>
      <c r="C305" s="9" t="s">
        <v>33</v>
      </c>
      <c r="D305" s="9" t="s">
        <v>85</v>
      </c>
      <c r="E305" s="9" t="s">
        <v>228</v>
      </c>
      <c r="F305" s="10">
        <v>5990</v>
      </c>
      <c r="G305" s="11">
        <v>2</v>
      </c>
      <c r="H305" s="12">
        <v>0</v>
      </c>
      <c r="I305" s="13">
        <v>0</v>
      </c>
      <c r="J305" s="13">
        <v>11980</v>
      </c>
      <c r="K305" s="13">
        <v>2489.5700000000002</v>
      </c>
      <c r="L305" s="8" t="s">
        <v>612</v>
      </c>
      <c r="M305" s="19" t="s">
        <v>836</v>
      </c>
      <c r="N305" s="9" t="s">
        <v>22</v>
      </c>
      <c r="O305" s="9" t="s">
        <v>45</v>
      </c>
      <c r="P305">
        <f>DATEVALUE(OnePlusSalesData[[#This Row],[order_date]])</f>
        <v>43193</v>
      </c>
      <c r="Q305" s="28">
        <f>DATEVALUE(OnePlusSalesData[[#This Row],[delivery_date]])</f>
        <v>43200</v>
      </c>
    </row>
    <row r="306" spans="1:17" ht="16" x14ac:dyDescent="0.45">
      <c r="A306" s="2" t="s">
        <v>837</v>
      </c>
      <c r="B306" s="2" t="s">
        <v>52</v>
      </c>
      <c r="C306" s="3" t="s">
        <v>106</v>
      </c>
      <c r="D306" s="3" t="s">
        <v>34</v>
      </c>
      <c r="E306" s="3" t="s">
        <v>35</v>
      </c>
      <c r="F306" s="4">
        <v>19999</v>
      </c>
      <c r="G306" s="5">
        <v>2</v>
      </c>
      <c r="H306" s="6">
        <v>0</v>
      </c>
      <c r="I306" s="7">
        <v>0</v>
      </c>
      <c r="J306" s="7">
        <v>39998</v>
      </c>
      <c r="K306" s="7">
        <v>9478.31</v>
      </c>
      <c r="L306" s="2" t="s">
        <v>307</v>
      </c>
      <c r="M306" s="18" t="s">
        <v>811</v>
      </c>
      <c r="N306" s="3" t="s">
        <v>22</v>
      </c>
      <c r="O306" s="3" t="s">
        <v>45</v>
      </c>
      <c r="P306">
        <f>DATEVALUE(OnePlusSalesData[[#This Row],[order_date]])</f>
        <v>43972</v>
      </c>
      <c r="Q306" s="28">
        <f>DATEVALUE(OnePlusSalesData[[#This Row],[delivery_date]])</f>
        <v>43975</v>
      </c>
    </row>
    <row r="307" spans="1:17" ht="16" x14ac:dyDescent="0.45">
      <c r="A307" s="8" t="s">
        <v>838</v>
      </c>
      <c r="B307" s="8" t="s">
        <v>25</v>
      </c>
      <c r="C307" s="9" t="s">
        <v>26</v>
      </c>
      <c r="D307" s="9" t="s">
        <v>40</v>
      </c>
      <c r="E307" s="9" t="s">
        <v>73</v>
      </c>
      <c r="F307" s="10">
        <v>32999</v>
      </c>
      <c r="G307" s="11">
        <v>3</v>
      </c>
      <c r="H307" s="12">
        <v>0</v>
      </c>
      <c r="I307" s="13">
        <v>0</v>
      </c>
      <c r="J307" s="13">
        <v>98997</v>
      </c>
      <c r="K307" s="13">
        <v>24567.69</v>
      </c>
      <c r="L307" s="8" t="s">
        <v>251</v>
      </c>
      <c r="M307" s="19" t="s">
        <v>512</v>
      </c>
      <c r="N307" s="9" t="s">
        <v>44</v>
      </c>
      <c r="O307" s="9" t="s">
        <v>23</v>
      </c>
      <c r="P307">
        <f>DATEVALUE(OnePlusSalesData[[#This Row],[order_date]])</f>
        <v>43767</v>
      </c>
      <c r="Q307" s="28">
        <f>DATEVALUE(OnePlusSalesData[[#This Row],[delivery_date]])</f>
        <v>43770</v>
      </c>
    </row>
    <row r="308" spans="1:17" ht="16" x14ac:dyDescent="0.45">
      <c r="A308" s="2" t="s">
        <v>839</v>
      </c>
      <c r="B308" s="2" t="s">
        <v>52</v>
      </c>
      <c r="C308" s="3" t="s">
        <v>192</v>
      </c>
      <c r="D308" s="3" t="s">
        <v>40</v>
      </c>
      <c r="E308" s="3" t="s">
        <v>73</v>
      </c>
      <c r="F308" s="4">
        <v>32999</v>
      </c>
      <c r="G308" s="5">
        <v>1</v>
      </c>
      <c r="H308" s="6">
        <v>0.1</v>
      </c>
      <c r="I308" s="7">
        <v>3299.9</v>
      </c>
      <c r="J308" s="7">
        <v>29699.1</v>
      </c>
      <c r="K308" s="7">
        <v>7431.05</v>
      </c>
      <c r="L308" s="2" t="s">
        <v>840</v>
      </c>
      <c r="M308" s="18" t="s">
        <v>841</v>
      </c>
      <c r="N308" s="3" t="s">
        <v>92</v>
      </c>
      <c r="O308" s="3" t="s">
        <v>23</v>
      </c>
      <c r="P308">
        <f>DATEVALUE(OnePlusSalesData[[#This Row],[order_date]])</f>
        <v>43818</v>
      </c>
      <c r="Q308" s="28">
        <f>DATEVALUE(OnePlusSalesData[[#This Row],[delivery_date]])</f>
        <v>43820</v>
      </c>
    </row>
    <row r="309" spans="1:17" ht="16" x14ac:dyDescent="0.45">
      <c r="A309" s="8" t="s">
        <v>842</v>
      </c>
      <c r="B309" s="8" t="s">
        <v>16</v>
      </c>
      <c r="C309" s="9" t="s">
        <v>39</v>
      </c>
      <c r="D309" s="9" t="s">
        <v>18</v>
      </c>
      <c r="E309" s="9" t="s">
        <v>179</v>
      </c>
      <c r="F309" s="10">
        <v>1290</v>
      </c>
      <c r="G309" s="11">
        <v>2</v>
      </c>
      <c r="H309" s="12">
        <v>0</v>
      </c>
      <c r="I309" s="13">
        <v>0</v>
      </c>
      <c r="J309" s="13">
        <v>2580</v>
      </c>
      <c r="K309" s="13">
        <v>420.52</v>
      </c>
      <c r="L309" s="8" t="s">
        <v>275</v>
      </c>
      <c r="M309" s="19" t="s">
        <v>843</v>
      </c>
      <c r="N309" s="9" t="s">
        <v>92</v>
      </c>
      <c r="O309" s="9" t="s">
        <v>23</v>
      </c>
      <c r="P309">
        <f>DATEVALUE(OnePlusSalesData[[#This Row],[order_date]])</f>
        <v>43415</v>
      </c>
      <c r="Q309" s="28">
        <f>DATEVALUE(OnePlusSalesData[[#This Row],[delivery_date]])</f>
        <v>43419</v>
      </c>
    </row>
    <row r="310" spans="1:17" ht="16" x14ac:dyDescent="0.45">
      <c r="A310" s="2" t="s">
        <v>844</v>
      </c>
      <c r="B310" s="2" t="s">
        <v>58</v>
      </c>
      <c r="C310" s="3" t="s">
        <v>113</v>
      </c>
      <c r="D310" s="3" t="s">
        <v>85</v>
      </c>
      <c r="E310" s="3" t="s">
        <v>265</v>
      </c>
      <c r="F310" s="4">
        <v>4990</v>
      </c>
      <c r="G310" s="5">
        <v>1</v>
      </c>
      <c r="H310" s="6">
        <v>0.05</v>
      </c>
      <c r="I310" s="7">
        <v>249.5</v>
      </c>
      <c r="J310" s="7">
        <v>4740.5</v>
      </c>
      <c r="K310" s="7">
        <v>1072.77</v>
      </c>
      <c r="L310" s="2" t="s">
        <v>845</v>
      </c>
      <c r="M310" s="18" t="s">
        <v>624</v>
      </c>
      <c r="N310" s="3" t="s">
        <v>22</v>
      </c>
      <c r="O310" s="3" t="s">
        <v>23</v>
      </c>
      <c r="P310">
        <f>DATEVALUE(OnePlusSalesData[[#This Row],[order_date]])</f>
        <v>43924</v>
      </c>
      <c r="Q310" s="28">
        <f>DATEVALUE(OnePlusSalesData[[#This Row],[delivery_date]])</f>
        <v>43928</v>
      </c>
    </row>
    <row r="311" spans="1:17" ht="16" x14ac:dyDescent="0.45">
      <c r="A311" s="8" t="s">
        <v>846</v>
      </c>
      <c r="B311" s="8" t="s">
        <v>52</v>
      </c>
      <c r="C311" s="9" t="s">
        <v>358</v>
      </c>
      <c r="D311" s="9" t="s">
        <v>40</v>
      </c>
      <c r="E311" s="9" t="s">
        <v>148</v>
      </c>
      <c r="F311" s="10">
        <v>41999</v>
      </c>
      <c r="G311" s="11">
        <v>3</v>
      </c>
      <c r="H311" s="12">
        <v>0.12</v>
      </c>
      <c r="I311" s="13">
        <v>15119.64</v>
      </c>
      <c r="J311" s="13">
        <v>110877.36</v>
      </c>
      <c r="K311" s="13">
        <v>27398.57</v>
      </c>
      <c r="L311" s="8" t="s">
        <v>56</v>
      </c>
      <c r="M311" s="19" t="s">
        <v>592</v>
      </c>
      <c r="N311" s="9" t="s">
        <v>92</v>
      </c>
      <c r="O311" s="9" t="s">
        <v>31</v>
      </c>
      <c r="P311">
        <f>DATEVALUE(OnePlusSalesData[[#This Row],[order_date]])</f>
        <v>43505</v>
      </c>
      <c r="Q311" s="28">
        <f>DATEVALUE(OnePlusSalesData[[#This Row],[delivery_date]])</f>
        <v>43512</v>
      </c>
    </row>
    <row r="312" spans="1:17" ht="16" x14ac:dyDescent="0.45">
      <c r="A312" s="2" t="s">
        <v>847</v>
      </c>
      <c r="B312" s="2" t="s">
        <v>16</v>
      </c>
      <c r="C312" s="3" t="s">
        <v>152</v>
      </c>
      <c r="D312" s="3" t="s">
        <v>85</v>
      </c>
      <c r="E312" s="3" t="s">
        <v>265</v>
      </c>
      <c r="F312" s="4">
        <v>4990</v>
      </c>
      <c r="G312" s="5">
        <v>1</v>
      </c>
      <c r="H312" s="6">
        <v>0</v>
      </c>
      <c r="I312" s="7">
        <v>0</v>
      </c>
      <c r="J312" s="7">
        <v>4990</v>
      </c>
      <c r="K312" s="7">
        <v>897.14</v>
      </c>
      <c r="L312" s="2" t="s">
        <v>848</v>
      </c>
      <c r="M312" s="18" t="s">
        <v>849</v>
      </c>
      <c r="N312" s="3" t="s">
        <v>22</v>
      </c>
      <c r="O312" s="3" t="s">
        <v>23</v>
      </c>
      <c r="P312">
        <f>DATEVALUE(OnePlusSalesData[[#This Row],[order_date]])</f>
        <v>43715</v>
      </c>
      <c r="Q312" s="28">
        <f>DATEVALUE(OnePlusSalesData[[#This Row],[delivery_date]])</f>
        <v>43722</v>
      </c>
    </row>
    <row r="313" spans="1:17" ht="16" x14ac:dyDescent="0.45">
      <c r="A313" s="8" t="s">
        <v>850</v>
      </c>
      <c r="B313" s="8" t="s">
        <v>25</v>
      </c>
      <c r="C313" s="9" t="s">
        <v>26</v>
      </c>
      <c r="D313" s="9" t="s">
        <v>40</v>
      </c>
      <c r="E313" s="9" t="s">
        <v>41</v>
      </c>
      <c r="F313" s="10">
        <v>37999</v>
      </c>
      <c r="G313" s="11">
        <v>1</v>
      </c>
      <c r="H313" s="12">
        <v>0</v>
      </c>
      <c r="I313" s="13">
        <v>0</v>
      </c>
      <c r="J313" s="13">
        <v>37999</v>
      </c>
      <c r="K313" s="13">
        <v>9089.73</v>
      </c>
      <c r="L313" s="8" t="s">
        <v>851</v>
      </c>
      <c r="M313" s="19" t="s">
        <v>852</v>
      </c>
      <c r="N313" s="9" t="s">
        <v>92</v>
      </c>
      <c r="O313" s="9" t="s">
        <v>63</v>
      </c>
      <c r="P313">
        <f>DATEVALUE(OnePlusSalesData[[#This Row],[order_date]])</f>
        <v>43289</v>
      </c>
      <c r="Q313" s="28">
        <f>DATEVALUE(OnePlusSalesData[[#This Row],[delivery_date]])</f>
        <v>43294</v>
      </c>
    </row>
    <row r="314" spans="1:17" ht="16" x14ac:dyDescent="0.45">
      <c r="A314" s="2" t="s">
        <v>853</v>
      </c>
      <c r="B314" s="2" t="s">
        <v>52</v>
      </c>
      <c r="C314" s="3" t="s">
        <v>69</v>
      </c>
      <c r="D314" s="3" t="s">
        <v>40</v>
      </c>
      <c r="E314" s="3" t="s">
        <v>47</v>
      </c>
      <c r="F314" s="4">
        <v>37999</v>
      </c>
      <c r="G314" s="5">
        <v>3</v>
      </c>
      <c r="H314" s="6">
        <v>0.05</v>
      </c>
      <c r="I314" s="7">
        <v>5699.85</v>
      </c>
      <c r="J314" s="7">
        <v>108297.15</v>
      </c>
      <c r="K314" s="7">
        <v>18832.52</v>
      </c>
      <c r="L314" s="2" t="s">
        <v>30</v>
      </c>
      <c r="M314" s="18" t="s">
        <v>328</v>
      </c>
      <c r="N314" s="3" t="s">
        <v>22</v>
      </c>
      <c r="O314" s="3" t="s">
        <v>23</v>
      </c>
      <c r="P314">
        <f>DATEVALUE(OnePlusSalesData[[#This Row],[order_date]])</f>
        <v>43379</v>
      </c>
      <c r="Q314" s="28">
        <f>DATEVALUE(OnePlusSalesData[[#This Row],[delivery_date]])</f>
        <v>43385</v>
      </c>
    </row>
    <row r="315" spans="1:17" ht="16" x14ac:dyDescent="0.45">
      <c r="A315" s="8" t="s">
        <v>854</v>
      </c>
      <c r="B315" s="8" t="s">
        <v>52</v>
      </c>
      <c r="C315" s="9" t="s">
        <v>192</v>
      </c>
      <c r="D315" s="9" t="s">
        <v>40</v>
      </c>
      <c r="E315" s="9" t="s">
        <v>54</v>
      </c>
      <c r="F315" s="10">
        <v>53999</v>
      </c>
      <c r="G315" s="11">
        <v>1</v>
      </c>
      <c r="H315" s="12">
        <v>0.15</v>
      </c>
      <c r="I315" s="13">
        <v>8099.85</v>
      </c>
      <c r="J315" s="13">
        <v>45899.15</v>
      </c>
      <c r="K315" s="13">
        <v>7671.36</v>
      </c>
      <c r="L315" s="8" t="s">
        <v>645</v>
      </c>
      <c r="M315" s="19" t="s">
        <v>414</v>
      </c>
      <c r="N315" s="9" t="s">
        <v>50</v>
      </c>
      <c r="O315" s="9" t="s">
        <v>23</v>
      </c>
      <c r="P315">
        <f>DATEVALUE(OnePlusSalesData[[#This Row],[order_date]])</f>
        <v>43312</v>
      </c>
      <c r="Q315" s="28">
        <f>DATEVALUE(OnePlusSalesData[[#This Row],[delivery_date]])</f>
        <v>43316</v>
      </c>
    </row>
    <row r="316" spans="1:17" ht="16" x14ac:dyDescent="0.45">
      <c r="A316" s="2" t="s">
        <v>855</v>
      </c>
      <c r="B316" s="2" t="s">
        <v>25</v>
      </c>
      <c r="C316" s="3" t="s">
        <v>120</v>
      </c>
      <c r="D316" s="3" t="s">
        <v>40</v>
      </c>
      <c r="E316" s="3" t="s">
        <v>54</v>
      </c>
      <c r="F316" s="4">
        <v>53999</v>
      </c>
      <c r="G316" s="5">
        <v>2</v>
      </c>
      <c r="H316" s="6">
        <v>0.08</v>
      </c>
      <c r="I316" s="7">
        <v>8639.84</v>
      </c>
      <c r="J316" s="7">
        <v>99358.16</v>
      </c>
      <c r="K316" s="7">
        <v>18869.43</v>
      </c>
      <c r="L316" s="2" t="s">
        <v>856</v>
      </c>
      <c r="M316" s="18" t="s">
        <v>857</v>
      </c>
      <c r="N316" s="3" t="s">
        <v>22</v>
      </c>
      <c r="O316" s="3" t="s">
        <v>63</v>
      </c>
      <c r="P316">
        <f>DATEVALUE(OnePlusSalesData[[#This Row],[order_date]])</f>
        <v>43406</v>
      </c>
      <c r="Q316" s="28">
        <f>DATEVALUE(OnePlusSalesData[[#This Row],[delivery_date]])</f>
        <v>43413</v>
      </c>
    </row>
    <row r="317" spans="1:17" ht="16" x14ac:dyDescent="0.45">
      <c r="A317" s="8" t="s">
        <v>858</v>
      </c>
      <c r="B317" s="8" t="s">
        <v>52</v>
      </c>
      <c r="C317" s="9" t="s">
        <v>192</v>
      </c>
      <c r="D317" s="9" t="s">
        <v>18</v>
      </c>
      <c r="E317" s="9" t="s">
        <v>124</v>
      </c>
      <c r="F317" s="10">
        <v>3990</v>
      </c>
      <c r="G317" s="11">
        <v>3</v>
      </c>
      <c r="H317" s="12">
        <v>0.1</v>
      </c>
      <c r="I317" s="13">
        <v>1197</v>
      </c>
      <c r="J317" s="13">
        <v>10773</v>
      </c>
      <c r="K317" s="13">
        <v>2781.41</v>
      </c>
      <c r="L317" s="8" t="s">
        <v>594</v>
      </c>
      <c r="M317" s="19" t="s">
        <v>859</v>
      </c>
      <c r="N317" s="9" t="s">
        <v>22</v>
      </c>
      <c r="O317" s="9" t="s">
        <v>63</v>
      </c>
      <c r="P317">
        <f>DATEVALUE(OnePlusSalesData[[#This Row],[order_date]])</f>
        <v>43604</v>
      </c>
      <c r="Q317" s="28">
        <f>DATEVALUE(OnePlusSalesData[[#This Row],[delivery_date]])</f>
        <v>43611</v>
      </c>
    </row>
    <row r="318" spans="1:17" ht="16" x14ac:dyDescent="0.45">
      <c r="A318" s="2" t="s">
        <v>860</v>
      </c>
      <c r="B318" s="2" t="s">
        <v>52</v>
      </c>
      <c r="C318" s="3" t="s">
        <v>69</v>
      </c>
      <c r="D318" s="3" t="s">
        <v>34</v>
      </c>
      <c r="E318" s="3" t="s">
        <v>35</v>
      </c>
      <c r="F318" s="4">
        <v>19999</v>
      </c>
      <c r="G318" s="5">
        <v>2</v>
      </c>
      <c r="H318" s="6">
        <v>0</v>
      </c>
      <c r="I318" s="7">
        <v>0</v>
      </c>
      <c r="J318" s="7">
        <v>39998</v>
      </c>
      <c r="K318" s="7">
        <v>9346.56</v>
      </c>
      <c r="L318" s="2" t="s">
        <v>861</v>
      </c>
      <c r="M318" s="18" t="s">
        <v>862</v>
      </c>
      <c r="N318" s="3" t="s">
        <v>44</v>
      </c>
      <c r="O318" s="3" t="s">
        <v>23</v>
      </c>
      <c r="P318">
        <f>DATEVALUE(OnePlusSalesData[[#This Row],[order_date]])</f>
        <v>43621</v>
      </c>
      <c r="Q318" s="28">
        <f>DATEVALUE(OnePlusSalesData[[#This Row],[delivery_date]])</f>
        <v>43623</v>
      </c>
    </row>
    <row r="319" spans="1:17" ht="16" x14ac:dyDescent="0.45">
      <c r="A319" s="8" t="s">
        <v>863</v>
      </c>
      <c r="B319" s="8" t="s">
        <v>25</v>
      </c>
      <c r="C319" s="9" t="s">
        <v>120</v>
      </c>
      <c r="D319" s="9" t="s">
        <v>18</v>
      </c>
      <c r="E319" s="9" t="s">
        <v>124</v>
      </c>
      <c r="F319" s="10">
        <v>3990</v>
      </c>
      <c r="G319" s="11">
        <v>1</v>
      </c>
      <c r="H319" s="12">
        <v>0.08</v>
      </c>
      <c r="I319" s="13">
        <v>319.2</v>
      </c>
      <c r="J319" s="13">
        <v>3670.8</v>
      </c>
      <c r="K319" s="13">
        <v>848.25</v>
      </c>
      <c r="L319" s="8" t="s">
        <v>864</v>
      </c>
      <c r="M319" s="19" t="s">
        <v>865</v>
      </c>
      <c r="N319" s="9" t="s">
        <v>92</v>
      </c>
      <c r="O319" s="9" t="s">
        <v>23</v>
      </c>
      <c r="P319">
        <f>DATEVALUE(OnePlusSalesData[[#This Row],[order_date]])</f>
        <v>43853</v>
      </c>
      <c r="Q319" s="28">
        <f>DATEVALUE(OnePlusSalesData[[#This Row],[delivery_date]])</f>
        <v>43855</v>
      </c>
    </row>
    <row r="320" spans="1:17" ht="16" x14ac:dyDescent="0.45">
      <c r="A320" s="2" t="s">
        <v>866</v>
      </c>
      <c r="B320" s="2" t="s">
        <v>58</v>
      </c>
      <c r="C320" s="3" t="s">
        <v>113</v>
      </c>
      <c r="D320" s="3" t="s">
        <v>40</v>
      </c>
      <c r="E320" s="3" t="s">
        <v>60</v>
      </c>
      <c r="F320" s="4">
        <v>54999</v>
      </c>
      <c r="G320" s="5">
        <v>1</v>
      </c>
      <c r="H320" s="6">
        <v>0</v>
      </c>
      <c r="I320" s="7">
        <v>0</v>
      </c>
      <c r="J320" s="7">
        <v>54999</v>
      </c>
      <c r="K320" s="7">
        <v>13002.98</v>
      </c>
      <c r="L320" s="2" t="s">
        <v>342</v>
      </c>
      <c r="M320" s="18" t="s">
        <v>343</v>
      </c>
      <c r="N320" s="3" t="s">
        <v>92</v>
      </c>
      <c r="O320" s="3" t="s">
        <v>146</v>
      </c>
      <c r="P320">
        <f>DATEVALUE(OnePlusSalesData[[#This Row],[order_date]])</f>
        <v>44107</v>
      </c>
      <c r="Q320" s="28">
        <f>DATEVALUE(OnePlusSalesData[[#This Row],[delivery_date]])</f>
        <v>44110</v>
      </c>
    </row>
    <row r="321" spans="1:17" ht="16" x14ac:dyDescent="0.45">
      <c r="A321" s="8" t="s">
        <v>867</v>
      </c>
      <c r="B321" s="8" t="s">
        <v>25</v>
      </c>
      <c r="C321" s="9" t="s">
        <v>26</v>
      </c>
      <c r="D321" s="9" t="s">
        <v>34</v>
      </c>
      <c r="E321" s="9" t="s">
        <v>77</v>
      </c>
      <c r="F321" s="10">
        <v>24999</v>
      </c>
      <c r="G321" s="11">
        <v>1</v>
      </c>
      <c r="H321" s="12">
        <v>0.05</v>
      </c>
      <c r="I321" s="13">
        <v>1249.95</v>
      </c>
      <c r="J321" s="13">
        <v>23749.05</v>
      </c>
      <c r="K321" s="13">
        <v>4281.32</v>
      </c>
      <c r="L321" s="8" t="s">
        <v>588</v>
      </c>
      <c r="M321" s="19" t="s">
        <v>868</v>
      </c>
      <c r="N321" s="9" t="s">
        <v>22</v>
      </c>
      <c r="O321" s="9" t="s">
        <v>63</v>
      </c>
      <c r="P321">
        <f>DATEVALUE(OnePlusSalesData[[#This Row],[order_date]])</f>
        <v>43345</v>
      </c>
      <c r="Q321" s="28">
        <f>DATEVALUE(OnePlusSalesData[[#This Row],[delivery_date]])</f>
        <v>43349</v>
      </c>
    </row>
    <row r="322" spans="1:17" ht="16" x14ac:dyDescent="0.45">
      <c r="A322" s="2" t="s">
        <v>869</v>
      </c>
      <c r="B322" s="2" t="s">
        <v>52</v>
      </c>
      <c r="C322" s="3" t="s">
        <v>358</v>
      </c>
      <c r="D322" s="3" t="s">
        <v>40</v>
      </c>
      <c r="E322" s="3" t="s">
        <v>98</v>
      </c>
      <c r="F322" s="4">
        <v>34999</v>
      </c>
      <c r="G322" s="5">
        <v>1</v>
      </c>
      <c r="H322" s="6">
        <v>0.05</v>
      </c>
      <c r="I322" s="7">
        <v>1749.95</v>
      </c>
      <c r="J322" s="7">
        <v>33249.050000000003</v>
      </c>
      <c r="K322" s="7">
        <v>6676.43</v>
      </c>
      <c r="L322" s="2" t="s">
        <v>78</v>
      </c>
      <c r="M322" s="18" t="s">
        <v>870</v>
      </c>
      <c r="N322" s="3" t="s">
        <v>22</v>
      </c>
      <c r="O322" s="3" t="s">
        <v>23</v>
      </c>
      <c r="P322">
        <f>DATEVALUE(OnePlusSalesData[[#This Row],[order_date]])</f>
        <v>43964</v>
      </c>
      <c r="Q322" s="28">
        <f>DATEVALUE(OnePlusSalesData[[#This Row],[delivery_date]])</f>
        <v>43969</v>
      </c>
    </row>
    <row r="323" spans="1:17" ht="16" x14ac:dyDescent="0.45">
      <c r="A323" s="8" t="s">
        <v>871</v>
      </c>
      <c r="B323" s="8" t="s">
        <v>52</v>
      </c>
      <c r="C323" s="9" t="s">
        <v>53</v>
      </c>
      <c r="D323" s="9" t="s">
        <v>40</v>
      </c>
      <c r="E323" s="9" t="s">
        <v>98</v>
      </c>
      <c r="F323" s="10">
        <v>34999</v>
      </c>
      <c r="G323" s="11">
        <v>5</v>
      </c>
      <c r="H323" s="12">
        <v>0.05</v>
      </c>
      <c r="I323" s="13">
        <v>8749.75</v>
      </c>
      <c r="J323" s="13">
        <v>166245.25</v>
      </c>
      <c r="K323" s="13">
        <v>27961.919999999998</v>
      </c>
      <c r="L323" s="8" t="s">
        <v>337</v>
      </c>
      <c r="M323" s="19" t="s">
        <v>338</v>
      </c>
      <c r="N323" s="9" t="s">
        <v>92</v>
      </c>
      <c r="O323" s="9" t="s">
        <v>31</v>
      </c>
      <c r="P323">
        <f>DATEVALUE(OnePlusSalesData[[#This Row],[order_date]])</f>
        <v>44025</v>
      </c>
      <c r="Q323" s="28">
        <f>DATEVALUE(OnePlusSalesData[[#This Row],[delivery_date]])</f>
        <v>44029</v>
      </c>
    </row>
    <row r="324" spans="1:17" ht="16" x14ac:dyDescent="0.45">
      <c r="A324" s="2" t="s">
        <v>872</v>
      </c>
      <c r="B324" s="2" t="s">
        <v>16</v>
      </c>
      <c r="C324" s="3" t="s">
        <v>17</v>
      </c>
      <c r="D324" s="3" t="s">
        <v>40</v>
      </c>
      <c r="E324" s="3" t="s">
        <v>98</v>
      </c>
      <c r="F324" s="4">
        <v>34999</v>
      </c>
      <c r="G324" s="5">
        <v>1</v>
      </c>
      <c r="H324" s="6">
        <v>0.05</v>
      </c>
      <c r="I324" s="7">
        <v>1749.95</v>
      </c>
      <c r="J324" s="7">
        <v>33249.050000000003</v>
      </c>
      <c r="K324" s="7">
        <v>5127.6400000000003</v>
      </c>
      <c r="L324" s="2" t="s">
        <v>873</v>
      </c>
      <c r="M324" s="18" t="s">
        <v>874</v>
      </c>
      <c r="N324" s="3" t="s">
        <v>22</v>
      </c>
      <c r="O324" s="3" t="s">
        <v>146</v>
      </c>
      <c r="P324">
        <f>DATEVALUE(OnePlusSalesData[[#This Row],[order_date]])</f>
        <v>43759</v>
      </c>
      <c r="Q324" s="28">
        <f>DATEVALUE(OnePlusSalesData[[#This Row],[delivery_date]])</f>
        <v>43764</v>
      </c>
    </row>
    <row r="325" spans="1:17" ht="16" x14ac:dyDescent="0.45">
      <c r="A325" s="8" t="s">
        <v>875</v>
      </c>
      <c r="B325" s="8" t="s">
        <v>52</v>
      </c>
      <c r="C325" s="9" t="s">
        <v>106</v>
      </c>
      <c r="D325" s="9" t="s">
        <v>85</v>
      </c>
      <c r="E325" s="9" t="s">
        <v>86</v>
      </c>
      <c r="F325" s="10">
        <v>1999</v>
      </c>
      <c r="G325" s="11">
        <v>1</v>
      </c>
      <c r="H325" s="12">
        <v>0.1</v>
      </c>
      <c r="I325" s="13">
        <v>199.9</v>
      </c>
      <c r="J325" s="13">
        <v>1799.1</v>
      </c>
      <c r="K325" s="13">
        <v>397.11</v>
      </c>
      <c r="L325" s="8" t="s">
        <v>255</v>
      </c>
      <c r="M325" s="19" t="s">
        <v>876</v>
      </c>
      <c r="N325" s="9" t="s">
        <v>22</v>
      </c>
      <c r="O325" s="9" t="s">
        <v>63</v>
      </c>
      <c r="P325">
        <f>DATEVALUE(OnePlusSalesData[[#This Row],[order_date]])</f>
        <v>43940</v>
      </c>
      <c r="Q325" s="28">
        <f>DATEVALUE(OnePlusSalesData[[#This Row],[delivery_date]])</f>
        <v>43947</v>
      </c>
    </row>
    <row r="326" spans="1:17" ht="16" x14ac:dyDescent="0.45">
      <c r="A326" s="2" t="s">
        <v>877</v>
      </c>
      <c r="B326" s="2" t="s">
        <v>52</v>
      </c>
      <c r="C326" s="3" t="s">
        <v>69</v>
      </c>
      <c r="D326" s="3" t="s">
        <v>27</v>
      </c>
      <c r="E326" s="3" t="s">
        <v>176</v>
      </c>
      <c r="F326" s="4">
        <v>69900</v>
      </c>
      <c r="G326" s="5">
        <v>1</v>
      </c>
      <c r="H326" s="6">
        <v>0.08</v>
      </c>
      <c r="I326" s="7">
        <v>5592</v>
      </c>
      <c r="J326" s="7">
        <v>64308</v>
      </c>
      <c r="K326" s="7">
        <v>9403.1299999999992</v>
      </c>
      <c r="L326" s="2" t="s">
        <v>249</v>
      </c>
      <c r="M326" s="18" t="s">
        <v>878</v>
      </c>
      <c r="N326" s="3" t="s">
        <v>22</v>
      </c>
      <c r="O326" s="3" t="s">
        <v>23</v>
      </c>
      <c r="P326">
        <f>DATEVALUE(OnePlusSalesData[[#This Row],[order_date]])</f>
        <v>43213</v>
      </c>
      <c r="Q326" s="28">
        <f>DATEVALUE(OnePlusSalesData[[#This Row],[delivery_date]])</f>
        <v>43218</v>
      </c>
    </row>
    <row r="327" spans="1:17" ht="16" x14ac:dyDescent="0.45">
      <c r="A327" s="8" t="s">
        <v>879</v>
      </c>
      <c r="B327" s="8" t="s">
        <v>16</v>
      </c>
      <c r="C327" s="9" t="s">
        <v>33</v>
      </c>
      <c r="D327" s="9" t="s">
        <v>40</v>
      </c>
      <c r="E327" s="9" t="s">
        <v>54</v>
      </c>
      <c r="F327" s="10">
        <v>53999</v>
      </c>
      <c r="G327" s="11">
        <v>1</v>
      </c>
      <c r="H327" s="12">
        <v>0.08</v>
      </c>
      <c r="I327" s="13">
        <v>4319.92</v>
      </c>
      <c r="J327" s="13">
        <v>49679.08</v>
      </c>
      <c r="K327" s="13">
        <v>9366.66</v>
      </c>
      <c r="L327" s="8" t="s">
        <v>878</v>
      </c>
      <c r="M327" s="19" t="s">
        <v>880</v>
      </c>
      <c r="N327" s="9" t="s">
        <v>22</v>
      </c>
      <c r="O327" s="9" t="s">
        <v>23</v>
      </c>
      <c r="P327">
        <f>DATEVALUE(OnePlusSalesData[[#This Row],[order_date]])</f>
        <v>43218</v>
      </c>
      <c r="Q327" s="28">
        <f>DATEVALUE(OnePlusSalesData[[#This Row],[delivery_date]])</f>
        <v>43222</v>
      </c>
    </row>
    <row r="328" spans="1:17" ht="16" x14ac:dyDescent="0.45">
      <c r="A328" s="2" t="s">
        <v>881</v>
      </c>
      <c r="B328" s="2" t="s">
        <v>16</v>
      </c>
      <c r="C328" s="3" t="s">
        <v>17</v>
      </c>
      <c r="D328" s="3" t="s">
        <v>40</v>
      </c>
      <c r="E328" s="3" t="s">
        <v>47</v>
      </c>
      <c r="F328" s="4">
        <v>37999</v>
      </c>
      <c r="G328" s="5">
        <v>1</v>
      </c>
      <c r="H328" s="6">
        <v>0.05</v>
      </c>
      <c r="I328" s="7">
        <v>1899.95</v>
      </c>
      <c r="J328" s="7">
        <v>36099.050000000003</v>
      </c>
      <c r="K328" s="7">
        <v>9307.99</v>
      </c>
      <c r="L328" s="2" t="s">
        <v>882</v>
      </c>
      <c r="M328" s="18" t="s">
        <v>125</v>
      </c>
      <c r="N328" s="3" t="s">
        <v>92</v>
      </c>
      <c r="O328" s="3" t="s">
        <v>63</v>
      </c>
      <c r="P328">
        <f>DATEVALUE(OnePlusSalesData[[#This Row],[order_date]])</f>
        <v>43491</v>
      </c>
      <c r="Q328" s="28">
        <f>DATEVALUE(OnePlusSalesData[[#This Row],[delivery_date]])</f>
        <v>43498</v>
      </c>
    </row>
    <row r="329" spans="1:17" ht="16" x14ac:dyDescent="0.45">
      <c r="A329" s="8" t="s">
        <v>883</v>
      </c>
      <c r="B329" s="8" t="s">
        <v>52</v>
      </c>
      <c r="C329" s="9" t="s">
        <v>106</v>
      </c>
      <c r="D329" s="9" t="s">
        <v>18</v>
      </c>
      <c r="E329" s="9" t="s">
        <v>179</v>
      </c>
      <c r="F329" s="10">
        <v>1290</v>
      </c>
      <c r="G329" s="11">
        <v>4</v>
      </c>
      <c r="H329" s="12">
        <v>0.12</v>
      </c>
      <c r="I329" s="13">
        <v>619.20000000000005</v>
      </c>
      <c r="J329" s="13">
        <v>4540.8</v>
      </c>
      <c r="K329" s="13">
        <v>641.97</v>
      </c>
      <c r="L329" s="8" t="s">
        <v>884</v>
      </c>
      <c r="M329" s="19" t="s">
        <v>885</v>
      </c>
      <c r="N329" s="9" t="s">
        <v>22</v>
      </c>
      <c r="O329" s="9" t="s">
        <v>31</v>
      </c>
      <c r="P329">
        <f>DATEVALUE(OnePlusSalesData[[#This Row],[order_date]])</f>
        <v>43302</v>
      </c>
      <c r="Q329" s="28">
        <f>DATEVALUE(OnePlusSalesData[[#This Row],[delivery_date]])</f>
        <v>43304</v>
      </c>
    </row>
    <row r="330" spans="1:17" ht="16" x14ac:dyDescent="0.45">
      <c r="A330" s="2" t="s">
        <v>886</v>
      </c>
      <c r="B330" s="2" t="s">
        <v>58</v>
      </c>
      <c r="C330" s="3" t="s">
        <v>257</v>
      </c>
      <c r="D330" s="3" t="s">
        <v>40</v>
      </c>
      <c r="E330" s="3" t="s">
        <v>41</v>
      </c>
      <c r="F330" s="4">
        <v>37999</v>
      </c>
      <c r="G330" s="5">
        <v>1</v>
      </c>
      <c r="H330" s="6">
        <v>0.08</v>
      </c>
      <c r="I330" s="7">
        <v>3039.92</v>
      </c>
      <c r="J330" s="7">
        <v>34959.08</v>
      </c>
      <c r="K330" s="7">
        <v>5751.92</v>
      </c>
      <c r="L330" s="2" t="s">
        <v>706</v>
      </c>
      <c r="M330" s="18" t="s">
        <v>887</v>
      </c>
      <c r="N330" s="3" t="s">
        <v>22</v>
      </c>
      <c r="O330" s="3" t="s">
        <v>31</v>
      </c>
      <c r="P330">
        <f>DATEVALUE(OnePlusSalesData[[#This Row],[order_date]])</f>
        <v>44119</v>
      </c>
      <c r="Q330" s="28">
        <f>DATEVALUE(OnePlusSalesData[[#This Row],[delivery_date]])</f>
        <v>44123</v>
      </c>
    </row>
    <row r="331" spans="1:17" ht="16" x14ac:dyDescent="0.45">
      <c r="A331" s="8" t="s">
        <v>888</v>
      </c>
      <c r="B331" s="8" t="s">
        <v>25</v>
      </c>
      <c r="C331" s="9" t="s">
        <v>120</v>
      </c>
      <c r="D331" s="9" t="s">
        <v>34</v>
      </c>
      <c r="E331" s="9" t="s">
        <v>35</v>
      </c>
      <c r="F331" s="10">
        <v>19999</v>
      </c>
      <c r="G331" s="11">
        <v>2</v>
      </c>
      <c r="H331" s="12">
        <v>0</v>
      </c>
      <c r="I331" s="13">
        <v>0</v>
      </c>
      <c r="J331" s="13">
        <v>39998</v>
      </c>
      <c r="K331" s="13">
        <v>8457.2999999999993</v>
      </c>
      <c r="L331" s="8" t="s">
        <v>889</v>
      </c>
      <c r="M331" s="19" t="s">
        <v>457</v>
      </c>
      <c r="N331" s="9" t="s">
        <v>44</v>
      </c>
      <c r="O331" s="9" t="s">
        <v>23</v>
      </c>
      <c r="P331">
        <f>DATEVALUE(OnePlusSalesData[[#This Row],[order_date]])</f>
        <v>43319</v>
      </c>
      <c r="Q331" s="28">
        <f>DATEVALUE(OnePlusSalesData[[#This Row],[delivery_date]])</f>
        <v>43325</v>
      </c>
    </row>
    <row r="332" spans="1:17" ht="16" x14ac:dyDescent="0.45">
      <c r="A332" s="2" t="s">
        <v>890</v>
      </c>
      <c r="B332" s="2" t="s">
        <v>16</v>
      </c>
      <c r="C332" s="3" t="s">
        <v>152</v>
      </c>
      <c r="D332" s="3" t="s">
        <v>85</v>
      </c>
      <c r="E332" s="3" t="s">
        <v>86</v>
      </c>
      <c r="F332" s="4">
        <v>1999</v>
      </c>
      <c r="G332" s="5">
        <v>1</v>
      </c>
      <c r="H332" s="6">
        <v>0</v>
      </c>
      <c r="I332" s="7">
        <v>0</v>
      </c>
      <c r="J332" s="7">
        <v>1999</v>
      </c>
      <c r="K332" s="7">
        <v>412.6</v>
      </c>
      <c r="L332" s="2" t="s">
        <v>891</v>
      </c>
      <c r="M332" s="18" t="s">
        <v>892</v>
      </c>
      <c r="N332" s="3" t="s">
        <v>44</v>
      </c>
      <c r="O332" s="3" t="s">
        <v>23</v>
      </c>
      <c r="P332">
        <f>DATEVALUE(OnePlusSalesData[[#This Row],[order_date]])</f>
        <v>43902</v>
      </c>
      <c r="Q332" s="28">
        <f>DATEVALUE(OnePlusSalesData[[#This Row],[delivery_date]])</f>
        <v>43909</v>
      </c>
    </row>
    <row r="333" spans="1:17" ht="16" x14ac:dyDescent="0.45">
      <c r="A333" s="8" t="s">
        <v>893</v>
      </c>
      <c r="B333" s="8" t="s">
        <v>52</v>
      </c>
      <c r="C333" s="9" t="s">
        <v>192</v>
      </c>
      <c r="D333" s="9" t="s">
        <v>18</v>
      </c>
      <c r="E333" s="9" t="s">
        <v>124</v>
      </c>
      <c r="F333" s="10">
        <v>3990</v>
      </c>
      <c r="G333" s="11">
        <v>1</v>
      </c>
      <c r="H333" s="12">
        <v>0.05</v>
      </c>
      <c r="I333" s="13">
        <v>199.5</v>
      </c>
      <c r="J333" s="13">
        <v>3790.5</v>
      </c>
      <c r="K333" s="13">
        <v>644.16999999999996</v>
      </c>
      <c r="L333" s="8" t="s">
        <v>894</v>
      </c>
      <c r="M333" s="19" t="s">
        <v>895</v>
      </c>
      <c r="N333" s="9" t="s">
        <v>22</v>
      </c>
      <c r="O333" s="9" t="s">
        <v>23</v>
      </c>
      <c r="P333">
        <f>DATEVALUE(OnePlusSalesData[[#This Row],[order_date]])</f>
        <v>43358</v>
      </c>
      <c r="Q333" s="28">
        <f>DATEVALUE(OnePlusSalesData[[#This Row],[delivery_date]])</f>
        <v>43364</v>
      </c>
    </row>
    <row r="334" spans="1:17" ht="16" x14ac:dyDescent="0.45">
      <c r="A334" s="2" t="s">
        <v>896</v>
      </c>
      <c r="B334" s="2" t="s">
        <v>16</v>
      </c>
      <c r="C334" s="3" t="s">
        <v>17</v>
      </c>
      <c r="D334" s="3" t="s">
        <v>18</v>
      </c>
      <c r="E334" s="3" t="s">
        <v>19</v>
      </c>
      <c r="F334" s="4">
        <v>1990</v>
      </c>
      <c r="G334" s="5">
        <v>1</v>
      </c>
      <c r="H334" s="6">
        <v>0.12</v>
      </c>
      <c r="I334" s="7">
        <v>238.8</v>
      </c>
      <c r="J334" s="7">
        <v>1751.2</v>
      </c>
      <c r="K334" s="7">
        <v>246.57</v>
      </c>
      <c r="L334" s="2" t="s">
        <v>810</v>
      </c>
      <c r="M334" s="18" t="s">
        <v>422</v>
      </c>
      <c r="N334" s="3" t="s">
        <v>22</v>
      </c>
      <c r="O334" s="3" t="s">
        <v>23</v>
      </c>
      <c r="P334">
        <f>DATEVALUE(OnePlusSalesData[[#This Row],[order_date]])</f>
        <v>43968</v>
      </c>
      <c r="Q334" s="28">
        <f>DATEVALUE(OnePlusSalesData[[#This Row],[delivery_date]])</f>
        <v>43971</v>
      </c>
    </row>
    <row r="335" spans="1:17" ht="16" x14ac:dyDescent="0.45">
      <c r="A335" s="8" t="s">
        <v>897</v>
      </c>
      <c r="B335" s="8" t="s">
        <v>52</v>
      </c>
      <c r="C335" s="9" t="s">
        <v>358</v>
      </c>
      <c r="D335" s="9" t="s">
        <v>40</v>
      </c>
      <c r="E335" s="9" t="s">
        <v>406</v>
      </c>
      <c r="F335" s="10">
        <v>48999</v>
      </c>
      <c r="G335" s="11">
        <v>4</v>
      </c>
      <c r="H335" s="12">
        <v>0.05</v>
      </c>
      <c r="I335" s="13">
        <v>9799.7999999999993</v>
      </c>
      <c r="J335" s="13">
        <v>186196.2</v>
      </c>
      <c r="K335" s="13">
        <v>47062.61</v>
      </c>
      <c r="L335" s="8" t="s">
        <v>898</v>
      </c>
      <c r="M335" s="19" t="s">
        <v>260</v>
      </c>
      <c r="N335" s="9" t="s">
        <v>92</v>
      </c>
      <c r="O335" s="9" t="s">
        <v>23</v>
      </c>
      <c r="P335">
        <f>DATEVALUE(OnePlusSalesData[[#This Row],[order_date]])</f>
        <v>43146</v>
      </c>
      <c r="Q335" s="28">
        <f>DATEVALUE(OnePlusSalesData[[#This Row],[delivery_date]])</f>
        <v>43149</v>
      </c>
    </row>
    <row r="336" spans="1:17" ht="16" x14ac:dyDescent="0.45">
      <c r="A336" s="2" t="s">
        <v>899</v>
      </c>
      <c r="B336" s="2" t="s">
        <v>52</v>
      </c>
      <c r="C336" s="3" t="s">
        <v>53</v>
      </c>
      <c r="D336" s="3" t="s">
        <v>18</v>
      </c>
      <c r="E336" s="3" t="s">
        <v>179</v>
      </c>
      <c r="F336" s="4">
        <v>1290</v>
      </c>
      <c r="G336" s="5">
        <v>2</v>
      </c>
      <c r="H336" s="6">
        <v>0.05</v>
      </c>
      <c r="I336" s="7">
        <v>129</v>
      </c>
      <c r="J336" s="7">
        <v>2451</v>
      </c>
      <c r="K336" s="7">
        <v>604.91999999999996</v>
      </c>
      <c r="L336" s="2" t="s">
        <v>553</v>
      </c>
      <c r="M336" s="18" t="s">
        <v>900</v>
      </c>
      <c r="N336" s="3" t="s">
        <v>22</v>
      </c>
      <c r="O336" s="3" t="s">
        <v>63</v>
      </c>
      <c r="P336">
        <f>DATEVALUE(OnePlusSalesData[[#This Row],[order_date]])</f>
        <v>43467</v>
      </c>
      <c r="Q336" s="28">
        <f>DATEVALUE(OnePlusSalesData[[#This Row],[delivery_date]])</f>
        <v>43472</v>
      </c>
    </row>
    <row r="337" spans="1:17" ht="16" x14ac:dyDescent="0.45">
      <c r="A337" s="8" t="s">
        <v>901</v>
      </c>
      <c r="B337" s="8" t="s">
        <v>25</v>
      </c>
      <c r="C337" s="9" t="s">
        <v>120</v>
      </c>
      <c r="D337" s="9" t="s">
        <v>18</v>
      </c>
      <c r="E337" s="9" t="s">
        <v>102</v>
      </c>
      <c r="F337" s="10">
        <v>1490</v>
      </c>
      <c r="G337" s="11">
        <v>1</v>
      </c>
      <c r="H337" s="12">
        <v>0.08</v>
      </c>
      <c r="I337" s="13">
        <v>119.2</v>
      </c>
      <c r="J337" s="13">
        <v>1370.8</v>
      </c>
      <c r="K337" s="13">
        <v>307.2</v>
      </c>
      <c r="L337" s="8" t="s">
        <v>902</v>
      </c>
      <c r="M337" s="19" t="s">
        <v>359</v>
      </c>
      <c r="N337" s="9" t="s">
        <v>50</v>
      </c>
      <c r="O337" s="9" t="s">
        <v>23</v>
      </c>
      <c r="P337">
        <f>DATEVALUE(OnePlusSalesData[[#This Row],[order_date]])</f>
        <v>43139</v>
      </c>
      <c r="Q337" s="28">
        <f>DATEVALUE(OnePlusSalesData[[#This Row],[delivery_date]])</f>
        <v>43141</v>
      </c>
    </row>
    <row r="338" spans="1:17" ht="16" x14ac:dyDescent="0.45">
      <c r="A338" s="2" t="s">
        <v>903</v>
      </c>
      <c r="B338" s="2" t="s">
        <v>58</v>
      </c>
      <c r="C338" s="3" t="s">
        <v>257</v>
      </c>
      <c r="D338" s="3" t="s">
        <v>85</v>
      </c>
      <c r="E338" s="3" t="s">
        <v>258</v>
      </c>
      <c r="F338" s="4">
        <v>2999</v>
      </c>
      <c r="G338" s="5">
        <v>1</v>
      </c>
      <c r="H338" s="6">
        <v>0</v>
      </c>
      <c r="I338" s="7">
        <v>0</v>
      </c>
      <c r="J338" s="7">
        <v>2999</v>
      </c>
      <c r="K338" s="7">
        <v>442.36</v>
      </c>
      <c r="L338" s="2" t="s">
        <v>394</v>
      </c>
      <c r="M338" s="18" t="s">
        <v>904</v>
      </c>
      <c r="N338" s="3" t="s">
        <v>92</v>
      </c>
      <c r="O338" s="3" t="s">
        <v>63</v>
      </c>
      <c r="P338">
        <f>DATEVALUE(OnePlusSalesData[[#This Row],[order_date]])</f>
        <v>43161</v>
      </c>
      <c r="Q338" s="28">
        <f>DATEVALUE(OnePlusSalesData[[#This Row],[delivery_date]])</f>
        <v>43164</v>
      </c>
    </row>
    <row r="339" spans="1:17" ht="16" x14ac:dyDescent="0.45">
      <c r="A339" s="8" t="s">
        <v>905</v>
      </c>
      <c r="B339" s="8" t="s">
        <v>52</v>
      </c>
      <c r="C339" s="9" t="s">
        <v>53</v>
      </c>
      <c r="D339" s="9" t="s">
        <v>18</v>
      </c>
      <c r="E339" s="9" t="s">
        <v>124</v>
      </c>
      <c r="F339" s="10">
        <v>3990</v>
      </c>
      <c r="G339" s="11">
        <v>1</v>
      </c>
      <c r="H339" s="12">
        <v>0.1</v>
      </c>
      <c r="I339" s="13">
        <v>399</v>
      </c>
      <c r="J339" s="13">
        <v>3591</v>
      </c>
      <c r="K339" s="13">
        <v>667.9</v>
      </c>
      <c r="L339" s="8" t="s">
        <v>843</v>
      </c>
      <c r="M339" s="19" t="s">
        <v>781</v>
      </c>
      <c r="N339" s="9" t="s">
        <v>92</v>
      </c>
      <c r="O339" s="9" t="s">
        <v>31</v>
      </c>
      <c r="P339">
        <f>DATEVALUE(OnePlusSalesData[[#This Row],[order_date]])</f>
        <v>43419</v>
      </c>
      <c r="Q339" s="28">
        <f>DATEVALUE(OnePlusSalesData[[#This Row],[delivery_date]])</f>
        <v>43425</v>
      </c>
    </row>
    <row r="340" spans="1:17" ht="16" x14ac:dyDescent="0.45">
      <c r="A340" s="2" t="s">
        <v>906</v>
      </c>
      <c r="B340" s="2" t="s">
        <v>16</v>
      </c>
      <c r="C340" s="3" t="s">
        <v>39</v>
      </c>
      <c r="D340" s="3" t="s">
        <v>85</v>
      </c>
      <c r="E340" s="3" t="s">
        <v>258</v>
      </c>
      <c r="F340" s="4">
        <v>2999</v>
      </c>
      <c r="G340" s="5">
        <v>1</v>
      </c>
      <c r="H340" s="6">
        <v>0.1</v>
      </c>
      <c r="I340" s="7">
        <v>299.89999999999998</v>
      </c>
      <c r="J340" s="7">
        <v>2699.1</v>
      </c>
      <c r="K340" s="7">
        <v>516.34</v>
      </c>
      <c r="L340" s="2" t="s">
        <v>48</v>
      </c>
      <c r="M340" s="18" t="s">
        <v>177</v>
      </c>
      <c r="N340" s="3" t="s">
        <v>92</v>
      </c>
      <c r="O340" s="3" t="s">
        <v>23</v>
      </c>
      <c r="P340">
        <f>DATEVALUE(OnePlusSalesData[[#This Row],[order_date]])</f>
        <v>43609</v>
      </c>
      <c r="Q340" s="28">
        <f>DATEVALUE(OnePlusSalesData[[#This Row],[delivery_date]])</f>
        <v>43616</v>
      </c>
    </row>
    <row r="341" spans="1:17" ht="16" x14ac:dyDescent="0.45">
      <c r="A341" s="8" t="s">
        <v>907</v>
      </c>
      <c r="B341" s="8" t="s">
        <v>58</v>
      </c>
      <c r="C341" s="9" t="s">
        <v>257</v>
      </c>
      <c r="D341" s="9" t="s">
        <v>40</v>
      </c>
      <c r="E341" s="9" t="s">
        <v>41</v>
      </c>
      <c r="F341" s="10">
        <v>37999</v>
      </c>
      <c r="G341" s="11">
        <v>2</v>
      </c>
      <c r="H341" s="12">
        <v>0.1</v>
      </c>
      <c r="I341" s="13">
        <v>7599.8</v>
      </c>
      <c r="J341" s="13">
        <v>68398.2</v>
      </c>
      <c r="K341" s="13">
        <v>13304.92</v>
      </c>
      <c r="L341" s="8" t="s">
        <v>652</v>
      </c>
      <c r="M341" s="19" t="s">
        <v>908</v>
      </c>
      <c r="N341" s="9" t="s">
        <v>22</v>
      </c>
      <c r="O341" s="9" t="s">
        <v>63</v>
      </c>
      <c r="P341">
        <f>DATEVALUE(OnePlusSalesData[[#This Row],[order_date]])</f>
        <v>43545</v>
      </c>
      <c r="Q341" s="28">
        <f>DATEVALUE(OnePlusSalesData[[#This Row],[delivery_date]])</f>
        <v>43548</v>
      </c>
    </row>
    <row r="342" spans="1:17" ht="16" x14ac:dyDescent="0.45">
      <c r="A342" s="2" t="s">
        <v>909</v>
      </c>
      <c r="B342" s="2" t="s">
        <v>16</v>
      </c>
      <c r="C342" s="3" t="s">
        <v>152</v>
      </c>
      <c r="D342" s="3" t="s">
        <v>18</v>
      </c>
      <c r="E342" s="3" t="s">
        <v>179</v>
      </c>
      <c r="F342" s="4">
        <v>1290</v>
      </c>
      <c r="G342" s="5">
        <v>2</v>
      </c>
      <c r="H342" s="6">
        <v>0.12</v>
      </c>
      <c r="I342" s="7">
        <v>309.60000000000002</v>
      </c>
      <c r="J342" s="7">
        <v>2270.4</v>
      </c>
      <c r="K342" s="7">
        <v>335.29</v>
      </c>
      <c r="L342" s="2" t="s">
        <v>910</v>
      </c>
      <c r="M342" s="18" t="s">
        <v>911</v>
      </c>
      <c r="N342" s="3" t="s">
        <v>92</v>
      </c>
      <c r="O342" s="3" t="s">
        <v>63</v>
      </c>
      <c r="P342">
        <f>DATEVALUE(OnePlusSalesData[[#This Row],[order_date]])</f>
        <v>43163</v>
      </c>
      <c r="Q342" s="28">
        <f>DATEVALUE(OnePlusSalesData[[#This Row],[delivery_date]])</f>
        <v>43170</v>
      </c>
    </row>
    <row r="343" spans="1:17" ht="16" x14ac:dyDescent="0.45">
      <c r="A343" s="8" t="s">
        <v>912</v>
      </c>
      <c r="B343" s="8" t="s">
        <v>25</v>
      </c>
      <c r="C343" s="9" t="s">
        <v>65</v>
      </c>
      <c r="D343" s="9" t="s">
        <v>85</v>
      </c>
      <c r="E343" s="9" t="s">
        <v>228</v>
      </c>
      <c r="F343" s="10">
        <v>5990</v>
      </c>
      <c r="G343" s="11">
        <v>1</v>
      </c>
      <c r="H343" s="12">
        <v>0.12</v>
      </c>
      <c r="I343" s="13">
        <v>718.8</v>
      </c>
      <c r="J343" s="13">
        <v>5271.2</v>
      </c>
      <c r="K343" s="13">
        <v>804.63</v>
      </c>
      <c r="L343" s="8" t="s">
        <v>913</v>
      </c>
      <c r="M343" s="19" t="s">
        <v>914</v>
      </c>
      <c r="N343" s="9" t="s">
        <v>22</v>
      </c>
      <c r="O343" s="9" t="s">
        <v>63</v>
      </c>
      <c r="P343">
        <f>DATEVALUE(OnePlusSalesData[[#This Row],[order_date]])</f>
        <v>43923</v>
      </c>
      <c r="Q343" s="28">
        <f>DATEVALUE(OnePlusSalesData[[#This Row],[delivery_date]])</f>
        <v>43927</v>
      </c>
    </row>
    <row r="344" spans="1:17" ht="16" x14ac:dyDescent="0.45">
      <c r="A344" s="2" t="s">
        <v>915</v>
      </c>
      <c r="B344" s="2" t="s">
        <v>25</v>
      </c>
      <c r="C344" s="3" t="s">
        <v>65</v>
      </c>
      <c r="D344" s="3" t="s">
        <v>18</v>
      </c>
      <c r="E344" s="3" t="s">
        <v>124</v>
      </c>
      <c r="F344" s="4">
        <v>3990</v>
      </c>
      <c r="G344" s="5">
        <v>1</v>
      </c>
      <c r="H344" s="6">
        <v>0.1</v>
      </c>
      <c r="I344" s="7">
        <v>399</v>
      </c>
      <c r="J344" s="7">
        <v>3591</v>
      </c>
      <c r="K344" s="7">
        <v>908.9</v>
      </c>
      <c r="L344" s="2" t="s">
        <v>547</v>
      </c>
      <c r="M344" s="18" t="s">
        <v>578</v>
      </c>
      <c r="N344" s="3" t="s">
        <v>50</v>
      </c>
      <c r="O344" s="3" t="s">
        <v>63</v>
      </c>
      <c r="P344">
        <f>DATEVALUE(OnePlusSalesData[[#This Row],[order_date]])</f>
        <v>43342</v>
      </c>
      <c r="Q344" s="28">
        <f>DATEVALUE(OnePlusSalesData[[#This Row],[delivery_date]])</f>
        <v>43346</v>
      </c>
    </row>
    <row r="345" spans="1:17" ht="16" x14ac:dyDescent="0.45">
      <c r="A345" s="8" t="s">
        <v>916</v>
      </c>
      <c r="B345" s="8" t="s">
        <v>25</v>
      </c>
      <c r="C345" s="9" t="s">
        <v>65</v>
      </c>
      <c r="D345" s="9" t="s">
        <v>40</v>
      </c>
      <c r="E345" s="9" t="s">
        <v>98</v>
      </c>
      <c r="F345" s="10">
        <v>34999</v>
      </c>
      <c r="G345" s="11">
        <v>1</v>
      </c>
      <c r="H345" s="12">
        <v>0</v>
      </c>
      <c r="I345" s="13">
        <v>0</v>
      </c>
      <c r="J345" s="13">
        <v>34999</v>
      </c>
      <c r="K345" s="13">
        <v>7062.82</v>
      </c>
      <c r="L345" s="8" t="s">
        <v>29</v>
      </c>
      <c r="M345" s="19" t="s">
        <v>917</v>
      </c>
      <c r="N345" s="9" t="s">
        <v>22</v>
      </c>
      <c r="O345" s="9" t="s">
        <v>45</v>
      </c>
      <c r="P345">
        <f>DATEVALUE(OnePlusSalesData[[#This Row],[order_date]])</f>
        <v>43377</v>
      </c>
      <c r="Q345" s="28">
        <f>DATEVALUE(OnePlusSalesData[[#This Row],[delivery_date]])</f>
        <v>43383</v>
      </c>
    </row>
    <row r="346" spans="1:17" ht="16" x14ac:dyDescent="0.45">
      <c r="A346" s="2" t="s">
        <v>918</v>
      </c>
      <c r="B346" s="2" t="s">
        <v>52</v>
      </c>
      <c r="C346" s="3" t="s">
        <v>358</v>
      </c>
      <c r="D346" s="3" t="s">
        <v>40</v>
      </c>
      <c r="E346" s="3" t="s">
        <v>406</v>
      </c>
      <c r="F346" s="4">
        <v>48999</v>
      </c>
      <c r="G346" s="5">
        <v>2</v>
      </c>
      <c r="H346" s="6">
        <v>0.05</v>
      </c>
      <c r="I346" s="7">
        <v>4899.8999999999996</v>
      </c>
      <c r="J346" s="7">
        <v>93098.1</v>
      </c>
      <c r="K346" s="7">
        <v>16066.86</v>
      </c>
      <c r="L346" s="2" t="s">
        <v>659</v>
      </c>
      <c r="M346" s="18" t="s">
        <v>310</v>
      </c>
      <c r="N346" s="3" t="s">
        <v>22</v>
      </c>
      <c r="O346" s="3" t="s">
        <v>96</v>
      </c>
      <c r="P346">
        <f>DATEVALUE(OnePlusSalesData[[#This Row],[order_date]])</f>
        <v>43948</v>
      </c>
      <c r="Q346" s="28">
        <f>DATEVALUE(OnePlusSalesData[[#This Row],[delivery_date]])</f>
        <v>43950</v>
      </c>
    </row>
    <row r="347" spans="1:17" ht="16" x14ac:dyDescent="0.45">
      <c r="A347" s="8" t="s">
        <v>919</v>
      </c>
      <c r="B347" s="8" t="s">
        <v>25</v>
      </c>
      <c r="C347" s="9" t="s">
        <v>65</v>
      </c>
      <c r="D347" s="9" t="s">
        <v>40</v>
      </c>
      <c r="E347" s="9" t="s">
        <v>73</v>
      </c>
      <c r="F347" s="10">
        <v>32999</v>
      </c>
      <c r="G347" s="11">
        <v>1</v>
      </c>
      <c r="H347" s="12">
        <v>0.05</v>
      </c>
      <c r="I347" s="13">
        <v>1649.95</v>
      </c>
      <c r="J347" s="13">
        <v>31349.05</v>
      </c>
      <c r="K347" s="13">
        <v>7377.63</v>
      </c>
      <c r="L347" s="8" t="s">
        <v>214</v>
      </c>
      <c r="M347" s="19" t="s">
        <v>920</v>
      </c>
      <c r="N347" s="9" t="s">
        <v>22</v>
      </c>
      <c r="O347" s="9" t="s">
        <v>31</v>
      </c>
      <c r="P347">
        <f>DATEVALUE(OnePlusSalesData[[#This Row],[order_date]])</f>
        <v>43187</v>
      </c>
      <c r="Q347" s="28">
        <f>DATEVALUE(OnePlusSalesData[[#This Row],[delivery_date]])</f>
        <v>43189</v>
      </c>
    </row>
    <row r="348" spans="1:17" ht="16" x14ac:dyDescent="0.45">
      <c r="A348" s="2" t="s">
        <v>921</v>
      </c>
      <c r="B348" s="2" t="s">
        <v>16</v>
      </c>
      <c r="C348" s="3" t="s">
        <v>33</v>
      </c>
      <c r="D348" s="3" t="s">
        <v>18</v>
      </c>
      <c r="E348" s="3" t="s">
        <v>19</v>
      </c>
      <c r="F348" s="4">
        <v>1990</v>
      </c>
      <c r="G348" s="5">
        <v>2</v>
      </c>
      <c r="H348" s="6">
        <v>0</v>
      </c>
      <c r="I348" s="7">
        <v>0</v>
      </c>
      <c r="J348" s="7">
        <v>3980</v>
      </c>
      <c r="K348" s="7">
        <v>888.63</v>
      </c>
      <c r="L348" s="2" t="s">
        <v>922</v>
      </c>
      <c r="M348" s="18" t="s">
        <v>923</v>
      </c>
      <c r="N348" s="3" t="s">
        <v>22</v>
      </c>
      <c r="O348" s="3" t="s">
        <v>23</v>
      </c>
      <c r="P348">
        <f>DATEVALUE(OnePlusSalesData[[#This Row],[order_date]])</f>
        <v>43595</v>
      </c>
      <c r="Q348" s="28">
        <f>DATEVALUE(OnePlusSalesData[[#This Row],[delivery_date]])</f>
        <v>43601</v>
      </c>
    </row>
    <row r="349" spans="1:17" ht="16" x14ac:dyDescent="0.45">
      <c r="A349" s="8" t="s">
        <v>924</v>
      </c>
      <c r="B349" s="8" t="s">
        <v>52</v>
      </c>
      <c r="C349" s="9" t="s">
        <v>106</v>
      </c>
      <c r="D349" s="9" t="s">
        <v>18</v>
      </c>
      <c r="E349" s="9" t="s">
        <v>179</v>
      </c>
      <c r="F349" s="10">
        <v>1290</v>
      </c>
      <c r="G349" s="11">
        <v>1</v>
      </c>
      <c r="H349" s="12">
        <v>0.05</v>
      </c>
      <c r="I349" s="13">
        <v>64.5</v>
      </c>
      <c r="J349" s="13">
        <v>1225.5</v>
      </c>
      <c r="K349" s="13">
        <v>222.34</v>
      </c>
      <c r="L349" s="8" t="s">
        <v>641</v>
      </c>
      <c r="M349" s="19" t="s">
        <v>925</v>
      </c>
      <c r="N349" s="9" t="s">
        <v>92</v>
      </c>
      <c r="O349" s="9" t="s">
        <v>146</v>
      </c>
      <c r="P349">
        <f>DATEVALUE(OnePlusSalesData[[#This Row],[order_date]])</f>
        <v>43738</v>
      </c>
      <c r="Q349" s="28">
        <f>DATEVALUE(OnePlusSalesData[[#This Row],[delivery_date]])</f>
        <v>43742</v>
      </c>
    </row>
    <row r="350" spans="1:17" ht="16" x14ac:dyDescent="0.45">
      <c r="A350" s="2" t="s">
        <v>926</v>
      </c>
      <c r="B350" s="2" t="s">
        <v>25</v>
      </c>
      <c r="C350" s="3" t="s">
        <v>120</v>
      </c>
      <c r="D350" s="3" t="s">
        <v>27</v>
      </c>
      <c r="E350" s="3" t="s">
        <v>176</v>
      </c>
      <c r="F350" s="4">
        <v>69900</v>
      </c>
      <c r="G350" s="5">
        <v>1</v>
      </c>
      <c r="H350" s="6">
        <v>0.05</v>
      </c>
      <c r="I350" s="7">
        <v>3495</v>
      </c>
      <c r="J350" s="7">
        <v>66405</v>
      </c>
      <c r="K350" s="7">
        <v>14139.64</v>
      </c>
      <c r="L350" s="2" t="s">
        <v>71</v>
      </c>
      <c r="M350" s="18" t="s">
        <v>927</v>
      </c>
      <c r="N350" s="3" t="s">
        <v>22</v>
      </c>
      <c r="O350" s="3" t="s">
        <v>23</v>
      </c>
      <c r="P350">
        <f>DATEVALUE(OnePlusSalesData[[#This Row],[order_date]])</f>
        <v>43306</v>
      </c>
      <c r="Q350" s="28">
        <f>DATEVALUE(OnePlusSalesData[[#This Row],[delivery_date]])</f>
        <v>43313</v>
      </c>
    </row>
    <row r="351" spans="1:17" ht="16" x14ac:dyDescent="0.45">
      <c r="A351" s="8" t="s">
        <v>928</v>
      </c>
      <c r="B351" s="8" t="s">
        <v>52</v>
      </c>
      <c r="C351" s="9" t="s">
        <v>69</v>
      </c>
      <c r="D351" s="9" t="s">
        <v>34</v>
      </c>
      <c r="E351" s="9" t="s">
        <v>77</v>
      </c>
      <c r="F351" s="10">
        <v>24999</v>
      </c>
      <c r="G351" s="11">
        <v>1</v>
      </c>
      <c r="H351" s="12">
        <v>0.05</v>
      </c>
      <c r="I351" s="13">
        <v>1249.95</v>
      </c>
      <c r="J351" s="13">
        <v>23749.05</v>
      </c>
      <c r="K351" s="13">
        <v>4866.38</v>
      </c>
      <c r="L351" s="8" t="s">
        <v>929</v>
      </c>
      <c r="M351" s="19" t="s">
        <v>930</v>
      </c>
      <c r="N351" s="9" t="s">
        <v>22</v>
      </c>
      <c r="O351" s="9" t="s">
        <v>31</v>
      </c>
      <c r="P351">
        <f>DATEVALUE(OnePlusSalesData[[#This Row],[order_date]])</f>
        <v>43430</v>
      </c>
      <c r="Q351" s="28">
        <f>DATEVALUE(OnePlusSalesData[[#This Row],[delivery_date]])</f>
        <v>43433</v>
      </c>
    </row>
    <row r="352" spans="1:17" ht="16" x14ac:dyDescent="0.45">
      <c r="A352" s="2" t="s">
        <v>931</v>
      </c>
      <c r="B352" s="2" t="s">
        <v>16</v>
      </c>
      <c r="C352" s="3" t="s">
        <v>33</v>
      </c>
      <c r="D352" s="3" t="s">
        <v>40</v>
      </c>
      <c r="E352" s="3" t="s">
        <v>47</v>
      </c>
      <c r="F352" s="4">
        <v>37999</v>
      </c>
      <c r="G352" s="5">
        <v>1</v>
      </c>
      <c r="H352" s="6">
        <v>0.12</v>
      </c>
      <c r="I352" s="7">
        <v>4559.88</v>
      </c>
      <c r="J352" s="7">
        <v>33439.120000000003</v>
      </c>
      <c r="K352" s="7">
        <v>7476.83</v>
      </c>
      <c r="L352" s="2" t="s">
        <v>588</v>
      </c>
      <c r="M352" s="18" t="s">
        <v>932</v>
      </c>
      <c r="N352" s="3" t="s">
        <v>22</v>
      </c>
      <c r="O352" s="3" t="s">
        <v>23</v>
      </c>
      <c r="P352">
        <f>DATEVALUE(OnePlusSalesData[[#This Row],[order_date]])</f>
        <v>43345</v>
      </c>
      <c r="Q352" s="28">
        <f>DATEVALUE(OnePlusSalesData[[#This Row],[delivery_date]])</f>
        <v>43351</v>
      </c>
    </row>
    <row r="353" spans="1:17" ht="16" x14ac:dyDescent="0.45">
      <c r="A353" s="8" t="s">
        <v>933</v>
      </c>
      <c r="B353" s="8" t="s">
        <v>52</v>
      </c>
      <c r="C353" s="9" t="s">
        <v>358</v>
      </c>
      <c r="D353" s="9" t="s">
        <v>40</v>
      </c>
      <c r="E353" s="9" t="s">
        <v>41</v>
      </c>
      <c r="F353" s="10">
        <v>37999</v>
      </c>
      <c r="G353" s="11">
        <v>2</v>
      </c>
      <c r="H353" s="12">
        <v>0.08</v>
      </c>
      <c r="I353" s="13">
        <v>6079.84</v>
      </c>
      <c r="J353" s="13">
        <v>69918.16</v>
      </c>
      <c r="K353" s="13">
        <v>16274.04</v>
      </c>
      <c r="L353" s="8" t="s">
        <v>934</v>
      </c>
      <c r="M353" s="19" t="s">
        <v>913</v>
      </c>
      <c r="N353" s="9" t="s">
        <v>22</v>
      </c>
      <c r="O353" s="9" t="s">
        <v>63</v>
      </c>
      <c r="P353">
        <f>DATEVALUE(OnePlusSalesData[[#This Row],[order_date]])</f>
        <v>43921</v>
      </c>
      <c r="Q353" s="28">
        <f>DATEVALUE(OnePlusSalesData[[#This Row],[delivery_date]])</f>
        <v>43923</v>
      </c>
    </row>
    <row r="354" spans="1:17" ht="16" x14ac:dyDescent="0.45">
      <c r="A354" s="2" t="s">
        <v>935</v>
      </c>
      <c r="B354" s="2" t="s">
        <v>25</v>
      </c>
      <c r="C354" s="3" t="s">
        <v>65</v>
      </c>
      <c r="D354" s="3" t="s">
        <v>40</v>
      </c>
      <c r="E354" s="3" t="s">
        <v>73</v>
      </c>
      <c r="F354" s="4">
        <v>32999</v>
      </c>
      <c r="G354" s="5">
        <v>1</v>
      </c>
      <c r="H354" s="6">
        <v>0.08</v>
      </c>
      <c r="I354" s="7">
        <v>2639.92</v>
      </c>
      <c r="J354" s="7">
        <v>30359.08</v>
      </c>
      <c r="K354" s="7">
        <v>6759.02</v>
      </c>
      <c r="L354" s="2" t="s">
        <v>936</v>
      </c>
      <c r="M354" s="18" t="s">
        <v>937</v>
      </c>
      <c r="N354" s="3" t="s">
        <v>92</v>
      </c>
      <c r="O354" s="3" t="s">
        <v>31</v>
      </c>
      <c r="P354">
        <f>DATEVALUE(OnePlusSalesData[[#This Row],[order_date]])</f>
        <v>43125</v>
      </c>
      <c r="Q354" s="28">
        <f>DATEVALUE(OnePlusSalesData[[#This Row],[delivery_date]])</f>
        <v>43132</v>
      </c>
    </row>
    <row r="355" spans="1:17" ht="16" x14ac:dyDescent="0.45">
      <c r="A355" s="8" t="s">
        <v>938</v>
      </c>
      <c r="B355" s="8" t="s">
        <v>52</v>
      </c>
      <c r="C355" s="9" t="s">
        <v>192</v>
      </c>
      <c r="D355" s="9" t="s">
        <v>18</v>
      </c>
      <c r="E355" s="9" t="s">
        <v>124</v>
      </c>
      <c r="F355" s="10">
        <v>3990</v>
      </c>
      <c r="G355" s="11">
        <v>1</v>
      </c>
      <c r="H355" s="12">
        <v>0</v>
      </c>
      <c r="I355" s="13">
        <v>0</v>
      </c>
      <c r="J355" s="13">
        <v>3990</v>
      </c>
      <c r="K355" s="13">
        <v>695.3</v>
      </c>
      <c r="L355" s="8" t="s">
        <v>840</v>
      </c>
      <c r="M355" s="19" t="s">
        <v>939</v>
      </c>
      <c r="N355" s="9" t="s">
        <v>22</v>
      </c>
      <c r="O355" s="9" t="s">
        <v>146</v>
      </c>
      <c r="P355">
        <f>DATEVALUE(OnePlusSalesData[[#This Row],[order_date]])</f>
        <v>43818</v>
      </c>
      <c r="Q355" s="28">
        <f>DATEVALUE(OnePlusSalesData[[#This Row],[delivery_date]])</f>
        <v>43824</v>
      </c>
    </row>
    <row r="356" spans="1:17" ht="16" x14ac:dyDescent="0.45">
      <c r="A356" s="2" t="s">
        <v>940</v>
      </c>
      <c r="B356" s="2" t="s">
        <v>58</v>
      </c>
      <c r="C356" s="3" t="s">
        <v>221</v>
      </c>
      <c r="D356" s="3" t="s">
        <v>85</v>
      </c>
      <c r="E356" s="3" t="s">
        <v>228</v>
      </c>
      <c r="F356" s="4">
        <v>5990</v>
      </c>
      <c r="G356" s="5">
        <v>1</v>
      </c>
      <c r="H356" s="6">
        <v>0.05</v>
      </c>
      <c r="I356" s="7">
        <v>299.5</v>
      </c>
      <c r="J356" s="7">
        <v>5690.5</v>
      </c>
      <c r="K356" s="7">
        <v>1345.37</v>
      </c>
      <c r="L356" s="2" t="s">
        <v>941</v>
      </c>
      <c r="M356" s="18" t="s">
        <v>708</v>
      </c>
      <c r="N356" s="3" t="s">
        <v>22</v>
      </c>
      <c r="O356" s="3" t="s">
        <v>146</v>
      </c>
      <c r="P356">
        <f>DATEVALUE(OnePlusSalesData[[#This Row],[order_date]])</f>
        <v>43535</v>
      </c>
      <c r="Q356" s="28">
        <f>DATEVALUE(OnePlusSalesData[[#This Row],[delivery_date]])</f>
        <v>43538</v>
      </c>
    </row>
    <row r="357" spans="1:17" ht="16" x14ac:dyDescent="0.45">
      <c r="A357" s="8" t="s">
        <v>942</v>
      </c>
      <c r="B357" s="8" t="s">
        <v>16</v>
      </c>
      <c r="C357" s="9" t="s">
        <v>33</v>
      </c>
      <c r="D357" s="9" t="s">
        <v>40</v>
      </c>
      <c r="E357" s="9" t="s">
        <v>60</v>
      </c>
      <c r="F357" s="10">
        <v>54999</v>
      </c>
      <c r="G357" s="11">
        <v>4</v>
      </c>
      <c r="H357" s="12">
        <v>0</v>
      </c>
      <c r="I357" s="13">
        <v>0</v>
      </c>
      <c r="J357" s="13">
        <v>219996</v>
      </c>
      <c r="K357" s="13">
        <v>47914.720000000001</v>
      </c>
      <c r="L357" s="8" t="s">
        <v>234</v>
      </c>
      <c r="M357" s="19" t="s">
        <v>381</v>
      </c>
      <c r="N357" s="9" t="s">
        <v>22</v>
      </c>
      <c r="O357" s="9" t="s">
        <v>45</v>
      </c>
      <c r="P357">
        <f>DATEVALUE(OnePlusSalesData[[#This Row],[order_date]])</f>
        <v>43785</v>
      </c>
      <c r="Q357" s="28">
        <f>DATEVALUE(OnePlusSalesData[[#This Row],[delivery_date]])</f>
        <v>43788</v>
      </c>
    </row>
    <row r="358" spans="1:17" ht="16" x14ac:dyDescent="0.45">
      <c r="A358" s="2" t="s">
        <v>943</v>
      </c>
      <c r="B358" s="2" t="s">
        <v>16</v>
      </c>
      <c r="C358" s="3" t="s">
        <v>17</v>
      </c>
      <c r="D358" s="3" t="s">
        <v>34</v>
      </c>
      <c r="E358" s="3" t="s">
        <v>35</v>
      </c>
      <c r="F358" s="4">
        <v>19999</v>
      </c>
      <c r="G358" s="5">
        <v>1</v>
      </c>
      <c r="H358" s="6">
        <v>0</v>
      </c>
      <c r="I358" s="7">
        <v>0</v>
      </c>
      <c r="J358" s="7">
        <v>19999</v>
      </c>
      <c r="K358" s="7">
        <v>3641.07</v>
      </c>
      <c r="L358" s="2" t="s">
        <v>944</v>
      </c>
      <c r="M358" s="18" t="s">
        <v>945</v>
      </c>
      <c r="N358" s="3" t="s">
        <v>92</v>
      </c>
      <c r="O358" s="3" t="s">
        <v>31</v>
      </c>
      <c r="P358">
        <f>DATEVALUE(OnePlusSalesData[[#This Row],[order_date]])</f>
        <v>43140</v>
      </c>
      <c r="Q358" s="28">
        <f>DATEVALUE(OnePlusSalesData[[#This Row],[delivery_date]])</f>
        <v>43144</v>
      </c>
    </row>
    <row r="359" spans="1:17" ht="16" x14ac:dyDescent="0.45">
      <c r="A359" s="8" t="s">
        <v>946</v>
      </c>
      <c r="B359" s="8" t="s">
        <v>16</v>
      </c>
      <c r="C359" s="9" t="s">
        <v>39</v>
      </c>
      <c r="D359" s="9" t="s">
        <v>85</v>
      </c>
      <c r="E359" s="9" t="s">
        <v>228</v>
      </c>
      <c r="F359" s="10">
        <v>5990</v>
      </c>
      <c r="G359" s="11">
        <v>4</v>
      </c>
      <c r="H359" s="12">
        <v>0.05</v>
      </c>
      <c r="I359" s="13">
        <v>1198</v>
      </c>
      <c r="J359" s="13">
        <v>22762</v>
      </c>
      <c r="K359" s="13">
        <v>5457.51</v>
      </c>
      <c r="L359" s="8" t="s">
        <v>761</v>
      </c>
      <c r="M359" s="19" t="s">
        <v>525</v>
      </c>
      <c r="N359" s="9" t="s">
        <v>22</v>
      </c>
      <c r="O359" s="9" t="s">
        <v>45</v>
      </c>
      <c r="P359">
        <f>DATEVALUE(OnePlusSalesData[[#This Row],[order_date]])</f>
        <v>43661</v>
      </c>
      <c r="Q359" s="28">
        <f>DATEVALUE(OnePlusSalesData[[#This Row],[delivery_date]])</f>
        <v>43663</v>
      </c>
    </row>
    <row r="360" spans="1:17" ht="16" x14ac:dyDescent="0.45">
      <c r="A360" s="2" t="s">
        <v>947</v>
      </c>
      <c r="B360" s="2" t="s">
        <v>52</v>
      </c>
      <c r="C360" s="3" t="s">
        <v>192</v>
      </c>
      <c r="D360" s="3" t="s">
        <v>40</v>
      </c>
      <c r="E360" s="3" t="s">
        <v>406</v>
      </c>
      <c r="F360" s="4">
        <v>48999</v>
      </c>
      <c r="G360" s="5">
        <v>2</v>
      </c>
      <c r="H360" s="6">
        <v>0.08</v>
      </c>
      <c r="I360" s="7">
        <v>7839.84</v>
      </c>
      <c r="J360" s="7">
        <v>90158.16</v>
      </c>
      <c r="K360" s="7">
        <v>21082.15</v>
      </c>
      <c r="L360" s="2" t="s">
        <v>948</v>
      </c>
      <c r="M360" s="18" t="s">
        <v>949</v>
      </c>
      <c r="N360" s="3" t="s">
        <v>92</v>
      </c>
      <c r="O360" s="3" t="s">
        <v>23</v>
      </c>
      <c r="P360">
        <f>DATEVALUE(OnePlusSalesData[[#This Row],[order_date]])</f>
        <v>43907</v>
      </c>
      <c r="Q360" s="28">
        <f>DATEVALUE(OnePlusSalesData[[#This Row],[delivery_date]])</f>
        <v>43910</v>
      </c>
    </row>
    <row r="361" spans="1:17" ht="16" x14ac:dyDescent="0.45">
      <c r="A361" s="8" t="s">
        <v>950</v>
      </c>
      <c r="B361" s="8" t="s">
        <v>25</v>
      </c>
      <c r="C361" s="9" t="s">
        <v>120</v>
      </c>
      <c r="D361" s="9" t="s">
        <v>40</v>
      </c>
      <c r="E361" s="9" t="s">
        <v>148</v>
      </c>
      <c r="F361" s="10">
        <v>41999</v>
      </c>
      <c r="G361" s="11">
        <v>2</v>
      </c>
      <c r="H361" s="12">
        <v>0.05</v>
      </c>
      <c r="I361" s="13">
        <v>4199.8999999999996</v>
      </c>
      <c r="J361" s="13">
        <v>79798.100000000006</v>
      </c>
      <c r="K361" s="13">
        <v>14913.52</v>
      </c>
      <c r="L361" s="8" t="s">
        <v>427</v>
      </c>
      <c r="M361" s="19" t="s">
        <v>56</v>
      </c>
      <c r="N361" s="9" t="s">
        <v>22</v>
      </c>
      <c r="O361" s="9" t="s">
        <v>63</v>
      </c>
      <c r="P361">
        <f>DATEVALUE(OnePlusSalesData[[#This Row],[order_date]])</f>
        <v>43501</v>
      </c>
      <c r="Q361" s="28">
        <f>DATEVALUE(OnePlusSalesData[[#This Row],[delivery_date]])</f>
        <v>43505</v>
      </c>
    </row>
    <row r="362" spans="1:17" ht="16" x14ac:dyDescent="0.45">
      <c r="A362" s="2" t="s">
        <v>951</v>
      </c>
      <c r="B362" s="2" t="s">
        <v>58</v>
      </c>
      <c r="C362" s="3" t="s">
        <v>81</v>
      </c>
      <c r="D362" s="3" t="s">
        <v>34</v>
      </c>
      <c r="E362" s="3" t="s">
        <v>35</v>
      </c>
      <c r="F362" s="4">
        <v>19999</v>
      </c>
      <c r="G362" s="5">
        <v>1</v>
      </c>
      <c r="H362" s="6">
        <v>0.05</v>
      </c>
      <c r="I362" s="7">
        <v>999.95</v>
      </c>
      <c r="J362" s="7">
        <v>18999.05</v>
      </c>
      <c r="K362" s="7">
        <v>4284.92</v>
      </c>
      <c r="L362" s="2" t="s">
        <v>952</v>
      </c>
      <c r="M362" s="18" t="s">
        <v>953</v>
      </c>
      <c r="N362" s="3" t="s">
        <v>22</v>
      </c>
      <c r="O362" s="3" t="s">
        <v>63</v>
      </c>
      <c r="P362">
        <f>DATEVALUE(OnePlusSalesData[[#This Row],[order_date]])</f>
        <v>43628</v>
      </c>
      <c r="Q362" s="28">
        <f>DATEVALUE(OnePlusSalesData[[#This Row],[delivery_date]])</f>
        <v>43632</v>
      </c>
    </row>
    <row r="363" spans="1:17" ht="16" x14ac:dyDescent="0.45">
      <c r="A363" s="8" t="s">
        <v>954</v>
      </c>
      <c r="B363" s="8" t="s">
        <v>58</v>
      </c>
      <c r="C363" s="9" t="s">
        <v>59</v>
      </c>
      <c r="D363" s="9" t="s">
        <v>34</v>
      </c>
      <c r="E363" s="9" t="s">
        <v>35</v>
      </c>
      <c r="F363" s="10">
        <v>19999</v>
      </c>
      <c r="G363" s="11">
        <v>1</v>
      </c>
      <c r="H363" s="12">
        <v>0</v>
      </c>
      <c r="I363" s="13">
        <v>0</v>
      </c>
      <c r="J363" s="13">
        <v>19999</v>
      </c>
      <c r="K363" s="13">
        <v>2984.58</v>
      </c>
      <c r="L363" s="8" t="s">
        <v>347</v>
      </c>
      <c r="M363" s="19" t="s">
        <v>955</v>
      </c>
      <c r="N363" s="9" t="s">
        <v>22</v>
      </c>
      <c r="O363" s="9" t="s">
        <v>45</v>
      </c>
      <c r="P363">
        <f>DATEVALUE(OnePlusSalesData[[#This Row],[order_date]])</f>
        <v>43614</v>
      </c>
      <c r="Q363" s="28">
        <f>DATEVALUE(OnePlusSalesData[[#This Row],[delivery_date]])</f>
        <v>43617</v>
      </c>
    </row>
    <row r="364" spans="1:17" ht="16" x14ac:dyDescent="0.45">
      <c r="A364" s="2" t="s">
        <v>956</v>
      </c>
      <c r="B364" s="2" t="s">
        <v>52</v>
      </c>
      <c r="C364" s="3" t="s">
        <v>192</v>
      </c>
      <c r="D364" s="3" t="s">
        <v>40</v>
      </c>
      <c r="E364" s="3" t="s">
        <v>54</v>
      </c>
      <c r="F364" s="4">
        <v>53999</v>
      </c>
      <c r="G364" s="5">
        <v>1</v>
      </c>
      <c r="H364" s="6">
        <v>0.08</v>
      </c>
      <c r="I364" s="7">
        <v>4319.92</v>
      </c>
      <c r="J364" s="7">
        <v>49679.08</v>
      </c>
      <c r="K364" s="7">
        <v>11415.65</v>
      </c>
      <c r="L364" s="2" t="s">
        <v>394</v>
      </c>
      <c r="M364" s="18" t="s">
        <v>910</v>
      </c>
      <c r="N364" s="3" t="s">
        <v>22</v>
      </c>
      <c r="O364" s="3" t="s">
        <v>45</v>
      </c>
      <c r="P364">
        <f>DATEVALUE(OnePlusSalesData[[#This Row],[order_date]])</f>
        <v>43161</v>
      </c>
      <c r="Q364" s="28">
        <f>DATEVALUE(OnePlusSalesData[[#This Row],[delivery_date]])</f>
        <v>43163</v>
      </c>
    </row>
    <row r="365" spans="1:17" ht="16" x14ac:dyDescent="0.45">
      <c r="A365" s="8" t="s">
        <v>957</v>
      </c>
      <c r="B365" s="8" t="s">
        <v>16</v>
      </c>
      <c r="C365" s="9" t="s">
        <v>17</v>
      </c>
      <c r="D365" s="9" t="s">
        <v>40</v>
      </c>
      <c r="E365" s="9" t="s">
        <v>406</v>
      </c>
      <c r="F365" s="10">
        <v>48999</v>
      </c>
      <c r="G365" s="11">
        <v>3</v>
      </c>
      <c r="H365" s="12">
        <v>0</v>
      </c>
      <c r="I365" s="13">
        <v>0</v>
      </c>
      <c r="J365" s="13">
        <v>146997</v>
      </c>
      <c r="K365" s="13">
        <v>34281.879999999997</v>
      </c>
      <c r="L365" s="8" t="s">
        <v>42</v>
      </c>
      <c r="M365" s="19" t="s">
        <v>958</v>
      </c>
      <c r="N365" s="9" t="s">
        <v>92</v>
      </c>
      <c r="O365" s="9" t="s">
        <v>63</v>
      </c>
      <c r="P365">
        <f>DATEVALUE(OnePlusSalesData[[#This Row],[order_date]])</f>
        <v>43488</v>
      </c>
      <c r="Q365" s="28">
        <f>DATEVALUE(OnePlusSalesData[[#This Row],[delivery_date]])</f>
        <v>43495</v>
      </c>
    </row>
    <row r="366" spans="1:17" ht="16" x14ac:dyDescent="0.45">
      <c r="A366" s="2" t="s">
        <v>959</v>
      </c>
      <c r="B366" s="2" t="s">
        <v>52</v>
      </c>
      <c r="C366" s="3" t="s">
        <v>192</v>
      </c>
      <c r="D366" s="3" t="s">
        <v>40</v>
      </c>
      <c r="E366" s="3" t="s">
        <v>60</v>
      </c>
      <c r="F366" s="4">
        <v>54999</v>
      </c>
      <c r="G366" s="5">
        <v>1</v>
      </c>
      <c r="H366" s="6">
        <v>0.05</v>
      </c>
      <c r="I366" s="7">
        <v>2749.95</v>
      </c>
      <c r="J366" s="7">
        <v>52249.05</v>
      </c>
      <c r="K366" s="7">
        <v>7526.01</v>
      </c>
      <c r="L366" s="2" t="s">
        <v>56</v>
      </c>
      <c r="M366" s="18" t="s">
        <v>960</v>
      </c>
      <c r="N366" s="3" t="s">
        <v>50</v>
      </c>
      <c r="O366" s="3" t="s">
        <v>63</v>
      </c>
      <c r="P366">
        <f>DATEVALUE(OnePlusSalesData[[#This Row],[order_date]])</f>
        <v>43505</v>
      </c>
      <c r="Q366" s="28">
        <f>DATEVALUE(OnePlusSalesData[[#This Row],[delivery_date]])</f>
        <v>43509</v>
      </c>
    </row>
    <row r="367" spans="1:17" ht="16" x14ac:dyDescent="0.45">
      <c r="A367" s="8" t="s">
        <v>961</v>
      </c>
      <c r="B367" s="8" t="s">
        <v>58</v>
      </c>
      <c r="C367" s="9" t="s">
        <v>257</v>
      </c>
      <c r="D367" s="9" t="s">
        <v>85</v>
      </c>
      <c r="E367" s="9" t="s">
        <v>258</v>
      </c>
      <c r="F367" s="10">
        <v>2999</v>
      </c>
      <c r="G367" s="11">
        <v>3</v>
      </c>
      <c r="H367" s="12">
        <v>0.05</v>
      </c>
      <c r="I367" s="13">
        <v>449.85</v>
      </c>
      <c r="J367" s="13">
        <v>8547.15</v>
      </c>
      <c r="K367" s="13">
        <v>2120.6799999999998</v>
      </c>
      <c r="L367" s="8" t="s">
        <v>300</v>
      </c>
      <c r="M367" s="19" t="s">
        <v>962</v>
      </c>
      <c r="N367" s="9" t="s">
        <v>50</v>
      </c>
      <c r="O367" s="9" t="s">
        <v>45</v>
      </c>
      <c r="P367">
        <f>DATEVALUE(OnePlusSalesData[[#This Row],[order_date]])</f>
        <v>43204</v>
      </c>
      <c r="Q367" s="28">
        <f>DATEVALUE(OnePlusSalesData[[#This Row],[delivery_date]])</f>
        <v>43210</v>
      </c>
    </row>
    <row r="368" spans="1:17" ht="16" x14ac:dyDescent="0.45">
      <c r="A368" s="2" t="s">
        <v>963</v>
      </c>
      <c r="B368" s="2" t="s">
        <v>25</v>
      </c>
      <c r="C368" s="3" t="s">
        <v>65</v>
      </c>
      <c r="D368" s="3" t="s">
        <v>40</v>
      </c>
      <c r="E368" s="3" t="s">
        <v>54</v>
      </c>
      <c r="F368" s="4">
        <v>53999</v>
      </c>
      <c r="G368" s="5">
        <v>1</v>
      </c>
      <c r="H368" s="6">
        <v>0.15</v>
      </c>
      <c r="I368" s="7">
        <v>8099.85</v>
      </c>
      <c r="J368" s="7">
        <v>45899.15</v>
      </c>
      <c r="K368" s="7">
        <v>8224.98</v>
      </c>
      <c r="L368" s="2" t="s">
        <v>478</v>
      </c>
      <c r="M368" s="18" t="s">
        <v>964</v>
      </c>
      <c r="N368" s="3" t="s">
        <v>50</v>
      </c>
      <c r="O368" s="3" t="s">
        <v>146</v>
      </c>
      <c r="P368">
        <f>DATEVALUE(OnePlusSalesData[[#This Row],[order_date]])</f>
        <v>43899</v>
      </c>
      <c r="Q368" s="28">
        <f>DATEVALUE(OnePlusSalesData[[#This Row],[delivery_date]])</f>
        <v>43903</v>
      </c>
    </row>
    <row r="369" spans="1:17" ht="16" x14ac:dyDescent="0.45">
      <c r="A369" s="8" t="s">
        <v>965</v>
      </c>
      <c r="B369" s="8" t="s">
        <v>58</v>
      </c>
      <c r="C369" s="9" t="s">
        <v>221</v>
      </c>
      <c r="D369" s="9" t="s">
        <v>18</v>
      </c>
      <c r="E369" s="9" t="s">
        <v>19</v>
      </c>
      <c r="F369" s="10">
        <v>1990</v>
      </c>
      <c r="G369" s="11">
        <v>1</v>
      </c>
      <c r="H369" s="12">
        <v>0.05</v>
      </c>
      <c r="I369" s="13">
        <v>99.5</v>
      </c>
      <c r="J369" s="13">
        <v>1890.5</v>
      </c>
      <c r="K369" s="13">
        <v>482.72</v>
      </c>
      <c r="L369" s="8" t="s">
        <v>966</v>
      </c>
      <c r="M369" s="19" t="s">
        <v>967</v>
      </c>
      <c r="N369" s="9" t="s">
        <v>50</v>
      </c>
      <c r="O369" s="9" t="s">
        <v>31</v>
      </c>
      <c r="P369">
        <f>DATEVALUE(OnePlusSalesData[[#This Row],[order_date]])</f>
        <v>43559</v>
      </c>
      <c r="Q369" s="28">
        <f>DATEVALUE(OnePlusSalesData[[#This Row],[delivery_date]])</f>
        <v>43563</v>
      </c>
    </row>
    <row r="370" spans="1:17" ht="16" x14ac:dyDescent="0.45">
      <c r="A370" s="2" t="s">
        <v>968</v>
      </c>
      <c r="B370" s="2" t="s">
        <v>25</v>
      </c>
      <c r="C370" s="3" t="s">
        <v>120</v>
      </c>
      <c r="D370" s="3" t="s">
        <v>18</v>
      </c>
      <c r="E370" s="3" t="s">
        <v>124</v>
      </c>
      <c r="F370" s="4">
        <v>3990</v>
      </c>
      <c r="G370" s="5">
        <v>1</v>
      </c>
      <c r="H370" s="6">
        <v>0</v>
      </c>
      <c r="I370" s="7">
        <v>0</v>
      </c>
      <c r="J370" s="7">
        <v>3990</v>
      </c>
      <c r="K370" s="7">
        <v>566.80999999999995</v>
      </c>
      <c r="L370" s="2" t="s">
        <v>969</v>
      </c>
      <c r="M370" s="18" t="s">
        <v>970</v>
      </c>
      <c r="N370" s="3" t="s">
        <v>92</v>
      </c>
      <c r="O370" s="3" t="s">
        <v>23</v>
      </c>
      <c r="P370">
        <f>DATEVALUE(OnePlusSalesData[[#This Row],[order_date]])</f>
        <v>44020</v>
      </c>
      <c r="Q370" s="28">
        <f>DATEVALUE(OnePlusSalesData[[#This Row],[delivery_date]])</f>
        <v>44023</v>
      </c>
    </row>
    <row r="371" spans="1:17" ht="16" x14ac:dyDescent="0.45">
      <c r="A371" s="8" t="s">
        <v>971</v>
      </c>
      <c r="B371" s="8" t="s">
        <v>25</v>
      </c>
      <c r="C371" s="9" t="s">
        <v>26</v>
      </c>
      <c r="D371" s="9" t="s">
        <v>40</v>
      </c>
      <c r="E371" s="9" t="s">
        <v>73</v>
      </c>
      <c r="F371" s="10">
        <v>32999</v>
      </c>
      <c r="G371" s="11">
        <v>4</v>
      </c>
      <c r="H371" s="12">
        <v>0.05</v>
      </c>
      <c r="I371" s="13">
        <v>6599.8</v>
      </c>
      <c r="J371" s="13">
        <v>125396.2</v>
      </c>
      <c r="K371" s="13">
        <v>23609.62</v>
      </c>
      <c r="L371" s="8" t="s">
        <v>627</v>
      </c>
      <c r="M371" s="19" t="s">
        <v>972</v>
      </c>
      <c r="N371" s="9" t="s">
        <v>22</v>
      </c>
      <c r="O371" s="9" t="s">
        <v>63</v>
      </c>
      <c r="P371">
        <f>DATEVALUE(OnePlusSalesData[[#This Row],[order_date]])</f>
        <v>43439</v>
      </c>
      <c r="Q371" s="28">
        <f>DATEVALUE(OnePlusSalesData[[#This Row],[delivery_date]])</f>
        <v>43441</v>
      </c>
    </row>
    <row r="372" spans="1:17" ht="16" x14ac:dyDescent="0.45">
      <c r="A372" s="2" t="s">
        <v>973</v>
      </c>
      <c r="B372" s="2" t="s">
        <v>52</v>
      </c>
      <c r="C372" s="3" t="s">
        <v>53</v>
      </c>
      <c r="D372" s="3" t="s">
        <v>34</v>
      </c>
      <c r="E372" s="3" t="s">
        <v>35</v>
      </c>
      <c r="F372" s="4">
        <v>19999</v>
      </c>
      <c r="G372" s="5">
        <v>1</v>
      </c>
      <c r="H372" s="6">
        <v>0.08</v>
      </c>
      <c r="I372" s="7">
        <v>1599.92</v>
      </c>
      <c r="J372" s="7">
        <v>18399.080000000002</v>
      </c>
      <c r="K372" s="7">
        <v>3833.23</v>
      </c>
      <c r="L372" s="2" t="s">
        <v>974</v>
      </c>
      <c r="M372" s="18" t="s">
        <v>242</v>
      </c>
      <c r="N372" s="3" t="s">
        <v>44</v>
      </c>
      <c r="O372" s="3" t="s">
        <v>23</v>
      </c>
      <c r="P372">
        <f>DATEVALUE(OnePlusSalesData[[#This Row],[order_date]])</f>
        <v>43955</v>
      </c>
      <c r="Q372" s="28">
        <f>DATEVALUE(OnePlusSalesData[[#This Row],[delivery_date]])</f>
        <v>43959</v>
      </c>
    </row>
    <row r="373" spans="1:17" ht="16" x14ac:dyDescent="0.45">
      <c r="A373" s="8" t="s">
        <v>975</v>
      </c>
      <c r="B373" s="8" t="s">
        <v>16</v>
      </c>
      <c r="C373" s="9" t="s">
        <v>39</v>
      </c>
      <c r="D373" s="9" t="s">
        <v>40</v>
      </c>
      <c r="E373" s="9" t="s">
        <v>41</v>
      </c>
      <c r="F373" s="10">
        <v>37999</v>
      </c>
      <c r="G373" s="11">
        <v>5</v>
      </c>
      <c r="H373" s="12">
        <v>0.15</v>
      </c>
      <c r="I373" s="13">
        <v>28499.25</v>
      </c>
      <c r="J373" s="13">
        <v>161495.75</v>
      </c>
      <c r="K373" s="13">
        <v>35196.559999999998</v>
      </c>
      <c r="L373" s="8" t="s">
        <v>976</v>
      </c>
      <c r="M373" s="19" t="s">
        <v>798</v>
      </c>
      <c r="N373" s="9" t="s">
        <v>44</v>
      </c>
      <c r="O373" s="9" t="s">
        <v>31</v>
      </c>
      <c r="P373">
        <f>DATEVALUE(OnePlusSalesData[[#This Row],[order_date]])</f>
        <v>43270</v>
      </c>
      <c r="Q373" s="28">
        <f>DATEVALUE(OnePlusSalesData[[#This Row],[delivery_date]])</f>
        <v>43275</v>
      </c>
    </row>
    <row r="374" spans="1:17" ht="16" x14ac:dyDescent="0.45">
      <c r="A374" s="2" t="s">
        <v>977</v>
      </c>
      <c r="B374" s="2" t="s">
        <v>58</v>
      </c>
      <c r="C374" s="3" t="s">
        <v>81</v>
      </c>
      <c r="D374" s="3" t="s">
        <v>18</v>
      </c>
      <c r="E374" s="3" t="s">
        <v>179</v>
      </c>
      <c r="F374" s="4">
        <v>1290</v>
      </c>
      <c r="G374" s="5">
        <v>1</v>
      </c>
      <c r="H374" s="6">
        <v>0.1</v>
      </c>
      <c r="I374" s="7">
        <v>129</v>
      </c>
      <c r="J374" s="7">
        <v>1161</v>
      </c>
      <c r="K374" s="7">
        <v>177.87</v>
      </c>
      <c r="L374" s="2" t="s">
        <v>29</v>
      </c>
      <c r="M374" s="18" t="s">
        <v>770</v>
      </c>
      <c r="N374" s="3" t="s">
        <v>22</v>
      </c>
      <c r="O374" s="3" t="s">
        <v>63</v>
      </c>
      <c r="P374">
        <f>DATEVALUE(OnePlusSalesData[[#This Row],[order_date]])</f>
        <v>43377</v>
      </c>
      <c r="Q374" s="28">
        <f>DATEVALUE(OnePlusSalesData[[#This Row],[delivery_date]])</f>
        <v>43382</v>
      </c>
    </row>
    <row r="375" spans="1:17" ht="16" x14ac:dyDescent="0.45">
      <c r="A375" s="8" t="s">
        <v>978</v>
      </c>
      <c r="B375" s="8" t="s">
        <v>52</v>
      </c>
      <c r="C375" s="9" t="s">
        <v>192</v>
      </c>
      <c r="D375" s="9" t="s">
        <v>34</v>
      </c>
      <c r="E375" s="9" t="s">
        <v>35</v>
      </c>
      <c r="F375" s="10">
        <v>19999</v>
      </c>
      <c r="G375" s="11">
        <v>1</v>
      </c>
      <c r="H375" s="12">
        <v>0.08</v>
      </c>
      <c r="I375" s="13">
        <v>1599.92</v>
      </c>
      <c r="J375" s="13">
        <v>18399.080000000002</v>
      </c>
      <c r="K375" s="13">
        <v>4364.83</v>
      </c>
      <c r="L375" s="8" t="s">
        <v>598</v>
      </c>
      <c r="M375" s="19" t="s">
        <v>103</v>
      </c>
      <c r="N375" s="9" t="s">
        <v>22</v>
      </c>
      <c r="O375" s="9" t="s">
        <v>63</v>
      </c>
      <c r="P375">
        <f>DATEVALUE(OnePlusSalesData[[#This Row],[order_date]])</f>
        <v>43293</v>
      </c>
      <c r="Q375" s="28">
        <f>DATEVALUE(OnePlusSalesData[[#This Row],[delivery_date]])</f>
        <v>43298</v>
      </c>
    </row>
    <row r="376" spans="1:17" ht="16" x14ac:dyDescent="0.45">
      <c r="A376" s="2" t="s">
        <v>979</v>
      </c>
      <c r="B376" s="2" t="s">
        <v>16</v>
      </c>
      <c r="C376" s="3" t="s">
        <v>140</v>
      </c>
      <c r="D376" s="3" t="s">
        <v>27</v>
      </c>
      <c r="E376" s="3" t="s">
        <v>159</v>
      </c>
      <c r="F376" s="4">
        <v>22999</v>
      </c>
      <c r="G376" s="5">
        <v>2</v>
      </c>
      <c r="H376" s="6">
        <v>0</v>
      </c>
      <c r="I376" s="7">
        <v>0</v>
      </c>
      <c r="J376" s="7">
        <v>45998</v>
      </c>
      <c r="K376" s="7">
        <v>7386</v>
      </c>
      <c r="L376" s="2" t="s">
        <v>980</v>
      </c>
      <c r="M376" s="18" t="s">
        <v>645</v>
      </c>
      <c r="N376" s="3" t="s">
        <v>22</v>
      </c>
      <c r="O376" s="3" t="s">
        <v>63</v>
      </c>
      <c r="P376">
        <f>DATEVALUE(OnePlusSalesData[[#This Row],[order_date]])</f>
        <v>43307</v>
      </c>
      <c r="Q376" s="28">
        <f>DATEVALUE(OnePlusSalesData[[#This Row],[delivery_date]])</f>
        <v>43312</v>
      </c>
    </row>
    <row r="377" spans="1:17" ht="16" x14ac:dyDescent="0.45">
      <c r="A377" s="8" t="s">
        <v>981</v>
      </c>
      <c r="B377" s="8" t="s">
        <v>58</v>
      </c>
      <c r="C377" s="9" t="s">
        <v>59</v>
      </c>
      <c r="D377" s="9" t="s">
        <v>85</v>
      </c>
      <c r="E377" s="9" t="s">
        <v>265</v>
      </c>
      <c r="F377" s="10">
        <v>4990</v>
      </c>
      <c r="G377" s="11">
        <v>1</v>
      </c>
      <c r="H377" s="12">
        <v>0.08</v>
      </c>
      <c r="I377" s="13">
        <v>399.2</v>
      </c>
      <c r="J377" s="13">
        <v>4590.8</v>
      </c>
      <c r="K377" s="13">
        <v>795.32</v>
      </c>
      <c r="L377" s="8" t="s">
        <v>982</v>
      </c>
      <c r="M377" s="19" t="s">
        <v>983</v>
      </c>
      <c r="N377" s="9" t="s">
        <v>22</v>
      </c>
      <c r="O377" s="9" t="s">
        <v>23</v>
      </c>
      <c r="P377">
        <f>DATEVALUE(OnePlusSalesData[[#This Row],[order_date]])</f>
        <v>43976</v>
      </c>
      <c r="Q377" s="28">
        <f>DATEVALUE(OnePlusSalesData[[#This Row],[delivery_date]])</f>
        <v>43980</v>
      </c>
    </row>
    <row r="378" spans="1:17" ht="16" x14ac:dyDescent="0.45">
      <c r="A378" s="2" t="s">
        <v>984</v>
      </c>
      <c r="B378" s="2" t="s">
        <v>16</v>
      </c>
      <c r="C378" s="3" t="s">
        <v>33</v>
      </c>
      <c r="D378" s="3" t="s">
        <v>27</v>
      </c>
      <c r="E378" s="3" t="s">
        <v>159</v>
      </c>
      <c r="F378" s="4">
        <v>22999</v>
      </c>
      <c r="G378" s="5">
        <v>2</v>
      </c>
      <c r="H378" s="6">
        <v>0.08</v>
      </c>
      <c r="I378" s="7">
        <v>3679.84</v>
      </c>
      <c r="J378" s="7">
        <v>42318.16</v>
      </c>
      <c r="K378" s="7">
        <v>6997.22</v>
      </c>
      <c r="L378" s="2" t="s">
        <v>820</v>
      </c>
      <c r="M378" s="18" t="s">
        <v>170</v>
      </c>
      <c r="N378" s="3" t="s">
        <v>50</v>
      </c>
      <c r="O378" s="3" t="s">
        <v>23</v>
      </c>
      <c r="P378">
        <f>DATEVALUE(OnePlusSalesData[[#This Row],[order_date]])</f>
        <v>44169</v>
      </c>
      <c r="Q378" s="28">
        <f>DATEVALUE(OnePlusSalesData[[#This Row],[delivery_date]])</f>
        <v>44173</v>
      </c>
    </row>
    <row r="379" spans="1:17" ht="16" x14ac:dyDescent="0.45">
      <c r="A379" s="8" t="s">
        <v>985</v>
      </c>
      <c r="B379" s="8" t="s">
        <v>52</v>
      </c>
      <c r="C379" s="9" t="s">
        <v>192</v>
      </c>
      <c r="D379" s="9" t="s">
        <v>40</v>
      </c>
      <c r="E379" s="9" t="s">
        <v>73</v>
      </c>
      <c r="F379" s="10">
        <v>32999</v>
      </c>
      <c r="G379" s="11">
        <v>1</v>
      </c>
      <c r="H379" s="12">
        <v>0</v>
      </c>
      <c r="I379" s="13">
        <v>0</v>
      </c>
      <c r="J379" s="13">
        <v>32999</v>
      </c>
      <c r="K379" s="13">
        <v>7356.98</v>
      </c>
      <c r="L379" s="8" t="s">
        <v>986</v>
      </c>
      <c r="M379" s="19" t="s">
        <v>987</v>
      </c>
      <c r="N379" s="9" t="s">
        <v>22</v>
      </c>
      <c r="O379" s="9" t="s">
        <v>45</v>
      </c>
      <c r="P379">
        <f>DATEVALUE(OnePlusSalesData[[#This Row],[order_date]])</f>
        <v>43731</v>
      </c>
      <c r="Q379" s="28">
        <f>DATEVALUE(OnePlusSalesData[[#This Row],[delivery_date]])</f>
        <v>43733</v>
      </c>
    </row>
    <row r="380" spans="1:17" ht="16" x14ac:dyDescent="0.45">
      <c r="A380" s="2" t="s">
        <v>988</v>
      </c>
      <c r="B380" s="2" t="s">
        <v>25</v>
      </c>
      <c r="C380" s="3" t="s">
        <v>120</v>
      </c>
      <c r="D380" s="3" t="s">
        <v>40</v>
      </c>
      <c r="E380" s="3" t="s">
        <v>148</v>
      </c>
      <c r="F380" s="4">
        <v>41999</v>
      </c>
      <c r="G380" s="5">
        <v>1</v>
      </c>
      <c r="H380" s="6">
        <v>0.05</v>
      </c>
      <c r="I380" s="7">
        <v>2099.9499999999998</v>
      </c>
      <c r="J380" s="7">
        <v>39899.050000000003</v>
      </c>
      <c r="K380" s="7">
        <v>8790.44</v>
      </c>
      <c r="L380" s="2" t="s">
        <v>949</v>
      </c>
      <c r="M380" s="18" t="s">
        <v>989</v>
      </c>
      <c r="N380" s="3" t="s">
        <v>22</v>
      </c>
      <c r="O380" s="3" t="s">
        <v>63</v>
      </c>
      <c r="P380">
        <f>DATEVALUE(OnePlusSalesData[[#This Row],[order_date]])</f>
        <v>43910</v>
      </c>
      <c r="Q380" s="28">
        <f>DATEVALUE(OnePlusSalesData[[#This Row],[delivery_date]])</f>
        <v>43917</v>
      </c>
    </row>
    <row r="381" spans="1:17" ht="16" x14ac:dyDescent="0.45">
      <c r="A381" s="8" t="s">
        <v>990</v>
      </c>
      <c r="B381" s="8" t="s">
        <v>52</v>
      </c>
      <c r="C381" s="9" t="s">
        <v>106</v>
      </c>
      <c r="D381" s="9" t="s">
        <v>40</v>
      </c>
      <c r="E381" s="9" t="s">
        <v>47</v>
      </c>
      <c r="F381" s="10">
        <v>37999</v>
      </c>
      <c r="G381" s="11">
        <v>1</v>
      </c>
      <c r="H381" s="12">
        <v>0</v>
      </c>
      <c r="I381" s="13">
        <v>0</v>
      </c>
      <c r="J381" s="13">
        <v>37999</v>
      </c>
      <c r="K381" s="13">
        <v>9617.02</v>
      </c>
      <c r="L381" s="8" t="s">
        <v>137</v>
      </c>
      <c r="M381" s="19" t="s">
        <v>991</v>
      </c>
      <c r="N381" s="9" t="s">
        <v>22</v>
      </c>
      <c r="O381" s="9" t="s">
        <v>31</v>
      </c>
      <c r="P381">
        <f>DATEVALUE(OnePlusSalesData[[#This Row],[order_date]])</f>
        <v>44028</v>
      </c>
      <c r="Q381" s="28">
        <f>DATEVALUE(OnePlusSalesData[[#This Row],[delivery_date]])</f>
        <v>44033</v>
      </c>
    </row>
    <row r="382" spans="1:17" ht="16" x14ac:dyDescent="0.45">
      <c r="A382" s="2" t="s">
        <v>992</v>
      </c>
      <c r="B382" s="2" t="s">
        <v>58</v>
      </c>
      <c r="C382" s="3" t="s">
        <v>257</v>
      </c>
      <c r="D382" s="3" t="s">
        <v>40</v>
      </c>
      <c r="E382" s="3" t="s">
        <v>60</v>
      </c>
      <c r="F382" s="4">
        <v>54999</v>
      </c>
      <c r="G382" s="5">
        <v>1</v>
      </c>
      <c r="H382" s="6">
        <v>0</v>
      </c>
      <c r="I382" s="7">
        <v>0</v>
      </c>
      <c r="J382" s="7">
        <v>54999</v>
      </c>
      <c r="K382" s="7">
        <v>8726.61</v>
      </c>
      <c r="L382" s="2" t="s">
        <v>962</v>
      </c>
      <c r="M382" s="18" t="s">
        <v>993</v>
      </c>
      <c r="N382" s="3" t="s">
        <v>22</v>
      </c>
      <c r="O382" s="3" t="s">
        <v>23</v>
      </c>
      <c r="P382">
        <f>DATEVALUE(OnePlusSalesData[[#This Row],[order_date]])</f>
        <v>43210</v>
      </c>
      <c r="Q382" s="28">
        <f>DATEVALUE(OnePlusSalesData[[#This Row],[delivery_date]])</f>
        <v>43216</v>
      </c>
    </row>
    <row r="383" spans="1:17" ht="16" x14ac:dyDescent="0.45">
      <c r="A383" s="8" t="s">
        <v>994</v>
      </c>
      <c r="B383" s="8" t="s">
        <v>25</v>
      </c>
      <c r="C383" s="9" t="s">
        <v>133</v>
      </c>
      <c r="D383" s="9" t="s">
        <v>40</v>
      </c>
      <c r="E383" s="9" t="s">
        <v>406</v>
      </c>
      <c r="F383" s="10">
        <v>48999</v>
      </c>
      <c r="G383" s="11">
        <v>2</v>
      </c>
      <c r="H383" s="12">
        <v>0</v>
      </c>
      <c r="I383" s="13">
        <v>0</v>
      </c>
      <c r="J383" s="13">
        <v>97998</v>
      </c>
      <c r="K383" s="13">
        <v>16195.23</v>
      </c>
      <c r="L383" s="8" t="s">
        <v>995</v>
      </c>
      <c r="M383" s="19" t="s">
        <v>996</v>
      </c>
      <c r="N383" s="9" t="s">
        <v>22</v>
      </c>
      <c r="O383" s="9" t="s">
        <v>23</v>
      </c>
      <c r="P383">
        <f>DATEVALUE(OnePlusSalesData[[#This Row],[order_date]])</f>
        <v>43266</v>
      </c>
      <c r="Q383" s="28">
        <f>DATEVALUE(OnePlusSalesData[[#This Row],[delivery_date]])</f>
        <v>43273</v>
      </c>
    </row>
    <row r="384" spans="1:17" ht="16" x14ac:dyDescent="0.45">
      <c r="A384" s="2" t="s">
        <v>997</v>
      </c>
      <c r="B384" s="2" t="s">
        <v>16</v>
      </c>
      <c r="C384" s="3" t="s">
        <v>17</v>
      </c>
      <c r="D384" s="3" t="s">
        <v>40</v>
      </c>
      <c r="E384" s="3" t="s">
        <v>54</v>
      </c>
      <c r="F384" s="4">
        <v>53999</v>
      </c>
      <c r="G384" s="5">
        <v>2</v>
      </c>
      <c r="H384" s="6">
        <v>0.05</v>
      </c>
      <c r="I384" s="7">
        <v>5399.9</v>
      </c>
      <c r="J384" s="7">
        <v>102598.1</v>
      </c>
      <c r="K384" s="7">
        <v>18201.189999999999</v>
      </c>
      <c r="L384" s="2" t="s">
        <v>998</v>
      </c>
      <c r="M384" s="18" t="s">
        <v>999</v>
      </c>
      <c r="N384" s="3" t="s">
        <v>50</v>
      </c>
      <c r="O384" s="3" t="s">
        <v>23</v>
      </c>
      <c r="P384">
        <f>DATEVALUE(OnePlusSalesData[[#This Row],[order_date]])</f>
        <v>44189</v>
      </c>
      <c r="Q384" s="28">
        <f>DATEVALUE(OnePlusSalesData[[#This Row],[delivery_date]])</f>
        <v>44192</v>
      </c>
    </row>
    <row r="385" spans="1:17" ht="16" x14ac:dyDescent="0.45">
      <c r="A385" s="8" t="s">
        <v>1000</v>
      </c>
      <c r="B385" s="8" t="s">
        <v>16</v>
      </c>
      <c r="C385" s="9" t="s">
        <v>33</v>
      </c>
      <c r="D385" s="9" t="s">
        <v>85</v>
      </c>
      <c r="E385" s="9" t="s">
        <v>265</v>
      </c>
      <c r="F385" s="10">
        <v>4990</v>
      </c>
      <c r="G385" s="11">
        <v>1</v>
      </c>
      <c r="H385" s="12">
        <v>0.05</v>
      </c>
      <c r="I385" s="13">
        <v>249.5</v>
      </c>
      <c r="J385" s="13">
        <v>4740.5</v>
      </c>
      <c r="K385" s="13">
        <v>1227.8499999999999</v>
      </c>
      <c r="L385" s="8" t="s">
        <v>519</v>
      </c>
      <c r="M385" s="19" t="s">
        <v>1001</v>
      </c>
      <c r="N385" s="9" t="s">
        <v>44</v>
      </c>
      <c r="O385" s="9" t="s">
        <v>146</v>
      </c>
      <c r="P385">
        <f>DATEVALUE(OnePlusSalesData[[#This Row],[order_date]])</f>
        <v>43206</v>
      </c>
      <c r="Q385" s="28">
        <f>DATEVALUE(OnePlusSalesData[[#This Row],[delivery_date]])</f>
        <v>43212</v>
      </c>
    </row>
    <row r="386" spans="1:17" ht="16" x14ac:dyDescent="0.45">
      <c r="A386" s="2" t="s">
        <v>1002</v>
      </c>
      <c r="B386" s="2" t="s">
        <v>16</v>
      </c>
      <c r="C386" s="3" t="s">
        <v>39</v>
      </c>
      <c r="D386" s="3" t="s">
        <v>27</v>
      </c>
      <c r="E386" s="3" t="s">
        <v>28</v>
      </c>
      <c r="F386" s="4">
        <v>12999</v>
      </c>
      <c r="G386" s="5">
        <v>1</v>
      </c>
      <c r="H386" s="6">
        <v>0.08</v>
      </c>
      <c r="I386" s="7">
        <v>1039.92</v>
      </c>
      <c r="J386" s="7">
        <v>11959.08</v>
      </c>
      <c r="K386" s="7">
        <v>2381.15</v>
      </c>
      <c r="L386" s="2" t="s">
        <v>1003</v>
      </c>
      <c r="M386" s="18" t="s">
        <v>746</v>
      </c>
      <c r="N386" s="3" t="s">
        <v>92</v>
      </c>
      <c r="O386" s="3" t="s">
        <v>23</v>
      </c>
      <c r="P386">
        <f>DATEVALUE(OnePlusSalesData[[#This Row],[order_date]])</f>
        <v>44162</v>
      </c>
      <c r="Q386" s="28">
        <f>DATEVALUE(OnePlusSalesData[[#This Row],[delivery_date]])</f>
        <v>44166</v>
      </c>
    </row>
    <row r="387" spans="1:17" ht="16" x14ac:dyDescent="0.45">
      <c r="A387" s="8" t="s">
        <v>1004</v>
      </c>
      <c r="B387" s="8" t="s">
        <v>52</v>
      </c>
      <c r="C387" s="9" t="s">
        <v>106</v>
      </c>
      <c r="D387" s="9" t="s">
        <v>40</v>
      </c>
      <c r="E387" s="9" t="s">
        <v>60</v>
      </c>
      <c r="F387" s="10">
        <v>54999</v>
      </c>
      <c r="G387" s="11">
        <v>1</v>
      </c>
      <c r="H387" s="12">
        <v>0.12</v>
      </c>
      <c r="I387" s="13">
        <v>6599.88</v>
      </c>
      <c r="J387" s="13">
        <v>48399.12</v>
      </c>
      <c r="K387" s="13">
        <v>7795.11</v>
      </c>
      <c r="L387" s="8" t="s">
        <v>1005</v>
      </c>
      <c r="M387" s="19" t="s">
        <v>320</v>
      </c>
      <c r="N387" s="9" t="s">
        <v>22</v>
      </c>
      <c r="O387" s="9" t="s">
        <v>31</v>
      </c>
      <c r="P387">
        <f>DATEVALUE(OnePlusSalesData[[#This Row],[order_date]])</f>
        <v>44079</v>
      </c>
      <c r="Q387" s="28">
        <f>DATEVALUE(OnePlusSalesData[[#This Row],[delivery_date]])</f>
        <v>44085</v>
      </c>
    </row>
    <row r="388" spans="1:17" ht="16" x14ac:dyDescent="0.45">
      <c r="A388" s="2" t="s">
        <v>1006</v>
      </c>
      <c r="B388" s="2" t="s">
        <v>52</v>
      </c>
      <c r="C388" s="3" t="s">
        <v>106</v>
      </c>
      <c r="D388" s="3" t="s">
        <v>40</v>
      </c>
      <c r="E388" s="3" t="s">
        <v>148</v>
      </c>
      <c r="F388" s="4">
        <v>41999</v>
      </c>
      <c r="G388" s="5">
        <v>4</v>
      </c>
      <c r="H388" s="6">
        <v>0.08</v>
      </c>
      <c r="I388" s="7">
        <v>13439.68</v>
      </c>
      <c r="J388" s="7">
        <v>154556.32</v>
      </c>
      <c r="K388" s="7">
        <v>26820.14</v>
      </c>
      <c r="L388" s="2" t="s">
        <v>323</v>
      </c>
      <c r="M388" s="18" t="s">
        <v>1007</v>
      </c>
      <c r="N388" s="3" t="s">
        <v>22</v>
      </c>
      <c r="O388" s="3" t="s">
        <v>146</v>
      </c>
      <c r="P388">
        <f>DATEVALUE(OnePlusSalesData[[#This Row],[order_date]])</f>
        <v>43220</v>
      </c>
      <c r="Q388" s="28">
        <f>DATEVALUE(OnePlusSalesData[[#This Row],[delivery_date]])</f>
        <v>43225</v>
      </c>
    </row>
    <row r="389" spans="1:17" ht="16" x14ac:dyDescent="0.45">
      <c r="A389" s="8" t="s">
        <v>1008</v>
      </c>
      <c r="B389" s="8" t="s">
        <v>16</v>
      </c>
      <c r="C389" s="9" t="s">
        <v>140</v>
      </c>
      <c r="D389" s="9" t="s">
        <v>18</v>
      </c>
      <c r="E389" s="9" t="s">
        <v>124</v>
      </c>
      <c r="F389" s="10">
        <v>3990</v>
      </c>
      <c r="G389" s="11">
        <v>1</v>
      </c>
      <c r="H389" s="12">
        <v>0.12</v>
      </c>
      <c r="I389" s="13">
        <v>478.8</v>
      </c>
      <c r="J389" s="13">
        <v>3511.2</v>
      </c>
      <c r="K389" s="13">
        <v>900.24</v>
      </c>
      <c r="L389" s="8" t="s">
        <v>1009</v>
      </c>
      <c r="M389" s="19" t="s">
        <v>1010</v>
      </c>
      <c r="N389" s="9" t="s">
        <v>22</v>
      </c>
      <c r="O389" s="9" t="s">
        <v>31</v>
      </c>
      <c r="P389">
        <f>DATEVALUE(OnePlusSalesData[[#This Row],[order_date]])</f>
        <v>43172</v>
      </c>
      <c r="Q389" s="28">
        <f>DATEVALUE(OnePlusSalesData[[#This Row],[delivery_date]])</f>
        <v>43179</v>
      </c>
    </row>
    <row r="390" spans="1:17" ht="16" x14ac:dyDescent="0.45">
      <c r="A390" s="2" t="s">
        <v>1011</v>
      </c>
      <c r="B390" s="2" t="s">
        <v>52</v>
      </c>
      <c r="C390" s="3" t="s">
        <v>69</v>
      </c>
      <c r="D390" s="3" t="s">
        <v>85</v>
      </c>
      <c r="E390" s="3" t="s">
        <v>86</v>
      </c>
      <c r="F390" s="4">
        <v>1999</v>
      </c>
      <c r="G390" s="5">
        <v>1</v>
      </c>
      <c r="H390" s="6">
        <v>0.1</v>
      </c>
      <c r="I390" s="7">
        <v>199.9</v>
      </c>
      <c r="J390" s="7">
        <v>1799.1</v>
      </c>
      <c r="K390" s="7">
        <v>423.71</v>
      </c>
      <c r="L390" s="2" t="s">
        <v>497</v>
      </c>
      <c r="M390" s="18" t="s">
        <v>1012</v>
      </c>
      <c r="N390" s="3" t="s">
        <v>22</v>
      </c>
      <c r="O390" s="3" t="s">
        <v>23</v>
      </c>
      <c r="P390">
        <f>DATEVALUE(OnePlusSalesData[[#This Row],[order_date]])</f>
        <v>43408</v>
      </c>
      <c r="Q390" s="28">
        <f>DATEVALUE(OnePlusSalesData[[#This Row],[delivery_date]])</f>
        <v>43410</v>
      </c>
    </row>
    <row r="391" spans="1:17" ht="16" x14ac:dyDescent="0.45">
      <c r="A391" s="8" t="s">
        <v>1013</v>
      </c>
      <c r="B391" s="8" t="s">
        <v>16</v>
      </c>
      <c r="C391" s="9" t="s">
        <v>152</v>
      </c>
      <c r="D391" s="9" t="s">
        <v>40</v>
      </c>
      <c r="E391" s="9" t="s">
        <v>148</v>
      </c>
      <c r="F391" s="10">
        <v>41999</v>
      </c>
      <c r="G391" s="11">
        <v>1</v>
      </c>
      <c r="H391" s="12">
        <v>0.1</v>
      </c>
      <c r="I391" s="13">
        <v>4199.8999999999996</v>
      </c>
      <c r="J391" s="13">
        <v>37799.1</v>
      </c>
      <c r="K391" s="13">
        <v>8119.9</v>
      </c>
      <c r="L391" s="8" t="s">
        <v>699</v>
      </c>
      <c r="M391" s="19" t="s">
        <v>350</v>
      </c>
      <c r="N391" s="9" t="s">
        <v>22</v>
      </c>
      <c r="O391" s="9" t="s">
        <v>31</v>
      </c>
      <c r="P391">
        <f>DATEVALUE(OnePlusSalesData[[#This Row],[order_date]])</f>
        <v>44038</v>
      </c>
      <c r="Q391" s="28">
        <f>DATEVALUE(OnePlusSalesData[[#This Row],[delivery_date]])</f>
        <v>44041</v>
      </c>
    </row>
    <row r="392" spans="1:17" ht="16" x14ac:dyDescent="0.45">
      <c r="A392" s="2" t="s">
        <v>1014</v>
      </c>
      <c r="B392" s="2" t="s">
        <v>25</v>
      </c>
      <c r="C392" s="3" t="s">
        <v>120</v>
      </c>
      <c r="D392" s="3" t="s">
        <v>40</v>
      </c>
      <c r="E392" s="3" t="s">
        <v>98</v>
      </c>
      <c r="F392" s="4">
        <v>34999</v>
      </c>
      <c r="G392" s="5">
        <v>1</v>
      </c>
      <c r="H392" s="6">
        <v>0</v>
      </c>
      <c r="I392" s="7">
        <v>0</v>
      </c>
      <c r="J392" s="7">
        <v>34999</v>
      </c>
      <c r="K392" s="7">
        <v>6134.41</v>
      </c>
      <c r="L392" s="2" t="s">
        <v>1015</v>
      </c>
      <c r="M392" s="18" t="s">
        <v>993</v>
      </c>
      <c r="N392" s="3" t="s">
        <v>22</v>
      </c>
      <c r="O392" s="3" t="s">
        <v>96</v>
      </c>
      <c r="P392">
        <f>DATEVALUE(OnePlusSalesData[[#This Row],[order_date]])</f>
        <v>43209</v>
      </c>
      <c r="Q392" s="28">
        <f>DATEVALUE(OnePlusSalesData[[#This Row],[delivery_date]])</f>
        <v>43216</v>
      </c>
    </row>
    <row r="393" spans="1:17" ht="16" x14ac:dyDescent="0.45">
      <c r="A393" s="8" t="s">
        <v>1016</v>
      </c>
      <c r="B393" s="8" t="s">
        <v>52</v>
      </c>
      <c r="C393" s="9" t="s">
        <v>358</v>
      </c>
      <c r="D393" s="9" t="s">
        <v>40</v>
      </c>
      <c r="E393" s="9" t="s">
        <v>148</v>
      </c>
      <c r="F393" s="10">
        <v>41999</v>
      </c>
      <c r="G393" s="11">
        <v>1</v>
      </c>
      <c r="H393" s="12">
        <v>0.1</v>
      </c>
      <c r="I393" s="13">
        <v>4199.8999999999996</v>
      </c>
      <c r="J393" s="13">
        <v>37799.1</v>
      </c>
      <c r="K393" s="13">
        <v>8478.2900000000009</v>
      </c>
      <c r="L393" s="8" t="s">
        <v>1017</v>
      </c>
      <c r="M393" s="19" t="s">
        <v>1018</v>
      </c>
      <c r="N393" s="9" t="s">
        <v>92</v>
      </c>
      <c r="O393" s="9" t="s">
        <v>31</v>
      </c>
      <c r="P393">
        <f>DATEVALUE(OnePlusSalesData[[#This Row],[order_date]])</f>
        <v>43987</v>
      </c>
      <c r="Q393" s="28">
        <f>DATEVALUE(OnePlusSalesData[[#This Row],[delivery_date]])</f>
        <v>43990</v>
      </c>
    </row>
    <row r="394" spans="1:17" ht="16" x14ac:dyDescent="0.45">
      <c r="A394" s="2" t="s">
        <v>1019</v>
      </c>
      <c r="B394" s="2" t="s">
        <v>52</v>
      </c>
      <c r="C394" s="3" t="s">
        <v>358</v>
      </c>
      <c r="D394" s="3" t="s">
        <v>18</v>
      </c>
      <c r="E394" s="3" t="s">
        <v>179</v>
      </c>
      <c r="F394" s="4">
        <v>1290</v>
      </c>
      <c r="G394" s="5">
        <v>1</v>
      </c>
      <c r="H394" s="6">
        <v>0.1</v>
      </c>
      <c r="I394" s="7">
        <v>129</v>
      </c>
      <c r="J394" s="7">
        <v>1161</v>
      </c>
      <c r="K394" s="7">
        <v>186.32</v>
      </c>
      <c r="L394" s="2" t="s">
        <v>1020</v>
      </c>
      <c r="M394" s="18" t="s">
        <v>1021</v>
      </c>
      <c r="N394" s="3" t="s">
        <v>22</v>
      </c>
      <c r="O394" s="3" t="s">
        <v>63</v>
      </c>
      <c r="P394">
        <f>DATEVALUE(OnePlusSalesData[[#This Row],[order_date]])</f>
        <v>43706</v>
      </c>
      <c r="Q394" s="28">
        <f>DATEVALUE(OnePlusSalesData[[#This Row],[delivery_date]])</f>
        <v>43712</v>
      </c>
    </row>
    <row r="395" spans="1:17" ht="16" x14ac:dyDescent="0.45">
      <c r="A395" s="8" t="s">
        <v>1022</v>
      </c>
      <c r="B395" s="8" t="s">
        <v>25</v>
      </c>
      <c r="C395" s="9" t="s">
        <v>133</v>
      </c>
      <c r="D395" s="9" t="s">
        <v>27</v>
      </c>
      <c r="E395" s="9" t="s">
        <v>159</v>
      </c>
      <c r="F395" s="10">
        <v>22999</v>
      </c>
      <c r="G395" s="11">
        <v>1</v>
      </c>
      <c r="H395" s="12">
        <v>0.05</v>
      </c>
      <c r="I395" s="13">
        <v>1149.95</v>
      </c>
      <c r="J395" s="13">
        <v>21849.05</v>
      </c>
      <c r="K395" s="13">
        <v>3190.6</v>
      </c>
      <c r="L395" s="8" t="s">
        <v>1023</v>
      </c>
      <c r="M395" s="19" t="s">
        <v>137</v>
      </c>
      <c r="N395" s="9" t="s">
        <v>50</v>
      </c>
      <c r="O395" s="9" t="s">
        <v>96</v>
      </c>
      <c r="P395">
        <f>DATEVALUE(OnePlusSalesData[[#This Row],[order_date]])</f>
        <v>44026</v>
      </c>
      <c r="Q395" s="28">
        <f>DATEVALUE(OnePlusSalesData[[#This Row],[delivery_date]])</f>
        <v>44028</v>
      </c>
    </row>
    <row r="396" spans="1:17" ht="16" x14ac:dyDescent="0.45">
      <c r="A396" s="2" t="s">
        <v>1024</v>
      </c>
      <c r="B396" s="2" t="s">
        <v>58</v>
      </c>
      <c r="C396" s="3" t="s">
        <v>59</v>
      </c>
      <c r="D396" s="3" t="s">
        <v>40</v>
      </c>
      <c r="E396" s="3" t="s">
        <v>73</v>
      </c>
      <c r="F396" s="4">
        <v>32999</v>
      </c>
      <c r="G396" s="5">
        <v>2</v>
      </c>
      <c r="H396" s="6">
        <v>0</v>
      </c>
      <c r="I396" s="7">
        <v>0</v>
      </c>
      <c r="J396" s="7">
        <v>65998</v>
      </c>
      <c r="K396" s="7">
        <v>11900.82</v>
      </c>
      <c r="L396" s="2" t="s">
        <v>1025</v>
      </c>
      <c r="M396" s="18" t="s">
        <v>1026</v>
      </c>
      <c r="N396" s="3" t="s">
        <v>92</v>
      </c>
      <c r="O396" s="3" t="s">
        <v>96</v>
      </c>
      <c r="P396">
        <f>DATEVALUE(OnePlusSalesData[[#This Row],[order_date]])</f>
        <v>43240</v>
      </c>
      <c r="Q396" s="28">
        <f>DATEVALUE(OnePlusSalesData[[#This Row],[delivery_date]])</f>
        <v>43242</v>
      </c>
    </row>
    <row r="397" spans="1:17" ht="16" x14ac:dyDescent="0.45">
      <c r="A397" s="8" t="s">
        <v>1027</v>
      </c>
      <c r="B397" s="8" t="s">
        <v>25</v>
      </c>
      <c r="C397" s="9" t="s">
        <v>26</v>
      </c>
      <c r="D397" s="9" t="s">
        <v>85</v>
      </c>
      <c r="E397" s="9" t="s">
        <v>86</v>
      </c>
      <c r="F397" s="10">
        <v>1999</v>
      </c>
      <c r="G397" s="11">
        <v>1</v>
      </c>
      <c r="H397" s="12">
        <v>0.1</v>
      </c>
      <c r="I397" s="13">
        <v>199.9</v>
      </c>
      <c r="J397" s="13">
        <v>1799.1</v>
      </c>
      <c r="K397" s="13">
        <v>336.52</v>
      </c>
      <c r="L397" s="8" t="s">
        <v>286</v>
      </c>
      <c r="M397" s="19" t="s">
        <v>453</v>
      </c>
      <c r="N397" s="9" t="s">
        <v>92</v>
      </c>
      <c r="O397" s="9" t="s">
        <v>23</v>
      </c>
      <c r="P397">
        <f>DATEVALUE(OnePlusSalesData[[#This Row],[order_date]])</f>
        <v>43239</v>
      </c>
      <c r="Q397" s="28">
        <f>DATEVALUE(OnePlusSalesData[[#This Row],[delivery_date]])</f>
        <v>43243</v>
      </c>
    </row>
    <row r="398" spans="1:17" ht="16" x14ac:dyDescent="0.45">
      <c r="A398" s="2" t="s">
        <v>1028</v>
      </c>
      <c r="B398" s="2" t="s">
        <v>16</v>
      </c>
      <c r="C398" s="3" t="s">
        <v>17</v>
      </c>
      <c r="D398" s="3" t="s">
        <v>27</v>
      </c>
      <c r="E398" s="3" t="s">
        <v>28</v>
      </c>
      <c r="F398" s="4">
        <v>12999</v>
      </c>
      <c r="G398" s="5">
        <v>2</v>
      </c>
      <c r="H398" s="6">
        <v>0.05</v>
      </c>
      <c r="I398" s="7">
        <v>1299.9000000000001</v>
      </c>
      <c r="J398" s="7">
        <v>24698.1</v>
      </c>
      <c r="K398" s="7">
        <v>4400.3599999999997</v>
      </c>
      <c r="L398" s="2" t="s">
        <v>825</v>
      </c>
      <c r="M398" s="18" t="s">
        <v>605</v>
      </c>
      <c r="N398" s="3" t="s">
        <v>22</v>
      </c>
      <c r="O398" s="3" t="s">
        <v>63</v>
      </c>
      <c r="P398">
        <f>DATEVALUE(OnePlusSalesData[[#This Row],[order_date]])</f>
        <v>43593</v>
      </c>
      <c r="Q398" s="28">
        <f>DATEVALUE(OnePlusSalesData[[#This Row],[delivery_date]])</f>
        <v>43597</v>
      </c>
    </row>
    <row r="399" spans="1:17" ht="16" x14ac:dyDescent="0.45">
      <c r="A399" s="8" t="s">
        <v>1029</v>
      </c>
      <c r="B399" s="8" t="s">
        <v>25</v>
      </c>
      <c r="C399" s="9" t="s">
        <v>26</v>
      </c>
      <c r="D399" s="9" t="s">
        <v>18</v>
      </c>
      <c r="E399" s="9" t="s">
        <v>102</v>
      </c>
      <c r="F399" s="10">
        <v>1490</v>
      </c>
      <c r="G399" s="11">
        <v>1</v>
      </c>
      <c r="H399" s="12">
        <v>0.05</v>
      </c>
      <c r="I399" s="13">
        <v>74.5</v>
      </c>
      <c r="J399" s="13">
        <v>1415.5</v>
      </c>
      <c r="K399" s="13">
        <v>205.22</v>
      </c>
      <c r="L399" s="8" t="s">
        <v>422</v>
      </c>
      <c r="M399" s="19" t="s">
        <v>982</v>
      </c>
      <c r="N399" s="9" t="s">
        <v>22</v>
      </c>
      <c r="O399" s="9" t="s">
        <v>63</v>
      </c>
      <c r="P399">
        <f>DATEVALUE(OnePlusSalesData[[#This Row],[order_date]])</f>
        <v>43971</v>
      </c>
      <c r="Q399" s="28">
        <f>DATEVALUE(OnePlusSalesData[[#This Row],[delivery_date]])</f>
        <v>43976</v>
      </c>
    </row>
    <row r="400" spans="1:17" ht="16" x14ac:dyDescent="0.45">
      <c r="A400" s="2" t="s">
        <v>1030</v>
      </c>
      <c r="B400" s="2" t="s">
        <v>25</v>
      </c>
      <c r="C400" s="3" t="s">
        <v>120</v>
      </c>
      <c r="D400" s="3" t="s">
        <v>40</v>
      </c>
      <c r="E400" s="3" t="s">
        <v>47</v>
      </c>
      <c r="F400" s="4">
        <v>37999</v>
      </c>
      <c r="G400" s="5">
        <v>2</v>
      </c>
      <c r="H400" s="6">
        <v>0.08</v>
      </c>
      <c r="I400" s="7">
        <v>6079.84</v>
      </c>
      <c r="J400" s="7">
        <v>69918.16</v>
      </c>
      <c r="K400" s="7">
        <v>14036.74</v>
      </c>
      <c r="L400" s="2" t="s">
        <v>1031</v>
      </c>
      <c r="M400" s="18" t="s">
        <v>799</v>
      </c>
      <c r="N400" s="3" t="s">
        <v>22</v>
      </c>
      <c r="O400" s="3" t="s">
        <v>31</v>
      </c>
      <c r="P400">
        <f>DATEVALUE(OnePlusSalesData[[#This Row],[order_date]])</f>
        <v>43277</v>
      </c>
      <c r="Q400" s="28">
        <f>DATEVALUE(OnePlusSalesData[[#This Row],[delivery_date]])</f>
        <v>43281</v>
      </c>
    </row>
    <row r="401" spans="1:17" ht="16" x14ac:dyDescent="0.45">
      <c r="A401" s="8" t="s">
        <v>1032</v>
      </c>
      <c r="B401" s="8" t="s">
        <v>52</v>
      </c>
      <c r="C401" s="9" t="s">
        <v>192</v>
      </c>
      <c r="D401" s="9" t="s">
        <v>34</v>
      </c>
      <c r="E401" s="9" t="s">
        <v>77</v>
      </c>
      <c r="F401" s="10">
        <v>24999</v>
      </c>
      <c r="G401" s="11">
        <v>1</v>
      </c>
      <c r="H401" s="12">
        <v>0.05</v>
      </c>
      <c r="I401" s="13">
        <v>1249.95</v>
      </c>
      <c r="J401" s="13">
        <v>23749.05</v>
      </c>
      <c r="K401" s="13">
        <v>5589.05</v>
      </c>
      <c r="L401" s="8" t="s">
        <v>1033</v>
      </c>
      <c r="M401" s="19" t="s">
        <v>1034</v>
      </c>
      <c r="N401" s="9" t="s">
        <v>22</v>
      </c>
      <c r="O401" s="9" t="s">
        <v>23</v>
      </c>
      <c r="P401">
        <f>DATEVALUE(OnePlusSalesData[[#This Row],[order_date]])</f>
        <v>43352</v>
      </c>
      <c r="Q401" s="28">
        <f>DATEVALUE(OnePlusSalesData[[#This Row],[delivery_date]])</f>
        <v>43356</v>
      </c>
    </row>
    <row r="402" spans="1:17" ht="16" x14ac:dyDescent="0.45">
      <c r="A402" s="2" t="s">
        <v>1035</v>
      </c>
      <c r="B402" s="2" t="s">
        <v>52</v>
      </c>
      <c r="C402" s="3" t="s">
        <v>53</v>
      </c>
      <c r="D402" s="3" t="s">
        <v>18</v>
      </c>
      <c r="E402" s="3" t="s">
        <v>179</v>
      </c>
      <c r="F402" s="4">
        <v>1290</v>
      </c>
      <c r="G402" s="5">
        <v>5</v>
      </c>
      <c r="H402" s="6">
        <v>0.05</v>
      </c>
      <c r="I402" s="7">
        <v>322.5</v>
      </c>
      <c r="J402" s="7">
        <v>6127.5</v>
      </c>
      <c r="K402" s="7">
        <v>1582.01</v>
      </c>
      <c r="L402" s="2" t="s">
        <v>1036</v>
      </c>
      <c r="M402" s="18" t="s">
        <v>1037</v>
      </c>
      <c r="N402" s="3" t="s">
        <v>44</v>
      </c>
      <c r="O402" s="3" t="s">
        <v>23</v>
      </c>
      <c r="P402">
        <f>DATEVALUE(OnePlusSalesData[[#This Row],[order_date]])</f>
        <v>43572</v>
      </c>
      <c r="Q402" s="28">
        <f>DATEVALUE(OnePlusSalesData[[#This Row],[delivery_date]])</f>
        <v>43575</v>
      </c>
    </row>
    <row r="403" spans="1:17" ht="16" x14ac:dyDescent="0.45">
      <c r="A403" s="8" t="s">
        <v>1038</v>
      </c>
      <c r="B403" s="8" t="s">
        <v>25</v>
      </c>
      <c r="C403" s="9" t="s">
        <v>120</v>
      </c>
      <c r="D403" s="9" t="s">
        <v>85</v>
      </c>
      <c r="E403" s="9" t="s">
        <v>258</v>
      </c>
      <c r="F403" s="10">
        <v>2999</v>
      </c>
      <c r="G403" s="11">
        <v>1</v>
      </c>
      <c r="H403" s="12">
        <v>0.12</v>
      </c>
      <c r="I403" s="13">
        <v>359.88</v>
      </c>
      <c r="J403" s="13">
        <v>2639.12</v>
      </c>
      <c r="K403" s="13">
        <v>429.46</v>
      </c>
      <c r="L403" s="8" t="s">
        <v>969</v>
      </c>
      <c r="M403" s="19" t="s">
        <v>1039</v>
      </c>
      <c r="N403" s="9" t="s">
        <v>22</v>
      </c>
      <c r="O403" s="9" t="s">
        <v>96</v>
      </c>
      <c r="P403">
        <f>DATEVALUE(OnePlusSalesData[[#This Row],[order_date]])</f>
        <v>44020</v>
      </c>
      <c r="Q403" s="28">
        <f>DATEVALUE(OnePlusSalesData[[#This Row],[delivery_date]])</f>
        <v>44027</v>
      </c>
    </row>
    <row r="404" spans="1:17" ht="16" x14ac:dyDescent="0.45">
      <c r="A404" s="2" t="s">
        <v>1040</v>
      </c>
      <c r="B404" s="2" t="s">
        <v>52</v>
      </c>
      <c r="C404" s="3" t="s">
        <v>53</v>
      </c>
      <c r="D404" s="3" t="s">
        <v>27</v>
      </c>
      <c r="E404" s="3" t="s">
        <v>176</v>
      </c>
      <c r="F404" s="4">
        <v>69900</v>
      </c>
      <c r="G404" s="5">
        <v>1</v>
      </c>
      <c r="H404" s="6">
        <v>0.1</v>
      </c>
      <c r="I404" s="7">
        <v>6990</v>
      </c>
      <c r="J404" s="7">
        <v>62910</v>
      </c>
      <c r="K404" s="7">
        <v>9227.18</v>
      </c>
      <c r="L404" s="2" t="s">
        <v>1041</v>
      </c>
      <c r="M404" s="18" t="s">
        <v>1042</v>
      </c>
      <c r="N404" s="3" t="s">
        <v>22</v>
      </c>
      <c r="O404" s="3" t="s">
        <v>63</v>
      </c>
      <c r="P404">
        <f>DATEVALUE(OnePlusSalesData[[#This Row],[order_date]])</f>
        <v>43371</v>
      </c>
      <c r="Q404" s="28">
        <f>DATEVALUE(OnePlusSalesData[[#This Row],[delivery_date]])</f>
        <v>43375</v>
      </c>
    </row>
    <row r="405" spans="1:17" ht="16" x14ac:dyDescent="0.45">
      <c r="A405" s="8" t="s">
        <v>1043</v>
      </c>
      <c r="B405" s="8" t="s">
        <v>16</v>
      </c>
      <c r="C405" s="9" t="s">
        <v>140</v>
      </c>
      <c r="D405" s="9" t="s">
        <v>18</v>
      </c>
      <c r="E405" s="9" t="s">
        <v>179</v>
      </c>
      <c r="F405" s="10">
        <v>1290</v>
      </c>
      <c r="G405" s="11">
        <v>3</v>
      </c>
      <c r="H405" s="12">
        <v>0.12</v>
      </c>
      <c r="I405" s="13">
        <v>464.4</v>
      </c>
      <c r="J405" s="13">
        <v>3405.6</v>
      </c>
      <c r="K405" s="13">
        <v>605.05999999999995</v>
      </c>
      <c r="L405" s="8" t="s">
        <v>632</v>
      </c>
      <c r="M405" s="19" t="s">
        <v>633</v>
      </c>
      <c r="N405" s="9" t="s">
        <v>22</v>
      </c>
      <c r="O405" s="9" t="s">
        <v>63</v>
      </c>
      <c r="P405">
        <f>DATEVALUE(OnePlusSalesData[[#This Row],[order_date]])</f>
        <v>43283</v>
      </c>
      <c r="Q405" s="28">
        <f>DATEVALUE(OnePlusSalesData[[#This Row],[delivery_date]])</f>
        <v>43285</v>
      </c>
    </row>
    <row r="406" spans="1:17" ht="16" x14ac:dyDescent="0.45">
      <c r="A406" s="2" t="s">
        <v>1044</v>
      </c>
      <c r="B406" s="2" t="s">
        <v>58</v>
      </c>
      <c r="C406" s="3" t="s">
        <v>81</v>
      </c>
      <c r="D406" s="3" t="s">
        <v>27</v>
      </c>
      <c r="E406" s="3" t="s">
        <v>159</v>
      </c>
      <c r="F406" s="4">
        <v>22999</v>
      </c>
      <c r="G406" s="5">
        <v>1</v>
      </c>
      <c r="H406" s="6">
        <v>0.08</v>
      </c>
      <c r="I406" s="7">
        <v>1839.92</v>
      </c>
      <c r="J406" s="7">
        <v>21159.08</v>
      </c>
      <c r="K406" s="7">
        <v>4311.68</v>
      </c>
      <c r="L406" s="2" t="s">
        <v>685</v>
      </c>
      <c r="M406" s="18" t="s">
        <v>1045</v>
      </c>
      <c r="N406" s="3" t="s">
        <v>22</v>
      </c>
      <c r="O406" s="3" t="s">
        <v>23</v>
      </c>
      <c r="P406">
        <f>DATEVALUE(OnePlusSalesData[[#This Row],[order_date]])</f>
        <v>43394</v>
      </c>
      <c r="Q406" s="28">
        <f>DATEVALUE(OnePlusSalesData[[#This Row],[delivery_date]])</f>
        <v>43400</v>
      </c>
    </row>
    <row r="407" spans="1:17" ht="16" x14ac:dyDescent="0.45">
      <c r="A407" s="8" t="s">
        <v>1046</v>
      </c>
      <c r="B407" s="8" t="s">
        <v>16</v>
      </c>
      <c r="C407" s="9" t="s">
        <v>33</v>
      </c>
      <c r="D407" s="9" t="s">
        <v>27</v>
      </c>
      <c r="E407" s="9" t="s">
        <v>28</v>
      </c>
      <c r="F407" s="10">
        <v>12999</v>
      </c>
      <c r="G407" s="11">
        <v>1</v>
      </c>
      <c r="H407" s="12">
        <v>0.05</v>
      </c>
      <c r="I407" s="13">
        <v>649.95000000000005</v>
      </c>
      <c r="J407" s="13">
        <v>12349.05</v>
      </c>
      <c r="K407" s="13">
        <v>2255.13</v>
      </c>
      <c r="L407" s="8" t="s">
        <v>811</v>
      </c>
      <c r="M407" s="19" t="s">
        <v>983</v>
      </c>
      <c r="N407" s="9" t="s">
        <v>92</v>
      </c>
      <c r="O407" s="9" t="s">
        <v>63</v>
      </c>
      <c r="P407">
        <f>DATEVALUE(OnePlusSalesData[[#This Row],[order_date]])</f>
        <v>43975</v>
      </c>
      <c r="Q407" s="28">
        <f>DATEVALUE(OnePlusSalesData[[#This Row],[delivery_date]])</f>
        <v>43980</v>
      </c>
    </row>
    <row r="408" spans="1:17" ht="16" x14ac:dyDescent="0.45">
      <c r="A408" s="2" t="s">
        <v>1047</v>
      </c>
      <c r="B408" s="2" t="s">
        <v>58</v>
      </c>
      <c r="C408" s="3" t="s">
        <v>59</v>
      </c>
      <c r="D408" s="3" t="s">
        <v>40</v>
      </c>
      <c r="E408" s="3" t="s">
        <v>73</v>
      </c>
      <c r="F408" s="4">
        <v>32999</v>
      </c>
      <c r="G408" s="5">
        <v>1</v>
      </c>
      <c r="H408" s="6">
        <v>0.08</v>
      </c>
      <c r="I408" s="7">
        <v>2639.92</v>
      </c>
      <c r="J408" s="7">
        <v>30359.08</v>
      </c>
      <c r="K408" s="7">
        <v>7523.17</v>
      </c>
      <c r="L408" s="2" t="s">
        <v>486</v>
      </c>
      <c r="M408" s="18" t="s">
        <v>1025</v>
      </c>
      <c r="N408" s="3" t="s">
        <v>44</v>
      </c>
      <c r="O408" s="3" t="s">
        <v>23</v>
      </c>
      <c r="P408">
        <f>DATEVALUE(OnePlusSalesData[[#This Row],[order_date]])</f>
        <v>43238</v>
      </c>
      <c r="Q408" s="28">
        <f>DATEVALUE(OnePlusSalesData[[#This Row],[delivery_date]])</f>
        <v>43240</v>
      </c>
    </row>
    <row r="409" spans="1:17" ht="16" x14ac:dyDescent="0.45">
      <c r="A409" s="8" t="s">
        <v>1048</v>
      </c>
      <c r="B409" s="8" t="s">
        <v>25</v>
      </c>
      <c r="C409" s="9" t="s">
        <v>65</v>
      </c>
      <c r="D409" s="9" t="s">
        <v>85</v>
      </c>
      <c r="E409" s="9" t="s">
        <v>265</v>
      </c>
      <c r="F409" s="10">
        <v>4990</v>
      </c>
      <c r="G409" s="11">
        <v>1</v>
      </c>
      <c r="H409" s="12">
        <v>0.05</v>
      </c>
      <c r="I409" s="13">
        <v>249.5</v>
      </c>
      <c r="J409" s="13">
        <v>4740.5</v>
      </c>
      <c r="K409" s="13">
        <v>716.1</v>
      </c>
      <c r="L409" s="8" t="s">
        <v>1049</v>
      </c>
      <c r="M409" s="19" t="s">
        <v>982</v>
      </c>
      <c r="N409" s="9" t="s">
        <v>22</v>
      </c>
      <c r="O409" s="9" t="s">
        <v>146</v>
      </c>
      <c r="P409">
        <f>DATEVALUE(OnePlusSalesData[[#This Row],[order_date]])</f>
        <v>43970</v>
      </c>
      <c r="Q409" s="28">
        <f>DATEVALUE(OnePlusSalesData[[#This Row],[delivery_date]])</f>
        <v>43976</v>
      </c>
    </row>
    <row r="410" spans="1:17" ht="16" x14ac:dyDescent="0.45">
      <c r="A410" s="2" t="s">
        <v>1050</v>
      </c>
      <c r="B410" s="2" t="s">
        <v>52</v>
      </c>
      <c r="C410" s="3" t="s">
        <v>106</v>
      </c>
      <c r="D410" s="3" t="s">
        <v>27</v>
      </c>
      <c r="E410" s="3" t="s">
        <v>176</v>
      </c>
      <c r="F410" s="4">
        <v>69900</v>
      </c>
      <c r="G410" s="5">
        <v>2</v>
      </c>
      <c r="H410" s="6">
        <v>0.05</v>
      </c>
      <c r="I410" s="7">
        <v>6990</v>
      </c>
      <c r="J410" s="7">
        <v>132810</v>
      </c>
      <c r="K410" s="7">
        <v>20239.16</v>
      </c>
      <c r="L410" s="2" t="s">
        <v>1051</v>
      </c>
      <c r="M410" s="18" t="s">
        <v>1052</v>
      </c>
      <c r="N410" s="3" t="s">
        <v>92</v>
      </c>
      <c r="O410" s="3" t="s">
        <v>63</v>
      </c>
      <c r="P410">
        <f>DATEVALUE(OnePlusSalesData[[#This Row],[order_date]])</f>
        <v>43817</v>
      </c>
      <c r="Q410" s="28">
        <f>DATEVALUE(OnePlusSalesData[[#This Row],[delivery_date]])</f>
        <v>43821</v>
      </c>
    </row>
    <row r="411" spans="1:17" ht="16" x14ac:dyDescent="0.45">
      <c r="A411" s="8" t="s">
        <v>1053</v>
      </c>
      <c r="B411" s="8" t="s">
        <v>25</v>
      </c>
      <c r="C411" s="9" t="s">
        <v>120</v>
      </c>
      <c r="D411" s="9" t="s">
        <v>34</v>
      </c>
      <c r="E411" s="9" t="s">
        <v>77</v>
      </c>
      <c r="F411" s="10">
        <v>24999</v>
      </c>
      <c r="G411" s="11">
        <v>1</v>
      </c>
      <c r="H411" s="12">
        <v>0.1</v>
      </c>
      <c r="I411" s="13">
        <v>2499.9</v>
      </c>
      <c r="J411" s="13">
        <v>22499.1</v>
      </c>
      <c r="K411" s="13">
        <v>3798.04</v>
      </c>
      <c r="L411" s="8" t="s">
        <v>1054</v>
      </c>
      <c r="M411" s="19" t="s">
        <v>736</v>
      </c>
      <c r="N411" s="9" t="s">
        <v>22</v>
      </c>
      <c r="O411" s="9" t="s">
        <v>31</v>
      </c>
      <c r="P411">
        <f>DATEVALUE(OnePlusSalesData[[#This Row],[order_date]])</f>
        <v>43774</v>
      </c>
      <c r="Q411" s="28">
        <f>DATEVALUE(OnePlusSalesData[[#This Row],[delivery_date]])</f>
        <v>43779</v>
      </c>
    </row>
    <row r="412" spans="1:17" ht="16" x14ac:dyDescent="0.45">
      <c r="A412" s="2" t="s">
        <v>1055</v>
      </c>
      <c r="B412" s="2" t="s">
        <v>25</v>
      </c>
      <c r="C412" s="3" t="s">
        <v>65</v>
      </c>
      <c r="D412" s="3" t="s">
        <v>18</v>
      </c>
      <c r="E412" s="3" t="s">
        <v>19</v>
      </c>
      <c r="F412" s="4">
        <v>1990</v>
      </c>
      <c r="G412" s="5">
        <v>1</v>
      </c>
      <c r="H412" s="6">
        <v>0</v>
      </c>
      <c r="I412" s="7">
        <v>0</v>
      </c>
      <c r="J412" s="7">
        <v>1990</v>
      </c>
      <c r="K412" s="7">
        <v>443.08</v>
      </c>
      <c r="L412" s="2" t="s">
        <v>56</v>
      </c>
      <c r="M412" s="18" t="s">
        <v>763</v>
      </c>
      <c r="N412" s="3" t="s">
        <v>22</v>
      </c>
      <c r="O412" s="3" t="s">
        <v>146</v>
      </c>
      <c r="P412">
        <f>DATEVALUE(OnePlusSalesData[[#This Row],[order_date]])</f>
        <v>43505</v>
      </c>
      <c r="Q412" s="28">
        <f>DATEVALUE(OnePlusSalesData[[#This Row],[delivery_date]])</f>
        <v>43507</v>
      </c>
    </row>
    <row r="413" spans="1:17" ht="16" x14ac:dyDescent="0.45">
      <c r="A413" s="8" t="s">
        <v>1056</v>
      </c>
      <c r="B413" s="8" t="s">
        <v>52</v>
      </c>
      <c r="C413" s="9" t="s">
        <v>192</v>
      </c>
      <c r="D413" s="9" t="s">
        <v>18</v>
      </c>
      <c r="E413" s="9" t="s">
        <v>102</v>
      </c>
      <c r="F413" s="10">
        <v>1490</v>
      </c>
      <c r="G413" s="11">
        <v>1</v>
      </c>
      <c r="H413" s="12">
        <v>0</v>
      </c>
      <c r="I413" s="13">
        <v>0</v>
      </c>
      <c r="J413" s="13">
        <v>1490</v>
      </c>
      <c r="K413" s="13">
        <v>357.82</v>
      </c>
      <c r="L413" s="8" t="s">
        <v>1057</v>
      </c>
      <c r="M413" s="19" t="s">
        <v>1058</v>
      </c>
      <c r="N413" s="9" t="s">
        <v>50</v>
      </c>
      <c r="O413" s="9" t="s">
        <v>63</v>
      </c>
      <c r="P413">
        <f>DATEVALUE(OnePlusSalesData[[#This Row],[order_date]])</f>
        <v>43596</v>
      </c>
      <c r="Q413" s="28">
        <f>DATEVALUE(OnePlusSalesData[[#This Row],[delivery_date]])</f>
        <v>43603</v>
      </c>
    </row>
    <row r="414" spans="1:17" ht="16" x14ac:dyDescent="0.45">
      <c r="A414" s="2" t="s">
        <v>1059</v>
      </c>
      <c r="B414" s="2" t="s">
        <v>25</v>
      </c>
      <c r="C414" s="3" t="s">
        <v>65</v>
      </c>
      <c r="D414" s="3" t="s">
        <v>18</v>
      </c>
      <c r="E414" s="3" t="s">
        <v>19</v>
      </c>
      <c r="F414" s="4">
        <v>1990</v>
      </c>
      <c r="G414" s="5">
        <v>3</v>
      </c>
      <c r="H414" s="6">
        <v>0.05</v>
      </c>
      <c r="I414" s="7">
        <v>298.5</v>
      </c>
      <c r="J414" s="7">
        <v>5671.5</v>
      </c>
      <c r="K414" s="7">
        <v>1106.48</v>
      </c>
      <c r="L414" s="2" t="s">
        <v>1060</v>
      </c>
      <c r="M414" s="18" t="s">
        <v>1061</v>
      </c>
      <c r="N414" s="3" t="s">
        <v>22</v>
      </c>
      <c r="O414" s="3" t="s">
        <v>63</v>
      </c>
      <c r="P414">
        <f>DATEVALUE(OnePlusSalesData[[#This Row],[order_date]])</f>
        <v>44116</v>
      </c>
      <c r="Q414" s="28">
        <f>DATEVALUE(OnePlusSalesData[[#This Row],[delivery_date]])</f>
        <v>44120</v>
      </c>
    </row>
    <row r="415" spans="1:17" ht="16" x14ac:dyDescent="0.45">
      <c r="A415" s="8" t="s">
        <v>1062</v>
      </c>
      <c r="B415" s="8" t="s">
        <v>25</v>
      </c>
      <c r="C415" s="9" t="s">
        <v>133</v>
      </c>
      <c r="D415" s="9" t="s">
        <v>40</v>
      </c>
      <c r="E415" s="9" t="s">
        <v>47</v>
      </c>
      <c r="F415" s="10">
        <v>37999</v>
      </c>
      <c r="G415" s="11">
        <v>1</v>
      </c>
      <c r="H415" s="12">
        <v>0.05</v>
      </c>
      <c r="I415" s="13">
        <v>1899.95</v>
      </c>
      <c r="J415" s="13">
        <v>36099.050000000003</v>
      </c>
      <c r="K415" s="13">
        <v>6820.19</v>
      </c>
      <c r="L415" s="8" t="s">
        <v>167</v>
      </c>
      <c r="M415" s="19" t="s">
        <v>269</v>
      </c>
      <c r="N415" s="9" t="s">
        <v>92</v>
      </c>
      <c r="O415" s="9" t="s">
        <v>96</v>
      </c>
      <c r="P415">
        <f>DATEVALUE(OnePlusSalesData[[#This Row],[order_date]])</f>
        <v>43810</v>
      </c>
      <c r="Q415" s="28">
        <f>DATEVALUE(OnePlusSalesData[[#This Row],[delivery_date]])</f>
        <v>43814</v>
      </c>
    </row>
    <row r="416" spans="1:17" ht="16" x14ac:dyDescent="0.45">
      <c r="A416" s="2" t="s">
        <v>1063</v>
      </c>
      <c r="B416" s="2" t="s">
        <v>16</v>
      </c>
      <c r="C416" s="3" t="s">
        <v>17</v>
      </c>
      <c r="D416" s="3" t="s">
        <v>40</v>
      </c>
      <c r="E416" s="3" t="s">
        <v>148</v>
      </c>
      <c r="F416" s="4">
        <v>41999</v>
      </c>
      <c r="G416" s="5">
        <v>1</v>
      </c>
      <c r="H416" s="6">
        <v>0</v>
      </c>
      <c r="I416" s="7">
        <v>0</v>
      </c>
      <c r="J416" s="7">
        <v>41999</v>
      </c>
      <c r="K416" s="7">
        <v>8968.2800000000007</v>
      </c>
      <c r="L416" s="2" t="s">
        <v>199</v>
      </c>
      <c r="M416" s="18" t="s">
        <v>200</v>
      </c>
      <c r="N416" s="3" t="s">
        <v>92</v>
      </c>
      <c r="O416" s="3" t="s">
        <v>63</v>
      </c>
      <c r="P416">
        <f>DATEVALUE(OnePlusSalesData[[#This Row],[order_date]])</f>
        <v>43851</v>
      </c>
      <c r="Q416" s="28">
        <f>DATEVALUE(OnePlusSalesData[[#This Row],[delivery_date]])</f>
        <v>43856</v>
      </c>
    </row>
    <row r="417" spans="1:17" ht="16" x14ac:dyDescent="0.45">
      <c r="A417" s="8" t="s">
        <v>1064</v>
      </c>
      <c r="B417" s="8" t="s">
        <v>25</v>
      </c>
      <c r="C417" s="9" t="s">
        <v>26</v>
      </c>
      <c r="D417" s="9" t="s">
        <v>18</v>
      </c>
      <c r="E417" s="9" t="s">
        <v>124</v>
      </c>
      <c r="F417" s="10">
        <v>3990</v>
      </c>
      <c r="G417" s="11">
        <v>1</v>
      </c>
      <c r="H417" s="12">
        <v>0.05</v>
      </c>
      <c r="I417" s="13">
        <v>199.5</v>
      </c>
      <c r="J417" s="13">
        <v>3790.5</v>
      </c>
      <c r="K417" s="13">
        <v>729.98</v>
      </c>
      <c r="L417" s="8" t="s">
        <v>743</v>
      </c>
      <c r="M417" s="19" t="s">
        <v>1065</v>
      </c>
      <c r="N417" s="9" t="s">
        <v>22</v>
      </c>
      <c r="O417" s="9" t="s">
        <v>31</v>
      </c>
      <c r="P417">
        <f>DATEVALUE(OnePlusSalesData[[#This Row],[order_date]])</f>
        <v>43463</v>
      </c>
      <c r="Q417" s="28">
        <f>DATEVALUE(OnePlusSalesData[[#This Row],[delivery_date]])</f>
        <v>43466</v>
      </c>
    </row>
    <row r="418" spans="1:17" ht="16" x14ac:dyDescent="0.45">
      <c r="A418" s="2" t="s">
        <v>1066</v>
      </c>
      <c r="B418" s="2" t="s">
        <v>16</v>
      </c>
      <c r="C418" s="3" t="s">
        <v>140</v>
      </c>
      <c r="D418" s="3" t="s">
        <v>85</v>
      </c>
      <c r="E418" s="3" t="s">
        <v>258</v>
      </c>
      <c r="F418" s="4">
        <v>2999</v>
      </c>
      <c r="G418" s="5">
        <v>1</v>
      </c>
      <c r="H418" s="6">
        <v>0</v>
      </c>
      <c r="I418" s="7">
        <v>0</v>
      </c>
      <c r="J418" s="7">
        <v>2999</v>
      </c>
      <c r="K418" s="7">
        <v>523.51</v>
      </c>
      <c r="L418" s="2" t="s">
        <v>1067</v>
      </c>
      <c r="M418" s="18" t="s">
        <v>1068</v>
      </c>
      <c r="N418" s="3" t="s">
        <v>22</v>
      </c>
      <c r="O418" s="3" t="s">
        <v>96</v>
      </c>
      <c r="P418">
        <f>DATEVALUE(OnePlusSalesData[[#This Row],[order_date]])</f>
        <v>43908</v>
      </c>
      <c r="Q418" s="28">
        <f>DATEVALUE(OnePlusSalesData[[#This Row],[delivery_date]])</f>
        <v>43912</v>
      </c>
    </row>
    <row r="419" spans="1:17" ht="16" x14ac:dyDescent="0.45">
      <c r="A419" s="8" t="s">
        <v>1069</v>
      </c>
      <c r="B419" s="8" t="s">
        <v>25</v>
      </c>
      <c r="C419" s="9" t="s">
        <v>172</v>
      </c>
      <c r="D419" s="9" t="s">
        <v>85</v>
      </c>
      <c r="E419" s="9" t="s">
        <v>265</v>
      </c>
      <c r="F419" s="10">
        <v>4990</v>
      </c>
      <c r="G419" s="11">
        <v>2</v>
      </c>
      <c r="H419" s="12">
        <v>0</v>
      </c>
      <c r="I419" s="13">
        <v>0</v>
      </c>
      <c r="J419" s="13">
        <v>9980</v>
      </c>
      <c r="K419" s="13">
        <v>1777.67</v>
      </c>
      <c r="L419" s="8" t="s">
        <v>1070</v>
      </c>
      <c r="M419" s="19" t="s">
        <v>996</v>
      </c>
      <c r="N419" s="9" t="s">
        <v>22</v>
      </c>
      <c r="O419" s="9" t="s">
        <v>45</v>
      </c>
      <c r="P419">
        <f>DATEVALUE(OnePlusSalesData[[#This Row],[order_date]])</f>
        <v>43271</v>
      </c>
      <c r="Q419" s="28">
        <f>DATEVALUE(OnePlusSalesData[[#This Row],[delivery_date]])</f>
        <v>43273</v>
      </c>
    </row>
    <row r="420" spans="1:17" ht="16" x14ac:dyDescent="0.45">
      <c r="A420" s="2" t="s">
        <v>1071</v>
      </c>
      <c r="B420" s="2" t="s">
        <v>25</v>
      </c>
      <c r="C420" s="3" t="s">
        <v>120</v>
      </c>
      <c r="D420" s="3" t="s">
        <v>27</v>
      </c>
      <c r="E420" s="3" t="s">
        <v>176</v>
      </c>
      <c r="F420" s="4">
        <v>69900</v>
      </c>
      <c r="G420" s="5">
        <v>1</v>
      </c>
      <c r="H420" s="6">
        <v>0.05</v>
      </c>
      <c r="I420" s="7">
        <v>3495</v>
      </c>
      <c r="J420" s="7">
        <v>66405</v>
      </c>
      <c r="K420" s="7">
        <v>11573.33</v>
      </c>
      <c r="L420" s="2" t="s">
        <v>1072</v>
      </c>
      <c r="M420" s="18" t="s">
        <v>1073</v>
      </c>
      <c r="N420" s="3" t="s">
        <v>22</v>
      </c>
      <c r="O420" s="3" t="s">
        <v>23</v>
      </c>
      <c r="P420">
        <f>DATEVALUE(OnePlusSalesData[[#This Row],[order_date]])</f>
        <v>43898</v>
      </c>
      <c r="Q420" s="28">
        <f>DATEVALUE(OnePlusSalesData[[#This Row],[delivery_date]])</f>
        <v>43901</v>
      </c>
    </row>
    <row r="421" spans="1:17" ht="16" x14ac:dyDescent="0.45">
      <c r="A421" s="8" t="s">
        <v>1074</v>
      </c>
      <c r="B421" s="8" t="s">
        <v>52</v>
      </c>
      <c r="C421" s="9" t="s">
        <v>106</v>
      </c>
      <c r="D421" s="9" t="s">
        <v>40</v>
      </c>
      <c r="E421" s="9" t="s">
        <v>47</v>
      </c>
      <c r="F421" s="10">
        <v>37999</v>
      </c>
      <c r="G421" s="11">
        <v>3</v>
      </c>
      <c r="H421" s="12">
        <v>0</v>
      </c>
      <c r="I421" s="13">
        <v>0</v>
      </c>
      <c r="J421" s="13">
        <v>113997</v>
      </c>
      <c r="K421" s="13">
        <v>27353.759999999998</v>
      </c>
      <c r="L421" s="8" t="s">
        <v>355</v>
      </c>
      <c r="M421" s="19" t="s">
        <v>356</v>
      </c>
      <c r="N421" s="9" t="s">
        <v>22</v>
      </c>
      <c r="O421" s="9" t="s">
        <v>96</v>
      </c>
      <c r="P421">
        <f>DATEVALUE(OnePlusSalesData[[#This Row],[order_date]])</f>
        <v>43594</v>
      </c>
      <c r="Q421" s="28">
        <f>DATEVALUE(OnePlusSalesData[[#This Row],[delivery_date]])</f>
        <v>43599</v>
      </c>
    </row>
    <row r="422" spans="1:17" ht="16" x14ac:dyDescent="0.45">
      <c r="A422" s="2" t="s">
        <v>1075</v>
      </c>
      <c r="B422" s="2" t="s">
        <v>25</v>
      </c>
      <c r="C422" s="3" t="s">
        <v>172</v>
      </c>
      <c r="D422" s="3" t="s">
        <v>18</v>
      </c>
      <c r="E422" s="3" t="s">
        <v>19</v>
      </c>
      <c r="F422" s="4">
        <v>1990</v>
      </c>
      <c r="G422" s="5">
        <v>1</v>
      </c>
      <c r="H422" s="6">
        <v>0.05</v>
      </c>
      <c r="I422" s="7">
        <v>99.5</v>
      </c>
      <c r="J422" s="7">
        <v>1890.5</v>
      </c>
      <c r="K422" s="7">
        <v>334.65</v>
      </c>
      <c r="L422" s="2" t="s">
        <v>1076</v>
      </c>
      <c r="M422" s="18" t="s">
        <v>267</v>
      </c>
      <c r="N422" s="3" t="s">
        <v>22</v>
      </c>
      <c r="O422" s="3" t="s">
        <v>45</v>
      </c>
      <c r="P422">
        <f>DATEVALUE(OnePlusSalesData[[#This Row],[order_date]])</f>
        <v>44130</v>
      </c>
      <c r="Q422" s="28">
        <f>DATEVALUE(OnePlusSalesData[[#This Row],[delivery_date]])</f>
        <v>44134</v>
      </c>
    </row>
    <row r="423" spans="1:17" ht="16" x14ac:dyDescent="0.45">
      <c r="A423" s="8" t="s">
        <v>1077</v>
      </c>
      <c r="B423" s="8" t="s">
        <v>52</v>
      </c>
      <c r="C423" s="9" t="s">
        <v>106</v>
      </c>
      <c r="D423" s="9" t="s">
        <v>40</v>
      </c>
      <c r="E423" s="9" t="s">
        <v>406</v>
      </c>
      <c r="F423" s="10">
        <v>48999</v>
      </c>
      <c r="G423" s="11">
        <v>1</v>
      </c>
      <c r="H423" s="12">
        <v>0</v>
      </c>
      <c r="I423" s="13">
        <v>0</v>
      </c>
      <c r="J423" s="13">
        <v>48999</v>
      </c>
      <c r="K423" s="13">
        <v>11900.04</v>
      </c>
      <c r="L423" s="8" t="s">
        <v>1078</v>
      </c>
      <c r="M423" s="19" t="s">
        <v>131</v>
      </c>
      <c r="N423" s="9" t="s">
        <v>44</v>
      </c>
      <c r="O423" s="9" t="s">
        <v>31</v>
      </c>
      <c r="P423">
        <f>DATEVALUE(OnePlusSalesData[[#This Row],[order_date]])</f>
        <v>43554</v>
      </c>
      <c r="Q423" s="28">
        <f>DATEVALUE(OnePlusSalesData[[#This Row],[delivery_date]])</f>
        <v>43558</v>
      </c>
    </row>
    <row r="424" spans="1:17" ht="16" x14ac:dyDescent="0.45">
      <c r="A424" s="2" t="s">
        <v>1079</v>
      </c>
      <c r="B424" s="2" t="s">
        <v>52</v>
      </c>
      <c r="C424" s="3" t="s">
        <v>69</v>
      </c>
      <c r="D424" s="3" t="s">
        <v>85</v>
      </c>
      <c r="E424" s="3" t="s">
        <v>265</v>
      </c>
      <c r="F424" s="4">
        <v>4990</v>
      </c>
      <c r="G424" s="5">
        <v>5</v>
      </c>
      <c r="H424" s="6">
        <v>0</v>
      </c>
      <c r="I424" s="7">
        <v>0</v>
      </c>
      <c r="J424" s="7">
        <v>24950</v>
      </c>
      <c r="K424" s="7">
        <v>5299.97</v>
      </c>
      <c r="L424" s="2" t="s">
        <v>1080</v>
      </c>
      <c r="M424" s="18" t="s">
        <v>1020</v>
      </c>
      <c r="N424" s="3" t="s">
        <v>92</v>
      </c>
      <c r="O424" s="3" t="s">
        <v>23</v>
      </c>
      <c r="P424">
        <f>DATEVALUE(OnePlusSalesData[[#This Row],[order_date]])</f>
        <v>43699</v>
      </c>
      <c r="Q424" s="28">
        <f>DATEVALUE(OnePlusSalesData[[#This Row],[delivery_date]])</f>
        <v>43706</v>
      </c>
    </row>
    <row r="425" spans="1:17" ht="16" x14ac:dyDescent="0.45">
      <c r="A425" s="8" t="s">
        <v>1081</v>
      </c>
      <c r="B425" s="8" t="s">
        <v>58</v>
      </c>
      <c r="C425" s="9" t="s">
        <v>113</v>
      </c>
      <c r="D425" s="9" t="s">
        <v>27</v>
      </c>
      <c r="E425" s="9" t="s">
        <v>176</v>
      </c>
      <c r="F425" s="10">
        <v>69900</v>
      </c>
      <c r="G425" s="11">
        <v>1</v>
      </c>
      <c r="H425" s="12">
        <v>0.05</v>
      </c>
      <c r="I425" s="13">
        <v>3495</v>
      </c>
      <c r="J425" s="13">
        <v>66405</v>
      </c>
      <c r="K425" s="13">
        <v>16603.439999999999</v>
      </c>
      <c r="L425" s="8" t="s">
        <v>1082</v>
      </c>
      <c r="M425" s="19" t="s">
        <v>334</v>
      </c>
      <c r="N425" s="9" t="s">
        <v>22</v>
      </c>
      <c r="O425" s="9" t="s">
        <v>63</v>
      </c>
      <c r="P425">
        <f>DATEVALUE(OnePlusSalesData[[#This Row],[order_date]])</f>
        <v>43381</v>
      </c>
      <c r="Q425" s="28">
        <f>DATEVALUE(OnePlusSalesData[[#This Row],[delivery_date]])</f>
        <v>43386</v>
      </c>
    </row>
    <row r="426" spans="1:17" ht="16" x14ac:dyDescent="0.45">
      <c r="A426" s="2" t="s">
        <v>1083</v>
      </c>
      <c r="B426" s="2" t="s">
        <v>16</v>
      </c>
      <c r="C426" s="3" t="s">
        <v>140</v>
      </c>
      <c r="D426" s="3" t="s">
        <v>85</v>
      </c>
      <c r="E426" s="3" t="s">
        <v>258</v>
      </c>
      <c r="F426" s="4">
        <v>2999</v>
      </c>
      <c r="G426" s="5">
        <v>2</v>
      </c>
      <c r="H426" s="6">
        <v>0.08</v>
      </c>
      <c r="I426" s="7">
        <v>479.84</v>
      </c>
      <c r="J426" s="7">
        <v>5518.16</v>
      </c>
      <c r="K426" s="7">
        <v>998.04</v>
      </c>
      <c r="L426" s="2" t="s">
        <v>536</v>
      </c>
      <c r="M426" s="18" t="s">
        <v>110</v>
      </c>
      <c r="N426" s="3" t="s">
        <v>22</v>
      </c>
      <c r="O426" s="3" t="s">
        <v>23</v>
      </c>
      <c r="P426">
        <f>DATEVALUE(OnePlusSalesData[[#This Row],[order_date]])</f>
        <v>43739</v>
      </c>
      <c r="Q426" s="28">
        <f>DATEVALUE(OnePlusSalesData[[#This Row],[delivery_date]])</f>
        <v>43741</v>
      </c>
    </row>
    <row r="427" spans="1:17" ht="16" x14ac:dyDescent="0.45">
      <c r="A427" s="8" t="s">
        <v>1084</v>
      </c>
      <c r="B427" s="8" t="s">
        <v>16</v>
      </c>
      <c r="C427" s="9" t="s">
        <v>140</v>
      </c>
      <c r="D427" s="9" t="s">
        <v>40</v>
      </c>
      <c r="E427" s="9" t="s">
        <v>73</v>
      </c>
      <c r="F427" s="10">
        <v>32999</v>
      </c>
      <c r="G427" s="11">
        <v>1</v>
      </c>
      <c r="H427" s="12">
        <v>0.1</v>
      </c>
      <c r="I427" s="13">
        <v>3299.9</v>
      </c>
      <c r="J427" s="13">
        <v>29699.1</v>
      </c>
      <c r="K427" s="13">
        <v>7537.34</v>
      </c>
      <c r="L427" s="8" t="s">
        <v>1085</v>
      </c>
      <c r="M427" s="19" t="s">
        <v>1086</v>
      </c>
      <c r="N427" s="9" t="s">
        <v>22</v>
      </c>
      <c r="O427" s="9" t="s">
        <v>146</v>
      </c>
      <c r="P427">
        <f>DATEVALUE(OnePlusSalesData[[#This Row],[order_date]])</f>
        <v>44003</v>
      </c>
      <c r="Q427" s="28">
        <f>DATEVALUE(OnePlusSalesData[[#This Row],[delivery_date]])</f>
        <v>44005</v>
      </c>
    </row>
    <row r="428" spans="1:17" ht="16" x14ac:dyDescent="0.45">
      <c r="A428" s="2" t="s">
        <v>1087</v>
      </c>
      <c r="B428" s="2" t="s">
        <v>58</v>
      </c>
      <c r="C428" s="3" t="s">
        <v>113</v>
      </c>
      <c r="D428" s="3" t="s">
        <v>18</v>
      </c>
      <c r="E428" s="3" t="s">
        <v>179</v>
      </c>
      <c r="F428" s="4">
        <v>1290</v>
      </c>
      <c r="G428" s="5">
        <v>1</v>
      </c>
      <c r="H428" s="6">
        <v>0</v>
      </c>
      <c r="I428" s="7">
        <v>0</v>
      </c>
      <c r="J428" s="7">
        <v>1290</v>
      </c>
      <c r="K428" s="7">
        <v>269.45</v>
      </c>
      <c r="L428" s="2" t="s">
        <v>562</v>
      </c>
      <c r="M428" s="18" t="s">
        <v>753</v>
      </c>
      <c r="N428" s="3" t="s">
        <v>92</v>
      </c>
      <c r="O428" s="3" t="s">
        <v>96</v>
      </c>
      <c r="P428">
        <f>DATEVALUE(OnePlusSalesData[[#This Row],[order_date]])</f>
        <v>43583</v>
      </c>
      <c r="Q428" s="28">
        <f>DATEVALUE(OnePlusSalesData[[#This Row],[delivery_date]])</f>
        <v>43589</v>
      </c>
    </row>
    <row r="429" spans="1:17" ht="16" x14ac:dyDescent="0.45">
      <c r="A429" s="8" t="s">
        <v>1088</v>
      </c>
      <c r="B429" s="8" t="s">
        <v>52</v>
      </c>
      <c r="C429" s="9" t="s">
        <v>69</v>
      </c>
      <c r="D429" s="9" t="s">
        <v>18</v>
      </c>
      <c r="E429" s="9" t="s">
        <v>19</v>
      </c>
      <c r="F429" s="10">
        <v>1990</v>
      </c>
      <c r="G429" s="11">
        <v>1</v>
      </c>
      <c r="H429" s="12">
        <v>0.08</v>
      </c>
      <c r="I429" s="13">
        <v>159.19999999999999</v>
      </c>
      <c r="J429" s="13">
        <v>1830.8</v>
      </c>
      <c r="K429" s="13">
        <v>336.31</v>
      </c>
      <c r="L429" s="8" t="s">
        <v>157</v>
      </c>
      <c r="M429" s="19" t="s">
        <v>538</v>
      </c>
      <c r="N429" s="9" t="s">
        <v>22</v>
      </c>
      <c r="O429" s="9" t="s">
        <v>23</v>
      </c>
      <c r="P429">
        <f>DATEVALUE(OnePlusSalesData[[#This Row],[order_date]])</f>
        <v>44099</v>
      </c>
      <c r="Q429" s="28">
        <f>DATEVALUE(OnePlusSalesData[[#This Row],[delivery_date]])</f>
        <v>44106</v>
      </c>
    </row>
    <row r="430" spans="1:17" ht="16" x14ac:dyDescent="0.45">
      <c r="A430" s="2" t="s">
        <v>1089</v>
      </c>
      <c r="B430" s="2" t="s">
        <v>52</v>
      </c>
      <c r="C430" s="3" t="s">
        <v>106</v>
      </c>
      <c r="D430" s="3" t="s">
        <v>85</v>
      </c>
      <c r="E430" s="3" t="s">
        <v>86</v>
      </c>
      <c r="F430" s="4">
        <v>1999</v>
      </c>
      <c r="G430" s="5">
        <v>1</v>
      </c>
      <c r="H430" s="6">
        <v>0</v>
      </c>
      <c r="I430" s="7">
        <v>0</v>
      </c>
      <c r="J430" s="7">
        <v>1999</v>
      </c>
      <c r="K430" s="7">
        <v>333.06</v>
      </c>
      <c r="L430" s="2" t="s">
        <v>483</v>
      </c>
      <c r="M430" s="18" t="s">
        <v>127</v>
      </c>
      <c r="N430" s="3" t="s">
        <v>50</v>
      </c>
      <c r="O430" s="3" t="s">
        <v>96</v>
      </c>
      <c r="P430">
        <f>DATEVALUE(OnePlusSalesData[[#This Row],[order_date]])</f>
        <v>43565</v>
      </c>
      <c r="Q430" s="28">
        <f>DATEVALUE(OnePlusSalesData[[#This Row],[delivery_date]])</f>
        <v>43570</v>
      </c>
    </row>
    <row r="431" spans="1:17" ht="16" x14ac:dyDescent="0.45">
      <c r="A431" s="8" t="s">
        <v>1090</v>
      </c>
      <c r="B431" s="8" t="s">
        <v>25</v>
      </c>
      <c r="C431" s="9" t="s">
        <v>120</v>
      </c>
      <c r="D431" s="9" t="s">
        <v>18</v>
      </c>
      <c r="E431" s="9" t="s">
        <v>19</v>
      </c>
      <c r="F431" s="10">
        <v>1990</v>
      </c>
      <c r="G431" s="11">
        <v>3</v>
      </c>
      <c r="H431" s="12">
        <v>0</v>
      </c>
      <c r="I431" s="13">
        <v>0</v>
      </c>
      <c r="J431" s="13">
        <v>5970</v>
      </c>
      <c r="K431" s="13">
        <v>987.05</v>
      </c>
      <c r="L431" s="8" t="s">
        <v>1091</v>
      </c>
      <c r="M431" s="19" t="s">
        <v>1092</v>
      </c>
      <c r="N431" s="9" t="s">
        <v>50</v>
      </c>
      <c r="O431" s="9" t="s">
        <v>63</v>
      </c>
      <c r="P431">
        <f>DATEVALUE(OnePlusSalesData[[#This Row],[order_date]])</f>
        <v>44070</v>
      </c>
      <c r="Q431" s="28">
        <f>DATEVALUE(OnePlusSalesData[[#This Row],[delivery_date]])</f>
        <v>44076</v>
      </c>
    </row>
    <row r="432" spans="1:17" ht="16" x14ac:dyDescent="0.45">
      <c r="A432" s="2" t="s">
        <v>1093</v>
      </c>
      <c r="B432" s="2" t="s">
        <v>52</v>
      </c>
      <c r="C432" s="3" t="s">
        <v>106</v>
      </c>
      <c r="D432" s="3" t="s">
        <v>18</v>
      </c>
      <c r="E432" s="3" t="s">
        <v>19</v>
      </c>
      <c r="F432" s="4">
        <v>1990</v>
      </c>
      <c r="G432" s="5">
        <v>1</v>
      </c>
      <c r="H432" s="6">
        <v>0</v>
      </c>
      <c r="I432" s="7">
        <v>0</v>
      </c>
      <c r="J432" s="7">
        <v>1990</v>
      </c>
      <c r="K432" s="7">
        <v>415.19</v>
      </c>
      <c r="L432" s="2" t="s">
        <v>904</v>
      </c>
      <c r="M432" s="18" t="s">
        <v>911</v>
      </c>
      <c r="N432" s="3" t="s">
        <v>92</v>
      </c>
      <c r="O432" s="3" t="s">
        <v>23</v>
      </c>
      <c r="P432">
        <f>DATEVALUE(OnePlusSalesData[[#This Row],[order_date]])</f>
        <v>43164</v>
      </c>
      <c r="Q432" s="28">
        <f>DATEVALUE(OnePlusSalesData[[#This Row],[delivery_date]])</f>
        <v>43170</v>
      </c>
    </row>
    <row r="433" spans="1:17" ht="16" x14ac:dyDescent="0.45">
      <c r="A433" s="8" t="s">
        <v>1094</v>
      </c>
      <c r="B433" s="8" t="s">
        <v>25</v>
      </c>
      <c r="C433" s="9" t="s">
        <v>120</v>
      </c>
      <c r="D433" s="9" t="s">
        <v>40</v>
      </c>
      <c r="E433" s="9" t="s">
        <v>47</v>
      </c>
      <c r="F433" s="10">
        <v>37999</v>
      </c>
      <c r="G433" s="11">
        <v>1</v>
      </c>
      <c r="H433" s="12">
        <v>0.08</v>
      </c>
      <c r="I433" s="13">
        <v>3039.92</v>
      </c>
      <c r="J433" s="13">
        <v>34959.08</v>
      </c>
      <c r="K433" s="13">
        <v>5132.05</v>
      </c>
      <c r="L433" s="8" t="s">
        <v>1095</v>
      </c>
      <c r="M433" s="19" t="s">
        <v>1096</v>
      </c>
      <c r="N433" s="9" t="s">
        <v>22</v>
      </c>
      <c r="O433" s="9" t="s">
        <v>45</v>
      </c>
      <c r="P433">
        <f>DATEVALUE(OnePlusSalesData[[#This Row],[order_date]])</f>
        <v>44154</v>
      </c>
      <c r="Q433" s="28">
        <f>DATEVALUE(OnePlusSalesData[[#This Row],[delivery_date]])</f>
        <v>44160</v>
      </c>
    </row>
    <row r="434" spans="1:17" ht="16" x14ac:dyDescent="0.45">
      <c r="A434" s="2" t="s">
        <v>1097</v>
      </c>
      <c r="B434" s="2" t="s">
        <v>25</v>
      </c>
      <c r="C434" s="3" t="s">
        <v>65</v>
      </c>
      <c r="D434" s="3" t="s">
        <v>40</v>
      </c>
      <c r="E434" s="3" t="s">
        <v>406</v>
      </c>
      <c r="F434" s="4">
        <v>48999</v>
      </c>
      <c r="G434" s="5">
        <v>3</v>
      </c>
      <c r="H434" s="6">
        <v>0.1</v>
      </c>
      <c r="I434" s="7">
        <v>14699.7</v>
      </c>
      <c r="J434" s="7">
        <v>132297.29999999999</v>
      </c>
      <c r="K434" s="7">
        <v>23241.26</v>
      </c>
      <c r="L434" s="2" t="s">
        <v>539</v>
      </c>
      <c r="M434" s="18" t="s">
        <v>164</v>
      </c>
      <c r="N434" s="3" t="s">
        <v>22</v>
      </c>
      <c r="O434" s="3" t="s">
        <v>146</v>
      </c>
      <c r="P434">
        <f>DATEVALUE(OnePlusSalesData[[#This Row],[order_date]])</f>
        <v>44111</v>
      </c>
      <c r="Q434" s="28">
        <f>DATEVALUE(OnePlusSalesData[[#This Row],[delivery_date]])</f>
        <v>44115</v>
      </c>
    </row>
    <row r="435" spans="1:17" ht="16" x14ac:dyDescent="0.45">
      <c r="A435" s="8" t="s">
        <v>1098</v>
      </c>
      <c r="B435" s="8" t="s">
        <v>52</v>
      </c>
      <c r="C435" s="9" t="s">
        <v>106</v>
      </c>
      <c r="D435" s="9" t="s">
        <v>34</v>
      </c>
      <c r="E435" s="9" t="s">
        <v>77</v>
      </c>
      <c r="F435" s="10">
        <v>24999</v>
      </c>
      <c r="G435" s="11">
        <v>1</v>
      </c>
      <c r="H435" s="12">
        <v>0</v>
      </c>
      <c r="I435" s="13">
        <v>0</v>
      </c>
      <c r="J435" s="13">
        <v>24999</v>
      </c>
      <c r="K435" s="13">
        <v>3635.74</v>
      </c>
      <c r="L435" s="8" t="s">
        <v>641</v>
      </c>
      <c r="M435" s="19" t="s">
        <v>925</v>
      </c>
      <c r="N435" s="9" t="s">
        <v>22</v>
      </c>
      <c r="O435" s="9" t="s">
        <v>63</v>
      </c>
      <c r="P435">
        <f>DATEVALUE(OnePlusSalesData[[#This Row],[order_date]])</f>
        <v>43738</v>
      </c>
      <c r="Q435" s="28">
        <f>DATEVALUE(OnePlusSalesData[[#This Row],[delivery_date]])</f>
        <v>43742</v>
      </c>
    </row>
    <row r="436" spans="1:17" ht="16" x14ac:dyDescent="0.45">
      <c r="A436" s="2" t="s">
        <v>1099</v>
      </c>
      <c r="B436" s="2" t="s">
        <v>25</v>
      </c>
      <c r="C436" s="3" t="s">
        <v>172</v>
      </c>
      <c r="D436" s="3" t="s">
        <v>85</v>
      </c>
      <c r="E436" s="3" t="s">
        <v>265</v>
      </c>
      <c r="F436" s="4">
        <v>4990</v>
      </c>
      <c r="G436" s="5">
        <v>5</v>
      </c>
      <c r="H436" s="6">
        <v>0</v>
      </c>
      <c r="I436" s="7">
        <v>0</v>
      </c>
      <c r="J436" s="7">
        <v>24950</v>
      </c>
      <c r="K436" s="7">
        <v>6452.33</v>
      </c>
      <c r="L436" s="2" t="s">
        <v>1100</v>
      </c>
      <c r="M436" s="18" t="s">
        <v>605</v>
      </c>
      <c r="N436" s="3" t="s">
        <v>22</v>
      </c>
      <c r="O436" s="3" t="s">
        <v>63</v>
      </c>
      <c r="P436">
        <f>DATEVALUE(OnePlusSalesData[[#This Row],[order_date]])</f>
        <v>43590</v>
      </c>
      <c r="Q436" s="28">
        <f>DATEVALUE(OnePlusSalesData[[#This Row],[delivery_date]])</f>
        <v>43597</v>
      </c>
    </row>
    <row r="437" spans="1:17" ht="16" x14ac:dyDescent="0.45">
      <c r="A437" s="8" t="s">
        <v>1101</v>
      </c>
      <c r="B437" s="8" t="s">
        <v>16</v>
      </c>
      <c r="C437" s="9" t="s">
        <v>39</v>
      </c>
      <c r="D437" s="9" t="s">
        <v>27</v>
      </c>
      <c r="E437" s="9" t="s">
        <v>28</v>
      </c>
      <c r="F437" s="10">
        <v>12999</v>
      </c>
      <c r="G437" s="11">
        <v>2</v>
      </c>
      <c r="H437" s="12">
        <v>0.05</v>
      </c>
      <c r="I437" s="13">
        <v>1299.9000000000001</v>
      </c>
      <c r="J437" s="13">
        <v>24698.1</v>
      </c>
      <c r="K437" s="13">
        <v>4780.8900000000003</v>
      </c>
      <c r="L437" s="8" t="s">
        <v>852</v>
      </c>
      <c r="M437" s="19" t="s">
        <v>1102</v>
      </c>
      <c r="N437" s="9" t="s">
        <v>92</v>
      </c>
      <c r="O437" s="9" t="s">
        <v>31</v>
      </c>
      <c r="P437">
        <f>DATEVALUE(OnePlusSalesData[[#This Row],[order_date]])</f>
        <v>43294</v>
      </c>
      <c r="Q437" s="28">
        <f>DATEVALUE(OnePlusSalesData[[#This Row],[delivery_date]])</f>
        <v>43299</v>
      </c>
    </row>
    <row r="438" spans="1:17" ht="16" x14ac:dyDescent="0.45">
      <c r="A438" s="2" t="s">
        <v>1103</v>
      </c>
      <c r="B438" s="2" t="s">
        <v>52</v>
      </c>
      <c r="C438" s="3" t="s">
        <v>358</v>
      </c>
      <c r="D438" s="3" t="s">
        <v>85</v>
      </c>
      <c r="E438" s="3" t="s">
        <v>228</v>
      </c>
      <c r="F438" s="4">
        <v>5990</v>
      </c>
      <c r="G438" s="5">
        <v>1</v>
      </c>
      <c r="H438" s="6">
        <v>0</v>
      </c>
      <c r="I438" s="7">
        <v>0</v>
      </c>
      <c r="J438" s="7">
        <v>5990</v>
      </c>
      <c r="K438" s="7">
        <v>910.15</v>
      </c>
      <c r="L438" s="2" t="s">
        <v>856</v>
      </c>
      <c r="M438" s="18" t="s">
        <v>498</v>
      </c>
      <c r="N438" s="3" t="s">
        <v>22</v>
      </c>
      <c r="O438" s="3" t="s">
        <v>146</v>
      </c>
      <c r="P438">
        <f>DATEVALUE(OnePlusSalesData[[#This Row],[order_date]])</f>
        <v>43406</v>
      </c>
      <c r="Q438" s="28">
        <f>DATEVALUE(OnePlusSalesData[[#This Row],[delivery_date]])</f>
        <v>43411</v>
      </c>
    </row>
    <row r="439" spans="1:17" ht="16" x14ac:dyDescent="0.45">
      <c r="A439" s="8" t="s">
        <v>1104</v>
      </c>
      <c r="B439" s="8" t="s">
        <v>58</v>
      </c>
      <c r="C439" s="9" t="s">
        <v>257</v>
      </c>
      <c r="D439" s="9" t="s">
        <v>18</v>
      </c>
      <c r="E439" s="9" t="s">
        <v>19</v>
      </c>
      <c r="F439" s="10">
        <v>1990</v>
      </c>
      <c r="G439" s="11">
        <v>1</v>
      </c>
      <c r="H439" s="12">
        <v>0.1</v>
      </c>
      <c r="I439" s="13">
        <v>199</v>
      </c>
      <c r="J439" s="13">
        <v>1791</v>
      </c>
      <c r="K439" s="13">
        <v>305.12</v>
      </c>
      <c r="L439" s="8" t="s">
        <v>1105</v>
      </c>
      <c r="M439" s="19" t="s">
        <v>1106</v>
      </c>
      <c r="N439" s="9" t="s">
        <v>22</v>
      </c>
      <c r="O439" s="9" t="s">
        <v>23</v>
      </c>
      <c r="P439">
        <f>DATEVALUE(OnePlusSalesData[[#This Row],[order_date]])</f>
        <v>43631</v>
      </c>
      <c r="Q439" s="28">
        <f>DATEVALUE(OnePlusSalesData[[#This Row],[delivery_date]])</f>
        <v>43634</v>
      </c>
    </row>
    <row r="440" spans="1:17" ht="16" x14ac:dyDescent="0.45">
      <c r="A440" s="2" t="s">
        <v>1107</v>
      </c>
      <c r="B440" s="2" t="s">
        <v>58</v>
      </c>
      <c r="C440" s="3" t="s">
        <v>221</v>
      </c>
      <c r="D440" s="3" t="s">
        <v>85</v>
      </c>
      <c r="E440" s="3" t="s">
        <v>86</v>
      </c>
      <c r="F440" s="4">
        <v>1999</v>
      </c>
      <c r="G440" s="5">
        <v>1</v>
      </c>
      <c r="H440" s="6">
        <v>0.1</v>
      </c>
      <c r="I440" s="7">
        <v>199.9</v>
      </c>
      <c r="J440" s="7">
        <v>1799.1</v>
      </c>
      <c r="K440" s="7">
        <v>455.66</v>
      </c>
      <c r="L440" s="2" t="s">
        <v>160</v>
      </c>
      <c r="M440" s="18" t="s">
        <v>873</v>
      </c>
      <c r="N440" s="3" t="s">
        <v>22</v>
      </c>
      <c r="O440" s="3" t="s">
        <v>31</v>
      </c>
      <c r="P440">
        <f>DATEVALUE(OnePlusSalesData[[#This Row],[order_date]])</f>
        <v>43756</v>
      </c>
      <c r="Q440" s="28">
        <f>DATEVALUE(OnePlusSalesData[[#This Row],[delivery_date]])</f>
        <v>43759</v>
      </c>
    </row>
    <row r="441" spans="1:17" ht="16" x14ac:dyDescent="0.45">
      <c r="A441" s="8" t="s">
        <v>1108</v>
      </c>
      <c r="B441" s="8" t="s">
        <v>25</v>
      </c>
      <c r="C441" s="9" t="s">
        <v>133</v>
      </c>
      <c r="D441" s="9" t="s">
        <v>34</v>
      </c>
      <c r="E441" s="9" t="s">
        <v>35</v>
      </c>
      <c r="F441" s="10">
        <v>19999</v>
      </c>
      <c r="G441" s="11">
        <v>2</v>
      </c>
      <c r="H441" s="12">
        <v>0</v>
      </c>
      <c r="I441" s="13">
        <v>0</v>
      </c>
      <c r="J441" s="13">
        <v>39998</v>
      </c>
      <c r="K441" s="13">
        <v>8601.15</v>
      </c>
      <c r="L441" s="8" t="s">
        <v>585</v>
      </c>
      <c r="M441" s="19" t="s">
        <v>586</v>
      </c>
      <c r="N441" s="9" t="s">
        <v>92</v>
      </c>
      <c r="O441" s="9" t="s">
        <v>23</v>
      </c>
      <c r="P441">
        <f>DATEVALUE(OnePlusSalesData[[#This Row],[order_date]])</f>
        <v>43654</v>
      </c>
      <c r="Q441" s="28">
        <f>DATEVALUE(OnePlusSalesData[[#This Row],[delivery_date]])</f>
        <v>43660</v>
      </c>
    </row>
    <row r="442" spans="1:17" ht="16" x14ac:dyDescent="0.45">
      <c r="A442" s="2" t="s">
        <v>1109</v>
      </c>
      <c r="B442" s="2" t="s">
        <v>25</v>
      </c>
      <c r="C442" s="3" t="s">
        <v>172</v>
      </c>
      <c r="D442" s="3" t="s">
        <v>85</v>
      </c>
      <c r="E442" s="3" t="s">
        <v>228</v>
      </c>
      <c r="F442" s="4">
        <v>5990</v>
      </c>
      <c r="G442" s="5">
        <v>1</v>
      </c>
      <c r="H442" s="6">
        <v>0.15</v>
      </c>
      <c r="I442" s="7">
        <v>898.5</v>
      </c>
      <c r="J442" s="7">
        <v>5091.5</v>
      </c>
      <c r="K442" s="7">
        <v>824.9</v>
      </c>
      <c r="L442" s="2" t="s">
        <v>817</v>
      </c>
      <c r="M442" s="18" t="s">
        <v>1110</v>
      </c>
      <c r="N442" s="3" t="s">
        <v>22</v>
      </c>
      <c r="O442" s="3" t="s">
        <v>23</v>
      </c>
      <c r="P442">
        <f>DATEVALUE(OnePlusSalesData[[#This Row],[order_date]])</f>
        <v>43112</v>
      </c>
      <c r="Q442" s="28">
        <f>DATEVALUE(OnePlusSalesData[[#This Row],[delivery_date]])</f>
        <v>43114</v>
      </c>
    </row>
    <row r="443" spans="1:17" ht="16" x14ac:dyDescent="0.45">
      <c r="A443" s="8" t="s">
        <v>1111</v>
      </c>
      <c r="B443" s="8" t="s">
        <v>25</v>
      </c>
      <c r="C443" s="9" t="s">
        <v>172</v>
      </c>
      <c r="D443" s="9" t="s">
        <v>18</v>
      </c>
      <c r="E443" s="9" t="s">
        <v>124</v>
      </c>
      <c r="F443" s="10">
        <v>3990</v>
      </c>
      <c r="G443" s="11">
        <v>1</v>
      </c>
      <c r="H443" s="12">
        <v>0.08</v>
      </c>
      <c r="I443" s="13">
        <v>319.2</v>
      </c>
      <c r="J443" s="13">
        <v>3670.8</v>
      </c>
      <c r="K443" s="13">
        <v>701.74</v>
      </c>
      <c r="L443" s="8" t="s">
        <v>970</v>
      </c>
      <c r="M443" s="19" t="s">
        <v>1023</v>
      </c>
      <c r="N443" s="9" t="s">
        <v>92</v>
      </c>
      <c r="O443" s="9" t="s">
        <v>96</v>
      </c>
      <c r="P443">
        <f>DATEVALUE(OnePlusSalesData[[#This Row],[order_date]])</f>
        <v>44023</v>
      </c>
      <c r="Q443" s="28">
        <f>DATEVALUE(OnePlusSalesData[[#This Row],[delivery_date]])</f>
        <v>44026</v>
      </c>
    </row>
    <row r="444" spans="1:17" ht="16" x14ac:dyDescent="0.45">
      <c r="A444" s="2" t="s">
        <v>1112</v>
      </c>
      <c r="B444" s="2" t="s">
        <v>25</v>
      </c>
      <c r="C444" s="3" t="s">
        <v>120</v>
      </c>
      <c r="D444" s="3" t="s">
        <v>40</v>
      </c>
      <c r="E444" s="3" t="s">
        <v>41</v>
      </c>
      <c r="F444" s="4">
        <v>37999</v>
      </c>
      <c r="G444" s="5">
        <v>1</v>
      </c>
      <c r="H444" s="6">
        <v>0.08</v>
      </c>
      <c r="I444" s="7">
        <v>3039.92</v>
      </c>
      <c r="J444" s="7">
        <v>34959.08</v>
      </c>
      <c r="K444" s="7">
        <v>6992.98</v>
      </c>
      <c r="L444" s="2" t="s">
        <v>849</v>
      </c>
      <c r="M444" s="18" t="s">
        <v>796</v>
      </c>
      <c r="N444" s="3" t="s">
        <v>50</v>
      </c>
      <c r="O444" s="3" t="s">
        <v>23</v>
      </c>
      <c r="P444">
        <f>DATEVALUE(OnePlusSalesData[[#This Row],[order_date]])</f>
        <v>43722</v>
      </c>
      <c r="Q444" s="28">
        <f>DATEVALUE(OnePlusSalesData[[#This Row],[delivery_date]])</f>
        <v>43729</v>
      </c>
    </row>
    <row r="445" spans="1:17" ht="16" x14ac:dyDescent="0.45">
      <c r="A445" s="8" t="s">
        <v>1113</v>
      </c>
      <c r="B445" s="8" t="s">
        <v>52</v>
      </c>
      <c r="C445" s="9" t="s">
        <v>53</v>
      </c>
      <c r="D445" s="9" t="s">
        <v>85</v>
      </c>
      <c r="E445" s="9" t="s">
        <v>86</v>
      </c>
      <c r="F445" s="10">
        <v>1999</v>
      </c>
      <c r="G445" s="11">
        <v>1</v>
      </c>
      <c r="H445" s="12">
        <v>0.1</v>
      </c>
      <c r="I445" s="13">
        <v>199.9</v>
      </c>
      <c r="J445" s="13">
        <v>1799.1</v>
      </c>
      <c r="K445" s="13">
        <v>465.92</v>
      </c>
      <c r="L445" s="8" t="s">
        <v>433</v>
      </c>
      <c r="M445" s="19" t="s">
        <v>1114</v>
      </c>
      <c r="N445" s="9" t="s">
        <v>92</v>
      </c>
      <c r="O445" s="9" t="s">
        <v>96</v>
      </c>
      <c r="P445">
        <f>DATEVALUE(OnePlusSalesData[[#This Row],[order_date]])</f>
        <v>44146</v>
      </c>
      <c r="Q445" s="28">
        <f>DATEVALUE(OnePlusSalesData[[#This Row],[delivery_date]])</f>
        <v>44153</v>
      </c>
    </row>
    <row r="446" spans="1:17" ht="16" x14ac:dyDescent="0.45">
      <c r="A446" s="2" t="s">
        <v>1115</v>
      </c>
      <c r="B446" s="2" t="s">
        <v>52</v>
      </c>
      <c r="C446" s="3" t="s">
        <v>192</v>
      </c>
      <c r="D446" s="3" t="s">
        <v>85</v>
      </c>
      <c r="E446" s="3" t="s">
        <v>265</v>
      </c>
      <c r="F446" s="4">
        <v>4990</v>
      </c>
      <c r="G446" s="5">
        <v>2</v>
      </c>
      <c r="H446" s="6">
        <v>0.12</v>
      </c>
      <c r="I446" s="7">
        <v>1197.5999999999999</v>
      </c>
      <c r="J446" s="7">
        <v>8782.4</v>
      </c>
      <c r="K446" s="7">
        <v>1541.3</v>
      </c>
      <c r="L446" s="2" t="s">
        <v>1116</v>
      </c>
      <c r="M446" s="18" t="s">
        <v>1117</v>
      </c>
      <c r="N446" s="3" t="s">
        <v>22</v>
      </c>
      <c r="O446" s="3" t="s">
        <v>23</v>
      </c>
      <c r="P446">
        <f>DATEVALUE(OnePlusSalesData[[#This Row],[order_date]])</f>
        <v>43580</v>
      </c>
      <c r="Q446" s="28">
        <f>DATEVALUE(OnePlusSalesData[[#This Row],[delivery_date]])</f>
        <v>43586</v>
      </c>
    </row>
    <row r="447" spans="1:17" ht="16" x14ac:dyDescent="0.45">
      <c r="A447" s="8" t="s">
        <v>1118</v>
      </c>
      <c r="B447" s="8" t="s">
        <v>52</v>
      </c>
      <c r="C447" s="9" t="s">
        <v>69</v>
      </c>
      <c r="D447" s="9" t="s">
        <v>85</v>
      </c>
      <c r="E447" s="9" t="s">
        <v>258</v>
      </c>
      <c r="F447" s="10">
        <v>2999</v>
      </c>
      <c r="G447" s="11">
        <v>1</v>
      </c>
      <c r="H447" s="12">
        <v>0</v>
      </c>
      <c r="I447" s="13">
        <v>0</v>
      </c>
      <c r="J447" s="13">
        <v>2999</v>
      </c>
      <c r="K447" s="13">
        <v>666.24</v>
      </c>
      <c r="L447" s="8" t="s">
        <v>1119</v>
      </c>
      <c r="M447" s="19" t="s">
        <v>1120</v>
      </c>
      <c r="N447" s="9" t="s">
        <v>22</v>
      </c>
      <c r="O447" s="9" t="s">
        <v>23</v>
      </c>
      <c r="P447">
        <f>DATEVALUE(OnePlusSalesData[[#This Row],[order_date]])</f>
        <v>44105</v>
      </c>
      <c r="Q447" s="28">
        <f>DATEVALUE(OnePlusSalesData[[#This Row],[delivery_date]])</f>
        <v>44112</v>
      </c>
    </row>
    <row r="448" spans="1:17" ht="16" x14ac:dyDescent="0.45">
      <c r="A448" s="2" t="s">
        <v>1121</v>
      </c>
      <c r="B448" s="2" t="s">
        <v>52</v>
      </c>
      <c r="C448" s="3" t="s">
        <v>192</v>
      </c>
      <c r="D448" s="3" t="s">
        <v>34</v>
      </c>
      <c r="E448" s="3" t="s">
        <v>77</v>
      </c>
      <c r="F448" s="4">
        <v>24999</v>
      </c>
      <c r="G448" s="5">
        <v>1</v>
      </c>
      <c r="H448" s="6">
        <v>0.05</v>
      </c>
      <c r="I448" s="7">
        <v>1249.95</v>
      </c>
      <c r="J448" s="7">
        <v>23749.05</v>
      </c>
      <c r="K448" s="7">
        <v>4231.88</v>
      </c>
      <c r="L448" s="2" t="s">
        <v>900</v>
      </c>
      <c r="M448" s="18" t="s">
        <v>291</v>
      </c>
      <c r="N448" s="3" t="s">
        <v>22</v>
      </c>
      <c r="O448" s="3" t="s">
        <v>146</v>
      </c>
      <c r="P448">
        <f>DATEVALUE(OnePlusSalesData[[#This Row],[order_date]])</f>
        <v>43472</v>
      </c>
      <c r="Q448" s="28">
        <f>DATEVALUE(OnePlusSalesData[[#This Row],[delivery_date]])</f>
        <v>43476</v>
      </c>
    </row>
    <row r="449" spans="1:17" ht="16" x14ac:dyDescent="0.45">
      <c r="A449" s="8" t="s">
        <v>1122</v>
      </c>
      <c r="B449" s="8" t="s">
        <v>25</v>
      </c>
      <c r="C449" s="9" t="s">
        <v>26</v>
      </c>
      <c r="D449" s="9" t="s">
        <v>18</v>
      </c>
      <c r="E449" s="9" t="s">
        <v>102</v>
      </c>
      <c r="F449" s="10">
        <v>1490</v>
      </c>
      <c r="G449" s="11">
        <v>1</v>
      </c>
      <c r="H449" s="12">
        <v>0</v>
      </c>
      <c r="I449" s="13">
        <v>0</v>
      </c>
      <c r="J449" s="13">
        <v>1490</v>
      </c>
      <c r="K449" s="13">
        <v>225.07</v>
      </c>
      <c r="L449" s="8" t="s">
        <v>1123</v>
      </c>
      <c r="M449" s="19" t="s">
        <v>1124</v>
      </c>
      <c r="N449" s="9" t="s">
        <v>44</v>
      </c>
      <c r="O449" s="9" t="s">
        <v>63</v>
      </c>
      <c r="P449">
        <f>DATEVALUE(OnePlusSalesData[[#This Row],[order_date]])</f>
        <v>43900</v>
      </c>
      <c r="Q449" s="28">
        <f>DATEVALUE(OnePlusSalesData[[#This Row],[delivery_date]])</f>
        <v>43906</v>
      </c>
    </row>
    <row r="450" spans="1:17" ht="16" x14ac:dyDescent="0.45">
      <c r="A450" s="2" t="s">
        <v>1125</v>
      </c>
      <c r="B450" s="2" t="s">
        <v>16</v>
      </c>
      <c r="C450" s="3" t="s">
        <v>33</v>
      </c>
      <c r="D450" s="3" t="s">
        <v>40</v>
      </c>
      <c r="E450" s="3" t="s">
        <v>47</v>
      </c>
      <c r="F450" s="4">
        <v>37999</v>
      </c>
      <c r="G450" s="5">
        <v>2</v>
      </c>
      <c r="H450" s="6">
        <v>0.05</v>
      </c>
      <c r="I450" s="7">
        <v>3799.9</v>
      </c>
      <c r="J450" s="7">
        <v>72198.100000000006</v>
      </c>
      <c r="K450" s="7">
        <v>12189.63</v>
      </c>
      <c r="L450" s="2" t="s">
        <v>110</v>
      </c>
      <c r="M450" s="18" t="s">
        <v>281</v>
      </c>
      <c r="N450" s="3" t="s">
        <v>22</v>
      </c>
      <c r="O450" s="3" t="s">
        <v>23</v>
      </c>
      <c r="P450">
        <f>DATEVALUE(OnePlusSalesData[[#This Row],[order_date]])</f>
        <v>43741</v>
      </c>
      <c r="Q450" s="28">
        <f>DATEVALUE(OnePlusSalesData[[#This Row],[delivery_date]])</f>
        <v>43746</v>
      </c>
    </row>
    <row r="451" spans="1:17" ht="16" x14ac:dyDescent="0.45">
      <c r="A451" s="8" t="s">
        <v>1126</v>
      </c>
      <c r="B451" s="8" t="s">
        <v>52</v>
      </c>
      <c r="C451" s="9" t="s">
        <v>69</v>
      </c>
      <c r="D451" s="9" t="s">
        <v>18</v>
      </c>
      <c r="E451" s="9" t="s">
        <v>124</v>
      </c>
      <c r="F451" s="10">
        <v>3990</v>
      </c>
      <c r="G451" s="11">
        <v>5</v>
      </c>
      <c r="H451" s="12">
        <v>0.08</v>
      </c>
      <c r="I451" s="13">
        <v>1596</v>
      </c>
      <c r="J451" s="13">
        <v>18354</v>
      </c>
      <c r="K451" s="13">
        <v>4359.0200000000004</v>
      </c>
      <c r="L451" s="8" t="s">
        <v>1127</v>
      </c>
      <c r="M451" s="19" t="s">
        <v>904</v>
      </c>
      <c r="N451" s="9" t="s">
        <v>22</v>
      </c>
      <c r="O451" s="9" t="s">
        <v>31</v>
      </c>
      <c r="P451">
        <f>DATEVALUE(OnePlusSalesData[[#This Row],[order_date]])</f>
        <v>43158</v>
      </c>
      <c r="Q451" s="28">
        <f>DATEVALUE(OnePlusSalesData[[#This Row],[delivery_date]])</f>
        <v>43164</v>
      </c>
    </row>
    <row r="452" spans="1:17" ht="16" x14ac:dyDescent="0.45">
      <c r="A452" s="2" t="s">
        <v>1128</v>
      </c>
      <c r="B452" s="2" t="s">
        <v>52</v>
      </c>
      <c r="C452" s="3" t="s">
        <v>358</v>
      </c>
      <c r="D452" s="3" t="s">
        <v>18</v>
      </c>
      <c r="E452" s="3" t="s">
        <v>124</v>
      </c>
      <c r="F452" s="4">
        <v>3990</v>
      </c>
      <c r="G452" s="5">
        <v>1</v>
      </c>
      <c r="H452" s="6">
        <v>0.08</v>
      </c>
      <c r="I452" s="7">
        <v>319.2</v>
      </c>
      <c r="J452" s="7">
        <v>3670.8</v>
      </c>
      <c r="K452" s="7">
        <v>570.44000000000005</v>
      </c>
      <c r="L452" s="2" t="s">
        <v>645</v>
      </c>
      <c r="M452" s="18" t="s">
        <v>630</v>
      </c>
      <c r="N452" s="3" t="s">
        <v>22</v>
      </c>
      <c r="O452" s="3" t="s">
        <v>45</v>
      </c>
      <c r="P452">
        <f>DATEVALUE(OnePlusSalesData[[#This Row],[order_date]])</f>
        <v>43312</v>
      </c>
      <c r="Q452" s="28">
        <f>DATEVALUE(OnePlusSalesData[[#This Row],[delivery_date]])</f>
        <v>43318</v>
      </c>
    </row>
    <row r="453" spans="1:17" ht="16" x14ac:dyDescent="0.45">
      <c r="A453" s="8" t="s">
        <v>1129</v>
      </c>
      <c r="B453" s="8" t="s">
        <v>16</v>
      </c>
      <c r="C453" s="9" t="s">
        <v>39</v>
      </c>
      <c r="D453" s="9" t="s">
        <v>40</v>
      </c>
      <c r="E453" s="9" t="s">
        <v>54</v>
      </c>
      <c r="F453" s="10">
        <v>53999</v>
      </c>
      <c r="G453" s="11">
        <v>1</v>
      </c>
      <c r="H453" s="12">
        <v>0.1</v>
      </c>
      <c r="I453" s="13">
        <v>5399.9</v>
      </c>
      <c r="J453" s="13">
        <v>48599.1</v>
      </c>
      <c r="K453" s="13">
        <v>10732.83</v>
      </c>
      <c r="L453" s="8" t="s">
        <v>1130</v>
      </c>
      <c r="M453" s="19" t="s">
        <v>1127</v>
      </c>
      <c r="N453" s="9" t="s">
        <v>92</v>
      </c>
      <c r="O453" s="9" t="s">
        <v>23</v>
      </c>
      <c r="P453">
        <f>DATEVALUE(OnePlusSalesData[[#This Row],[order_date]])</f>
        <v>43152</v>
      </c>
      <c r="Q453" s="28">
        <f>DATEVALUE(OnePlusSalesData[[#This Row],[delivery_date]])</f>
        <v>43158</v>
      </c>
    </row>
    <row r="454" spans="1:17" ht="16" x14ac:dyDescent="0.45">
      <c r="A454" s="2" t="s">
        <v>1131</v>
      </c>
      <c r="B454" s="2" t="s">
        <v>25</v>
      </c>
      <c r="C454" s="3" t="s">
        <v>172</v>
      </c>
      <c r="D454" s="3" t="s">
        <v>18</v>
      </c>
      <c r="E454" s="3" t="s">
        <v>124</v>
      </c>
      <c r="F454" s="4">
        <v>3990</v>
      </c>
      <c r="G454" s="5">
        <v>1</v>
      </c>
      <c r="H454" s="6">
        <v>0.05</v>
      </c>
      <c r="I454" s="7">
        <v>199.5</v>
      </c>
      <c r="J454" s="7">
        <v>3790.5</v>
      </c>
      <c r="K454" s="7">
        <v>657.05</v>
      </c>
      <c r="L454" s="2" t="s">
        <v>1132</v>
      </c>
      <c r="M454" s="18" t="s">
        <v>1026</v>
      </c>
      <c r="N454" s="3" t="s">
        <v>92</v>
      </c>
      <c r="O454" s="3" t="s">
        <v>45</v>
      </c>
      <c r="P454">
        <f>DATEVALUE(OnePlusSalesData[[#This Row],[order_date]])</f>
        <v>43237</v>
      </c>
      <c r="Q454" s="28">
        <f>DATEVALUE(OnePlusSalesData[[#This Row],[delivery_date]])</f>
        <v>43242</v>
      </c>
    </row>
    <row r="455" spans="1:17" ht="16" x14ac:dyDescent="0.45">
      <c r="A455" s="8" t="s">
        <v>1133</v>
      </c>
      <c r="B455" s="8" t="s">
        <v>58</v>
      </c>
      <c r="C455" s="9" t="s">
        <v>221</v>
      </c>
      <c r="D455" s="9" t="s">
        <v>34</v>
      </c>
      <c r="E455" s="9" t="s">
        <v>35</v>
      </c>
      <c r="F455" s="10">
        <v>19999</v>
      </c>
      <c r="G455" s="11">
        <v>3</v>
      </c>
      <c r="H455" s="12">
        <v>0</v>
      </c>
      <c r="I455" s="13">
        <v>0</v>
      </c>
      <c r="J455" s="13">
        <v>59997</v>
      </c>
      <c r="K455" s="13">
        <v>11985.94</v>
      </c>
      <c r="L455" s="8" t="s">
        <v>1134</v>
      </c>
      <c r="M455" s="19" t="s">
        <v>462</v>
      </c>
      <c r="N455" s="9" t="s">
        <v>22</v>
      </c>
      <c r="O455" s="9" t="s">
        <v>63</v>
      </c>
      <c r="P455">
        <f>DATEVALUE(OnePlusSalesData[[#This Row],[order_date]])</f>
        <v>44002</v>
      </c>
      <c r="Q455" s="28">
        <f>DATEVALUE(OnePlusSalesData[[#This Row],[delivery_date]])</f>
        <v>44009</v>
      </c>
    </row>
    <row r="456" spans="1:17" ht="16" x14ac:dyDescent="0.45">
      <c r="A456" s="2" t="s">
        <v>1135</v>
      </c>
      <c r="B456" s="2" t="s">
        <v>25</v>
      </c>
      <c r="C456" s="3" t="s">
        <v>26</v>
      </c>
      <c r="D456" s="3" t="s">
        <v>40</v>
      </c>
      <c r="E456" s="3" t="s">
        <v>60</v>
      </c>
      <c r="F456" s="4">
        <v>54999</v>
      </c>
      <c r="G456" s="5">
        <v>1</v>
      </c>
      <c r="H456" s="6">
        <v>0</v>
      </c>
      <c r="I456" s="7">
        <v>0</v>
      </c>
      <c r="J456" s="7">
        <v>54999</v>
      </c>
      <c r="K456" s="7">
        <v>13597.75</v>
      </c>
      <c r="L456" s="2" t="s">
        <v>1136</v>
      </c>
      <c r="M456" s="18" t="s">
        <v>757</v>
      </c>
      <c r="N456" s="3" t="s">
        <v>50</v>
      </c>
      <c r="O456" s="3" t="s">
        <v>96</v>
      </c>
      <c r="P456">
        <f>DATEVALUE(OnePlusSalesData[[#This Row],[order_date]])</f>
        <v>43363</v>
      </c>
      <c r="Q456" s="28">
        <f>DATEVALUE(OnePlusSalesData[[#This Row],[delivery_date]])</f>
        <v>43367</v>
      </c>
    </row>
    <row r="457" spans="1:17" ht="16" x14ac:dyDescent="0.45">
      <c r="A457" s="8" t="s">
        <v>1137</v>
      </c>
      <c r="B457" s="8" t="s">
        <v>52</v>
      </c>
      <c r="C457" s="9" t="s">
        <v>106</v>
      </c>
      <c r="D457" s="9" t="s">
        <v>85</v>
      </c>
      <c r="E457" s="9" t="s">
        <v>228</v>
      </c>
      <c r="F457" s="10">
        <v>5990</v>
      </c>
      <c r="G457" s="11">
        <v>4</v>
      </c>
      <c r="H457" s="12">
        <v>0.05</v>
      </c>
      <c r="I457" s="13">
        <v>1198</v>
      </c>
      <c r="J457" s="13">
        <v>22762</v>
      </c>
      <c r="K457" s="13">
        <v>5187.16</v>
      </c>
      <c r="L457" s="8" t="s">
        <v>841</v>
      </c>
      <c r="M457" s="19" t="s">
        <v>1138</v>
      </c>
      <c r="N457" s="9" t="s">
        <v>44</v>
      </c>
      <c r="O457" s="9" t="s">
        <v>45</v>
      </c>
      <c r="P457">
        <f>DATEVALUE(OnePlusSalesData[[#This Row],[order_date]])</f>
        <v>43820</v>
      </c>
      <c r="Q457" s="28">
        <f>DATEVALUE(OnePlusSalesData[[#This Row],[delivery_date]])</f>
        <v>43822</v>
      </c>
    </row>
    <row r="458" spans="1:17" ht="16" x14ac:dyDescent="0.45">
      <c r="A458" s="2" t="s">
        <v>1139</v>
      </c>
      <c r="B458" s="2" t="s">
        <v>16</v>
      </c>
      <c r="C458" s="3" t="s">
        <v>152</v>
      </c>
      <c r="D458" s="3" t="s">
        <v>40</v>
      </c>
      <c r="E458" s="3" t="s">
        <v>406</v>
      </c>
      <c r="F458" s="4">
        <v>48999</v>
      </c>
      <c r="G458" s="5">
        <v>1</v>
      </c>
      <c r="H458" s="6">
        <v>0.1</v>
      </c>
      <c r="I458" s="7">
        <v>4899.8999999999996</v>
      </c>
      <c r="J458" s="7">
        <v>44099.1</v>
      </c>
      <c r="K458" s="7">
        <v>8577.36</v>
      </c>
      <c r="L458" s="2" t="s">
        <v>862</v>
      </c>
      <c r="M458" s="18" t="s">
        <v>952</v>
      </c>
      <c r="N458" s="3" t="s">
        <v>44</v>
      </c>
      <c r="O458" s="3" t="s">
        <v>23</v>
      </c>
      <c r="P458">
        <f>DATEVALUE(OnePlusSalesData[[#This Row],[order_date]])</f>
        <v>43623</v>
      </c>
      <c r="Q458" s="28">
        <f>DATEVALUE(OnePlusSalesData[[#This Row],[delivery_date]])</f>
        <v>43628</v>
      </c>
    </row>
    <row r="459" spans="1:17" ht="16" x14ac:dyDescent="0.45">
      <c r="A459" s="8" t="s">
        <v>1140</v>
      </c>
      <c r="B459" s="8" t="s">
        <v>25</v>
      </c>
      <c r="C459" s="9" t="s">
        <v>120</v>
      </c>
      <c r="D459" s="9" t="s">
        <v>85</v>
      </c>
      <c r="E459" s="9" t="s">
        <v>228</v>
      </c>
      <c r="F459" s="10">
        <v>5990</v>
      </c>
      <c r="G459" s="11">
        <v>4</v>
      </c>
      <c r="H459" s="12">
        <v>0.05</v>
      </c>
      <c r="I459" s="13">
        <v>1198</v>
      </c>
      <c r="J459" s="13">
        <v>22762</v>
      </c>
      <c r="K459" s="13">
        <v>3356.13</v>
      </c>
      <c r="L459" s="8" t="s">
        <v>306</v>
      </c>
      <c r="M459" s="19" t="s">
        <v>1049</v>
      </c>
      <c r="N459" s="9" t="s">
        <v>22</v>
      </c>
      <c r="O459" s="9" t="s">
        <v>23</v>
      </c>
      <c r="P459">
        <f>DATEVALUE(OnePlusSalesData[[#This Row],[order_date]])</f>
        <v>43965</v>
      </c>
      <c r="Q459" s="28">
        <f>DATEVALUE(OnePlusSalesData[[#This Row],[delivery_date]])</f>
        <v>43970</v>
      </c>
    </row>
    <row r="460" spans="1:17" ht="16" x14ac:dyDescent="0.45">
      <c r="A460" s="2" t="s">
        <v>1141</v>
      </c>
      <c r="B460" s="2" t="s">
        <v>16</v>
      </c>
      <c r="C460" s="3" t="s">
        <v>39</v>
      </c>
      <c r="D460" s="3" t="s">
        <v>18</v>
      </c>
      <c r="E460" s="3" t="s">
        <v>124</v>
      </c>
      <c r="F460" s="4">
        <v>3990</v>
      </c>
      <c r="G460" s="5">
        <v>1</v>
      </c>
      <c r="H460" s="6">
        <v>0.12</v>
      </c>
      <c r="I460" s="7">
        <v>478.8</v>
      </c>
      <c r="J460" s="7">
        <v>3511.2</v>
      </c>
      <c r="K460" s="7">
        <v>859.26</v>
      </c>
      <c r="L460" s="2" t="s">
        <v>849</v>
      </c>
      <c r="M460" s="18" t="s">
        <v>795</v>
      </c>
      <c r="N460" s="3" t="s">
        <v>22</v>
      </c>
      <c r="O460" s="3" t="s">
        <v>31</v>
      </c>
      <c r="P460">
        <f>DATEVALUE(OnePlusSalesData[[#This Row],[order_date]])</f>
        <v>43722</v>
      </c>
      <c r="Q460" s="28">
        <f>DATEVALUE(OnePlusSalesData[[#This Row],[delivery_date]])</f>
        <v>43724</v>
      </c>
    </row>
    <row r="461" spans="1:17" ht="16" x14ac:dyDescent="0.45">
      <c r="A461" s="8" t="s">
        <v>1142</v>
      </c>
      <c r="B461" s="8" t="s">
        <v>52</v>
      </c>
      <c r="C461" s="9" t="s">
        <v>106</v>
      </c>
      <c r="D461" s="9" t="s">
        <v>40</v>
      </c>
      <c r="E461" s="9" t="s">
        <v>54</v>
      </c>
      <c r="F461" s="10">
        <v>53999</v>
      </c>
      <c r="G461" s="11">
        <v>1</v>
      </c>
      <c r="H461" s="12">
        <v>0.05</v>
      </c>
      <c r="I461" s="13">
        <v>2699.95</v>
      </c>
      <c r="J461" s="13">
        <v>51299.05</v>
      </c>
      <c r="K461" s="13">
        <v>11678.7</v>
      </c>
      <c r="L461" s="8" t="s">
        <v>1143</v>
      </c>
      <c r="M461" s="19" t="s">
        <v>539</v>
      </c>
      <c r="N461" s="9" t="s">
        <v>22</v>
      </c>
      <c r="O461" s="9" t="s">
        <v>23</v>
      </c>
      <c r="P461">
        <f>DATEVALUE(OnePlusSalesData[[#This Row],[order_date]])</f>
        <v>44109</v>
      </c>
      <c r="Q461" s="28">
        <f>DATEVALUE(OnePlusSalesData[[#This Row],[delivery_date]])</f>
        <v>44111</v>
      </c>
    </row>
    <row r="462" spans="1:17" ht="16" x14ac:dyDescent="0.45">
      <c r="A462" s="2" t="s">
        <v>1144</v>
      </c>
      <c r="B462" s="2" t="s">
        <v>16</v>
      </c>
      <c r="C462" s="3" t="s">
        <v>140</v>
      </c>
      <c r="D462" s="3" t="s">
        <v>40</v>
      </c>
      <c r="E462" s="3" t="s">
        <v>54</v>
      </c>
      <c r="F462" s="4">
        <v>53999</v>
      </c>
      <c r="G462" s="5">
        <v>3</v>
      </c>
      <c r="H462" s="6">
        <v>0.05</v>
      </c>
      <c r="I462" s="7">
        <v>8099.85</v>
      </c>
      <c r="J462" s="7">
        <v>153897.15</v>
      </c>
      <c r="K462" s="7">
        <v>24547.3</v>
      </c>
      <c r="L462" s="2" t="s">
        <v>138</v>
      </c>
      <c r="M462" s="18" t="s">
        <v>1145</v>
      </c>
      <c r="N462" s="3" t="s">
        <v>92</v>
      </c>
      <c r="O462" s="3" t="s">
        <v>23</v>
      </c>
      <c r="P462">
        <f>DATEVALUE(OnePlusSalesData[[#This Row],[order_date]])</f>
        <v>44030</v>
      </c>
      <c r="Q462" s="28">
        <f>DATEVALUE(OnePlusSalesData[[#This Row],[delivery_date]])</f>
        <v>44035</v>
      </c>
    </row>
    <row r="463" spans="1:17" ht="16" x14ac:dyDescent="0.45">
      <c r="A463" s="8" t="s">
        <v>1146</v>
      </c>
      <c r="B463" s="8" t="s">
        <v>25</v>
      </c>
      <c r="C463" s="9" t="s">
        <v>133</v>
      </c>
      <c r="D463" s="9" t="s">
        <v>40</v>
      </c>
      <c r="E463" s="9" t="s">
        <v>148</v>
      </c>
      <c r="F463" s="10">
        <v>41999</v>
      </c>
      <c r="G463" s="11">
        <v>1</v>
      </c>
      <c r="H463" s="12">
        <v>0.1</v>
      </c>
      <c r="I463" s="13">
        <v>4199.8999999999996</v>
      </c>
      <c r="J463" s="13">
        <v>37799.1</v>
      </c>
      <c r="K463" s="13">
        <v>7909</v>
      </c>
      <c r="L463" s="8" t="s">
        <v>969</v>
      </c>
      <c r="M463" s="19" t="s">
        <v>1147</v>
      </c>
      <c r="N463" s="9" t="s">
        <v>22</v>
      </c>
      <c r="O463" s="9" t="s">
        <v>31</v>
      </c>
      <c r="P463">
        <f>DATEVALUE(OnePlusSalesData[[#This Row],[order_date]])</f>
        <v>44020</v>
      </c>
      <c r="Q463" s="28">
        <f>DATEVALUE(OnePlusSalesData[[#This Row],[delivery_date]])</f>
        <v>44024</v>
      </c>
    </row>
    <row r="464" spans="1:17" ht="16" x14ac:dyDescent="0.45">
      <c r="A464" s="2" t="s">
        <v>1148</v>
      </c>
      <c r="B464" s="2" t="s">
        <v>52</v>
      </c>
      <c r="C464" s="3" t="s">
        <v>192</v>
      </c>
      <c r="D464" s="3" t="s">
        <v>18</v>
      </c>
      <c r="E464" s="3" t="s">
        <v>179</v>
      </c>
      <c r="F464" s="4">
        <v>1290</v>
      </c>
      <c r="G464" s="5">
        <v>1</v>
      </c>
      <c r="H464" s="6">
        <v>0.1</v>
      </c>
      <c r="I464" s="7">
        <v>129</v>
      </c>
      <c r="J464" s="7">
        <v>1161</v>
      </c>
      <c r="K464" s="7">
        <v>240.33</v>
      </c>
      <c r="L464" s="2" t="s">
        <v>1149</v>
      </c>
      <c r="M464" s="18" t="s">
        <v>1096</v>
      </c>
      <c r="N464" s="3" t="s">
        <v>22</v>
      </c>
      <c r="O464" s="3" t="s">
        <v>31</v>
      </c>
      <c r="P464">
        <f>DATEVALUE(OnePlusSalesData[[#This Row],[order_date]])</f>
        <v>44155</v>
      </c>
      <c r="Q464" s="28">
        <f>DATEVALUE(OnePlusSalesData[[#This Row],[delivery_date]])</f>
        <v>44160</v>
      </c>
    </row>
    <row r="465" spans="1:17" ht="16" x14ac:dyDescent="0.45">
      <c r="A465" s="8" t="s">
        <v>1150</v>
      </c>
      <c r="B465" s="8" t="s">
        <v>16</v>
      </c>
      <c r="C465" s="9" t="s">
        <v>33</v>
      </c>
      <c r="D465" s="9" t="s">
        <v>40</v>
      </c>
      <c r="E465" s="9" t="s">
        <v>406</v>
      </c>
      <c r="F465" s="10">
        <v>48999</v>
      </c>
      <c r="G465" s="11">
        <v>1</v>
      </c>
      <c r="H465" s="12">
        <v>0.05</v>
      </c>
      <c r="I465" s="13">
        <v>2449.9499999999998</v>
      </c>
      <c r="J465" s="13">
        <v>46549.05</v>
      </c>
      <c r="K465" s="13">
        <v>10937.59</v>
      </c>
      <c r="L465" s="8" t="s">
        <v>560</v>
      </c>
      <c r="M465" s="19" t="s">
        <v>1042</v>
      </c>
      <c r="N465" s="9" t="s">
        <v>22</v>
      </c>
      <c r="O465" s="9" t="s">
        <v>23</v>
      </c>
      <c r="P465">
        <f>DATEVALUE(OnePlusSalesData[[#This Row],[order_date]])</f>
        <v>43368</v>
      </c>
      <c r="Q465" s="28">
        <f>DATEVALUE(OnePlusSalesData[[#This Row],[delivery_date]])</f>
        <v>43375</v>
      </c>
    </row>
    <row r="466" spans="1:17" ht="16" x14ac:dyDescent="0.45">
      <c r="A466" s="2" t="s">
        <v>1151</v>
      </c>
      <c r="B466" s="2" t="s">
        <v>25</v>
      </c>
      <c r="C466" s="3" t="s">
        <v>65</v>
      </c>
      <c r="D466" s="3" t="s">
        <v>40</v>
      </c>
      <c r="E466" s="3" t="s">
        <v>98</v>
      </c>
      <c r="F466" s="4">
        <v>34999</v>
      </c>
      <c r="G466" s="5">
        <v>1</v>
      </c>
      <c r="H466" s="6">
        <v>0.15</v>
      </c>
      <c r="I466" s="7">
        <v>5249.85</v>
      </c>
      <c r="J466" s="7">
        <v>29749.15</v>
      </c>
      <c r="K466" s="7">
        <v>5327.54</v>
      </c>
      <c r="L466" s="2" t="s">
        <v>43</v>
      </c>
      <c r="M466" s="18" t="s">
        <v>1152</v>
      </c>
      <c r="N466" s="3" t="s">
        <v>22</v>
      </c>
      <c r="O466" s="3" t="s">
        <v>45</v>
      </c>
      <c r="P466">
        <f>DATEVALUE(OnePlusSalesData[[#This Row],[order_date]])</f>
        <v>43490</v>
      </c>
      <c r="Q466" s="28">
        <f>DATEVALUE(OnePlusSalesData[[#This Row],[delivery_date]])</f>
        <v>43497</v>
      </c>
    </row>
    <row r="467" spans="1:17" ht="16" x14ac:dyDescent="0.45">
      <c r="A467" s="8" t="s">
        <v>1153</v>
      </c>
      <c r="B467" s="8" t="s">
        <v>16</v>
      </c>
      <c r="C467" s="9" t="s">
        <v>140</v>
      </c>
      <c r="D467" s="9" t="s">
        <v>40</v>
      </c>
      <c r="E467" s="9" t="s">
        <v>41</v>
      </c>
      <c r="F467" s="10">
        <v>37999</v>
      </c>
      <c r="G467" s="11">
        <v>1</v>
      </c>
      <c r="H467" s="12">
        <v>0.1</v>
      </c>
      <c r="I467" s="13">
        <v>3799.9</v>
      </c>
      <c r="J467" s="13">
        <v>34199.1</v>
      </c>
      <c r="K467" s="13">
        <v>5399.93</v>
      </c>
      <c r="L467" s="8" t="s">
        <v>1154</v>
      </c>
      <c r="M467" s="19" t="s">
        <v>79</v>
      </c>
      <c r="N467" s="9" t="s">
        <v>22</v>
      </c>
      <c r="O467" s="9" t="s">
        <v>146</v>
      </c>
      <c r="P467">
        <f>DATEVALUE(OnePlusSalesData[[#This Row],[order_date]])</f>
        <v>43962</v>
      </c>
      <c r="Q467" s="28">
        <f>DATEVALUE(OnePlusSalesData[[#This Row],[delivery_date]])</f>
        <v>43966</v>
      </c>
    </row>
    <row r="468" spans="1:17" ht="16" x14ac:dyDescent="0.45">
      <c r="A468" s="2" t="s">
        <v>1155</v>
      </c>
      <c r="B468" s="2" t="s">
        <v>25</v>
      </c>
      <c r="C468" s="3" t="s">
        <v>65</v>
      </c>
      <c r="D468" s="3" t="s">
        <v>40</v>
      </c>
      <c r="E468" s="3" t="s">
        <v>98</v>
      </c>
      <c r="F468" s="4">
        <v>34999</v>
      </c>
      <c r="G468" s="5">
        <v>1</v>
      </c>
      <c r="H468" s="6">
        <v>0.05</v>
      </c>
      <c r="I468" s="7">
        <v>1749.95</v>
      </c>
      <c r="J468" s="7">
        <v>33249.050000000003</v>
      </c>
      <c r="K468" s="7">
        <v>7090.2</v>
      </c>
      <c r="L468" s="2" t="s">
        <v>1156</v>
      </c>
      <c r="M468" s="18" t="s">
        <v>711</v>
      </c>
      <c r="N468" s="3" t="s">
        <v>22</v>
      </c>
      <c r="O468" s="3" t="s">
        <v>23</v>
      </c>
      <c r="P468">
        <f>DATEVALUE(OnePlusSalesData[[#This Row],[order_date]])</f>
        <v>43272</v>
      </c>
      <c r="Q468" s="28">
        <f>DATEVALUE(OnePlusSalesData[[#This Row],[delivery_date]])</f>
        <v>43279</v>
      </c>
    </row>
    <row r="469" spans="1:17" ht="16" x14ac:dyDescent="0.45">
      <c r="A469" s="8" t="s">
        <v>1157</v>
      </c>
      <c r="B469" s="8" t="s">
        <v>16</v>
      </c>
      <c r="C469" s="9" t="s">
        <v>17</v>
      </c>
      <c r="D469" s="9" t="s">
        <v>40</v>
      </c>
      <c r="E469" s="9" t="s">
        <v>98</v>
      </c>
      <c r="F469" s="10">
        <v>34999</v>
      </c>
      <c r="G469" s="11">
        <v>3</v>
      </c>
      <c r="H469" s="12">
        <v>0</v>
      </c>
      <c r="I469" s="13">
        <v>0</v>
      </c>
      <c r="J469" s="13">
        <v>104997</v>
      </c>
      <c r="K469" s="13">
        <v>20257.919999999998</v>
      </c>
      <c r="L469" s="8" t="s">
        <v>664</v>
      </c>
      <c r="M469" s="19" t="s">
        <v>1158</v>
      </c>
      <c r="N469" s="9" t="s">
        <v>22</v>
      </c>
      <c r="O469" s="9" t="s">
        <v>31</v>
      </c>
      <c r="P469">
        <f>DATEVALUE(OnePlusSalesData[[#This Row],[order_date]])</f>
        <v>43991</v>
      </c>
      <c r="Q469" s="28">
        <f>DATEVALUE(OnePlusSalesData[[#This Row],[delivery_date]])</f>
        <v>43994</v>
      </c>
    </row>
    <row r="470" spans="1:17" ht="16" x14ac:dyDescent="0.45">
      <c r="A470" s="2" t="s">
        <v>1159</v>
      </c>
      <c r="B470" s="2" t="s">
        <v>25</v>
      </c>
      <c r="C470" s="3" t="s">
        <v>172</v>
      </c>
      <c r="D470" s="3" t="s">
        <v>85</v>
      </c>
      <c r="E470" s="3" t="s">
        <v>86</v>
      </c>
      <c r="F470" s="4">
        <v>1999</v>
      </c>
      <c r="G470" s="5">
        <v>4</v>
      </c>
      <c r="H470" s="6">
        <v>0.05</v>
      </c>
      <c r="I470" s="7">
        <v>399.8</v>
      </c>
      <c r="J470" s="7">
        <v>7596.2</v>
      </c>
      <c r="K470" s="7">
        <v>1469.46</v>
      </c>
      <c r="L470" s="2" t="s">
        <v>287</v>
      </c>
      <c r="M470" s="18" t="s">
        <v>1160</v>
      </c>
      <c r="N470" s="3" t="s">
        <v>22</v>
      </c>
      <c r="O470" s="3" t="s">
        <v>31</v>
      </c>
      <c r="P470">
        <f>DATEVALUE(OnePlusSalesData[[#This Row],[order_date]])</f>
        <v>43244</v>
      </c>
      <c r="Q470" s="28">
        <f>DATEVALUE(OnePlusSalesData[[#This Row],[delivery_date]])</f>
        <v>43251</v>
      </c>
    </row>
    <row r="471" spans="1:17" ht="16" x14ac:dyDescent="0.45">
      <c r="A471" s="8" t="s">
        <v>1161</v>
      </c>
      <c r="B471" s="8" t="s">
        <v>25</v>
      </c>
      <c r="C471" s="9" t="s">
        <v>133</v>
      </c>
      <c r="D471" s="9" t="s">
        <v>34</v>
      </c>
      <c r="E471" s="9" t="s">
        <v>77</v>
      </c>
      <c r="F471" s="10">
        <v>24999</v>
      </c>
      <c r="G471" s="11">
        <v>1</v>
      </c>
      <c r="H471" s="12">
        <v>0.1</v>
      </c>
      <c r="I471" s="13">
        <v>2499.9</v>
      </c>
      <c r="J471" s="13">
        <v>22499.1</v>
      </c>
      <c r="K471" s="13">
        <v>5376.89</v>
      </c>
      <c r="L471" s="8" t="s">
        <v>1162</v>
      </c>
      <c r="M471" s="19" t="s">
        <v>734</v>
      </c>
      <c r="N471" s="9" t="s">
        <v>22</v>
      </c>
      <c r="O471" s="9" t="s">
        <v>45</v>
      </c>
      <c r="P471">
        <f>DATEVALUE(OnePlusSalesData[[#This Row],[order_date]])</f>
        <v>43297</v>
      </c>
      <c r="Q471" s="28">
        <f>DATEVALUE(OnePlusSalesData[[#This Row],[delivery_date]])</f>
        <v>43300</v>
      </c>
    </row>
    <row r="472" spans="1:17" ht="16" x14ac:dyDescent="0.45">
      <c r="A472" s="2" t="s">
        <v>1163</v>
      </c>
      <c r="B472" s="2" t="s">
        <v>16</v>
      </c>
      <c r="C472" s="3" t="s">
        <v>140</v>
      </c>
      <c r="D472" s="3" t="s">
        <v>18</v>
      </c>
      <c r="E472" s="3" t="s">
        <v>19</v>
      </c>
      <c r="F472" s="4">
        <v>1990</v>
      </c>
      <c r="G472" s="5">
        <v>2</v>
      </c>
      <c r="H472" s="6">
        <v>0</v>
      </c>
      <c r="I472" s="7">
        <v>0</v>
      </c>
      <c r="J472" s="7">
        <v>3980</v>
      </c>
      <c r="K472" s="7">
        <v>625.48</v>
      </c>
      <c r="L472" s="2" t="s">
        <v>766</v>
      </c>
      <c r="M472" s="18" t="s">
        <v>1164</v>
      </c>
      <c r="N472" s="3" t="s">
        <v>22</v>
      </c>
      <c r="O472" s="3" t="s">
        <v>63</v>
      </c>
      <c r="P472">
        <f>DATEVALUE(OnePlusSalesData[[#This Row],[order_date]])</f>
        <v>43878</v>
      </c>
      <c r="Q472" s="28">
        <f>DATEVALUE(OnePlusSalesData[[#This Row],[delivery_date]])</f>
        <v>43883</v>
      </c>
    </row>
    <row r="473" spans="1:17" ht="16" x14ac:dyDescent="0.45">
      <c r="A473" s="8" t="s">
        <v>1165</v>
      </c>
      <c r="B473" s="8" t="s">
        <v>16</v>
      </c>
      <c r="C473" s="9" t="s">
        <v>17</v>
      </c>
      <c r="D473" s="9" t="s">
        <v>27</v>
      </c>
      <c r="E473" s="9" t="s">
        <v>176</v>
      </c>
      <c r="F473" s="10">
        <v>69900</v>
      </c>
      <c r="G473" s="11">
        <v>1</v>
      </c>
      <c r="H473" s="12">
        <v>0</v>
      </c>
      <c r="I473" s="13">
        <v>0</v>
      </c>
      <c r="J473" s="13">
        <v>69900</v>
      </c>
      <c r="K473" s="13">
        <v>13765.56</v>
      </c>
      <c r="L473" s="8" t="s">
        <v>1166</v>
      </c>
      <c r="M473" s="19" t="s">
        <v>668</v>
      </c>
      <c r="N473" s="9" t="s">
        <v>22</v>
      </c>
      <c r="O473" s="9" t="s">
        <v>63</v>
      </c>
      <c r="P473">
        <f>DATEVALUE(OnePlusSalesData[[#This Row],[order_date]])</f>
        <v>43697</v>
      </c>
      <c r="Q473" s="28">
        <f>DATEVALUE(OnePlusSalesData[[#This Row],[delivery_date]])</f>
        <v>43701</v>
      </c>
    </row>
    <row r="474" spans="1:17" ht="16" x14ac:dyDescent="0.45">
      <c r="A474" s="2" t="s">
        <v>1167</v>
      </c>
      <c r="B474" s="2" t="s">
        <v>16</v>
      </c>
      <c r="C474" s="3" t="s">
        <v>33</v>
      </c>
      <c r="D474" s="3" t="s">
        <v>85</v>
      </c>
      <c r="E474" s="3" t="s">
        <v>258</v>
      </c>
      <c r="F474" s="4">
        <v>2999</v>
      </c>
      <c r="G474" s="5">
        <v>4</v>
      </c>
      <c r="H474" s="6">
        <v>0</v>
      </c>
      <c r="I474" s="7">
        <v>0</v>
      </c>
      <c r="J474" s="7">
        <v>11996</v>
      </c>
      <c r="K474" s="7">
        <v>1820.52</v>
      </c>
      <c r="L474" s="2" t="s">
        <v>1168</v>
      </c>
      <c r="M474" s="18" t="s">
        <v>1169</v>
      </c>
      <c r="N474" s="3" t="s">
        <v>50</v>
      </c>
      <c r="O474" s="3" t="s">
        <v>31</v>
      </c>
      <c r="P474">
        <f>DATEVALUE(OnePlusSalesData[[#This Row],[order_date]])</f>
        <v>43326</v>
      </c>
      <c r="Q474" s="28">
        <f>DATEVALUE(OnePlusSalesData[[#This Row],[delivery_date]])</f>
        <v>43328</v>
      </c>
    </row>
    <row r="475" spans="1:17" ht="16" x14ac:dyDescent="0.45">
      <c r="A475" s="8" t="s">
        <v>1170</v>
      </c>
      <c r="B475" s="8" t="s">
        <v>16</v>
      </c>
      <c r="C475" s="9" t="s">
        <v>140</v>
      </c>
      <c r="D475" s="9" t="s">
        <v>85</v>
      </c>
      <c r="E475" s="9" t="s">
        <v>228</v>
      </c>
      <c r="F475" s="10">
        <v>5990</v>
      </c>
      <c r="G475" s="11">
        <v>1</v>
      </c>
      <c r="H475" s="12">
        <v>0.05</v>
      </c>
      <c r="I475" s="13">
        <v>299.5</v>
      </c>
      <c r="J475" s="13">
        <v>5690.5</v>
      </c>
      <c r="K475" s="13">
        <v>1105.03</v>
      </c>
      <c r="L475" s="8" t="s">
        <v>856</v>
      </c>
      <c r="M475" s="19" t="s">
        <v>498</v>
      </c>
      <c r="N475" s="9" t="s">
        <v>44</v>
      </c>
      <c r="O475" s="9" t="s">
        <v>63</v>
      </c>
      <c r="P475">
        <f>DATEVALUE(OnePlusSalesData[[#This Row],[order_date]])</f>
        <v>43406</v>
      </c>
      <c r="Q475" s="28">
        <f>DATEVALUE(OnePlusSalesData[[#This Row],[delivery_date]])</f>
        <v>43411</v>
      </c>
    </row>
    <row r="476" spans="1:17" ht="16" x14ac:dyDescent="0.45">
      <c r="A476" s="2" t="s">
        <v>1171</v>
      </c>
      <c r="B476" s="2" t="s">
        <v>52</v>
      </c>
      <c r="C476" s="3" t="s">
        <v>192</v>
      </c>
      <c r="D476" s="3" t="s">
        <v>40</v>
      </c>
      <c r="E476" s="3" t="s">
        <v>406</v>
      </c>
      <c r="F476" s="4">
        <v>48999</v>
      </c>
      <c r="G476" s="5">
        <v>1</v>
      </c>
      <c r="H476" s="6">
        <v>0.15</v>
      </c>
      <c r="I476" s="7">
        <v>7349.85</v>
      </c>
      <c r="J476" s="7">
        <v>41649.15</v>
      </c>
      <c r="K476" s="7">
        <v>9251.01</v>
      </c>
      <c r="L476" s="2" t="s">
        <v>1172</v>
      </c>
      <c r="M476" s="18" t="s">
        <v>666</v>
      </c>
      <c r="N476" s="3" t="s">
        <v>44</v>
      </c>
      <c r="O476" s="3" t="s">
        <v>23</v>
      </c>
      <c r="P476">
        <f>DATEVALUE(OnePlusSalesData[[#This Row],[order_date]])</f>
        <v>44149</v>
      </c>
      <c r="Q476" s="28">
        <f>DATEVALUE(OnePlusSalesData[[#This Row],[delivery_date]])</f>
        <v>44152</v>
      </c>
    </row>
    <row r="477" spans="1:17" ht="16" x14ac:dyDescent="0.45">
      <c r="A477" s="8" t="s">
        <v>1173</v>
      </c>
      <c r="B477" s="8" t="s">
        <v>16</v>
      </c>
      <c r="C477" s="9" t="s">
        <v>39</v>
      </c>
      <c r="D477" s="9" t="s">
        <v>27</v>
      </c>
      <c r="E477" s="9" t="s">
        <v>176</v>
      </c>
      <c r="F477" s="10">
        <v>69900</v>
      </c>
      <c r="G477" s="11">
        <v>1</v>
      </c>
      <c r="H477" s="12">
        <v>0.1</v>
      </c>
      <c r="I477" s="13">
        <v>6990</v>
      </c>
      <c r="J477" s="13">
        <v>62910</v>
      </c>
      <c r="K477" s="13">
        <v>11930.34</v>
      </c>
      <c r="L477" s="8" t="s">
        <v>533</v>
      </c>
      <c r="M477" s="19" t="s">
        <v>831</v>
      </c>
      <c r="N477" s="9" t="s">
        <v>22</v>
      </c>
      <c r="O477" s="9" t="s">
        <v>23</v>
      </c>
      <c r="P477">
        <f>DATEVALUE(OnePlusSalesData[[#This Row],[order_date]])</f>
        <v>44092</v>
      </c>
      <c r="Q477" s="28">
        <f>DATEVALUE(OnePlusSalesData[[#This Row],[delivery_date]])</f>
        <v>44097</v>
      </c>
    </row>
    <row r="478" spans="1:17" ht="16" x14ac:dyDescent="0.45">
      <c r="A478" s="2" t="s">
        <v>1174</v>
      </c>
      <c r="B478" s="2" t="s">
        <v>58</v>
      </c>
      <c r="C478" s="3" t="s">
        <v>221</v>
      </c>
      <c r="D478" s="3" t="s">
        <v>40</v>
      </c>
      <c r="E478" s="3" t="s">
        <v>60</v>
      </c>
      <c r="F478" s="4">
        <v>54999</v>
      </c>
      <c r="G478" s="5">
        <v>1</v>
      </c>
      <c r="H478" s="6">
        <v>0.12</v>
      </c>
      <c r="I478" s="7">
        <v>6599.88</v>
      </c>
      <c r="J478" s="7">
        <v>48399.12</v>
      </c>
      <c r="K478" s="7">
        <v>7442.35</v>
      </c>
      <c r="L478" s="2" t="s">
        <v>1175</v>
      </c>
      <c r="M478" s="18" t="s">
        <v>941</v>
      </c>
      <c r="N478" s="3" t="s">
        <v>22</v>
      </c>
      <c r="O478" s="3" t="s">
        <v>23</v>
      </c>
      <c r="P478">
        <f>DATEVALUE(OnePlusSalesData[[#This Row],[order_date]])</f>
        <v>43529</v>
      </c>
      <c r="Q478" s="28">
        <f>DATEVALUE(OnePlusSalesData[[#This Row],[delivery_date]])</f>
        <v>43535</v>
      </c>
    </row>
    <row r="479" spans="1:17" ht="16" x14ac:dyDescent="0.45">
      <c r="A479" s="8" t="s">
        <v>1176</v>
      </c>
      <c r="B479" s="8" t="s">
        <v>52</v>
      </c>
      <c r="C479" s="9" t="s">
        <v>53</v>
      </c>
      <c r="D479" s="9" t="s">
        <v>40</v>
      </c>
      <c r="E479" s="9" t="s">
        <v>47</v>
      </c>
      <c r="F479" s="10">
        <v>37999</v>
      </c>
      <c r="G479" s="11">
        <v>1</v>
      </c>
      <c r="H479" s="12">
        <v>0</v>
      </c>
      <c r="I479" s="13">
        <v>0</v>
      </c>
      <c r="J479" s="13">
        <v>37999</v>
      </c>
      <c r="K479" s="13">
        <v>6833.68</v>
      </c>
      <c r="L479" s="8" t="s">
        <v>661</v>
      </c>
      <c r="M479" s="19" t="s">
        <v>1177</v>
      </c>
      <c r="N479" s="9" t="s">
        <v>22</v>
      </c>
      <c r="O479" s="9" t="s">
        <v>23</v>
      </c>
      <c r="P479">
        <f>DATEVALUE(OnePlusSalesData[[#This Row],[order_date]])</f>
        <v>43688</v>
      </c>
      <c r="Q479" s="28">
        <f>DATEVALUE(OnePlusSalesData[[#This Row],[delivery_date]])</f>
        <v>43694</v>
      </c>
    </row>
    <row r="480" spans="1:17" ht="16" x14ac:dyDescent="0.45">
      <c r="A480" s="2" t="s">
        <v>1178</v>
      </c>
      <c r="B480" s="2" t="s">
        <v>52</v>
      </c>
      <c r="C480" s="3" t="s">
        <v>69</v>
      </c>
      <c r="D480" s="3" t="s">
        <v>40</v>
      </c>
      <c r="E480" s="3" t="s">
        <v>148</v>
      </c>
      <c r="F480" s="4">
        <v>41999</v>
      </c>
      <c r="G480" s="5">
        <v>1</v>
      </c>
      <c r="H480" s="6">
        <v>0.1</v>
      </c>
      <c r="I480" s="7">
        <v>4199.8999999999996</v>
      </c>
      <c r="J480" s="7">
        <v>37799.1</v>
      </c>
      <c r="K480" s="7">
        <v>9059.49</v>
      </c>
      <c r="L480" s="2" t="s">
        <v>272</v>
      </c>
      <c r="M480" s="18" t="s">
        <v>1179</v>
      </c>
      <c r="N480" s="3" t="s">
        <v>22</v>
      </c>
      <c r="O480" s="3" t="s">
        <v>96</v>
      </c>
      <c r="P480">
        <f>DATEVALUE(OnePlusSalesData[[#This Row],[order_date]])</f>
        <v>43333</v>
      </c>
      <c r="Q480" s="28">
        <f>DATEVALUE(OnePlusSalesData[[#This Row],[delivery_date]])</f>
        <v>43335</v>
      </c>
    </row>
    <row r="481" spans="1:17" ht="16" x14ac:dyDescent="0.45">
      <c r="A481" s="8" t="s">
        <v>1180</v>
      </c>
      <c r="B481" s="8" t="s">
        <v>25</v>
      </c>
      <c r="C481" s="9" t="s">
        <v>26</v>
      </c>
      <c r="D481" s="9" t="s">
        <v>18</v>
      </c>
      <c r="E481" s="9" t="s">
        <v>179</v>
      </c>
      <c r="F481" s="10">
        <v>1290</v>
      </c>
      <c r="G481" s="11">
        <v>2</v>
      </c>
      <c r="H481" s="12">
        <v>0.05</v>
      </c>
      <c r="I481" s="13">
        <v>129</v>
      </c>
      <c r="J481" s="13">
        <v>2451</v>
      </c>
      <c r="K481" s="13">
        <v>558.30999999999995</v>
      </c>
      <c r="L481" s="8" t="s">
        <v>778</v>
      </c>
      <c r="M481" s="19" t="s">
        <v>969</v>
      </c>
      <c r="N481" s="9" t="s">
        <v>50</v>
      </c>
      <c r="O481" s="9" t="s">
        <v>146</v>
      </c>
      <c r="P481">
        <f>DATEVALUE(OnePlusSalesData[[#This Row],[order_date]])</f>
        <v>44015</v>
      </c>
      <c r="Q481" s="28">
        <f>DATEVALUE(OnePlusSalesData[[#This Row],[delivery_date]])</f>
        <v>44020</v>
      </c>
    </row>
    <row r="482" spans="1:17" ht="16" x14ac:dyDescent="0.45">
      <c r="A482" s="2" t="s">
        <v>1181</v>
      </c>
      <c r="B482" s="2" t="s">
        <v>25</v>
      </c>
      <c r="C482" s="3" t="s">
        <v>172</v>
      </c>
      <c r="D482" s="3" t="s">
        <v>40</v>
      </c>
      <c r="E482" s="3" t="s">
        <v>73</v>
      </c>
      <c r="F482" s="4">
        <v>32999</v>
      </c>
      <c r="G482" s="5">
        <v>1</v>
      </c>
      <c r="H482" s="6">
        <v>0.05</v>
      </c>
      <c r="I482" s="7">
        <v>1649.95</v>
      </c>
      <c r="J482" s="7">
        <v>31349.05</v>
      </c>
      <c r="K482" s="7">
        <v>6452.59</v>
      </c>
      <c r="L482" s="2" t="s">
        <v>1061</v>
      </c>
      <c r="M482" s="18" t="s">
        <v>266</v>
      </c>
      <c r="N482" s="3" t="s">
        <v>22</v>
      </c>
      <c r="O482" s="3" t="s">
        <v>63</v>
      </c>
      <c r="P482">
        <f>DATEVALUE(OnePlusSalesData[[#This Row],[order_date]])</f>
        <v>44120</v>
      </c>
      <c r="Q482" s="28">
        <f>DATEVALUE(OnePlusSalesData[[#This Row],[delivery_date]])</f>
        <v>44127</v>
      </c>
    </row>
    <row r="483" spans="1:17" ht="16" x14ac:dyDescent="0.45">
      <c r="A483" s="8" t="s">
        <v>1182</v>
      </c>
      <c r="B483" s="8" t="s">
        <v>52</v>
      </c>
      <c r="C483" s="9" t="s">
        <v>358</v>
      </c>
      <c r="D483" s="9" t="s">
        <v>85</v>
      </c>
      <c r="E483" s="9" t="s">
        <v>258</v>
      </c>
      <c r="F483" s="10">
        <v>2999</v>
      </c>
      <c r="G483" s="11">
        <v>1</v>
      </c>
      <c r="H483" s="12">
        <v>0.08</v>
      </c>
      <c r="I483" s="13">
        <v>239.92</v>
      </c>
      <c r="J483" s="13">
        <v>2759.08</v>
      </c>
      <c r="K483" s="13">
        <v>575.58000000000004</v>
      </c>
      <c r="L483" s="8" t="s">
        <v>477</v>
      </c>
      <c r="M483" s="19" t="s">
        <v>1123</v>
      </c>
      <c r="N483" s="9" t="s">
        <v>44</v>
      </c>
      <c r="O483" s="9" t="s">
        <v>23</v>
      </c>
      <c r="P483">
        <f>DATEVALUE(OnePlusSalesData[[#This Row],[order_date]])</f>
        <v>43894</v>
      </c>
      <c r="Q483" s="28">
        <f>DATEVALUE(OnePlusSalesData[[#This Row],[delivery_date]])</f>
        <v>43900</v>
      </c>
    </row>
    <row r="484" spans="1:17" ht="16" x14ac:dyDescent="0.45">
      <c r="A484" s="2" t="s">
        <v>1183</v>
      </c>
      <c r="B484" s="2" t="s">
        <v>16</v>
      </c>
      <c r="C484" s="3" t="s">
        <v>39</v>
      </c>
      <c r="D484" s="3" t="s">
        <v>85</v>
      </c>
      <c r="E484" s="3" t="s">
        <v>228</v>
      </c>
      <c r="F484" s="4">
        <v>5990</v>
      </c>
      <c r="G484" s="5">
        <v>1</v>
      </c>
      <c r="H484" s="6">
        <v>0.05</v>
      </c>
      <c r="I484" s="7">
        <v>299.5</v>
      </c>
      <c r="J484" s="7">
        <v>5690.5</v>
      </c>
      <c r="K484" s="7">
        <v>1202.1400000000001</v>
      </c>
      <c r="L484" s="2" t="s">
        <v>857</v>
      </c>
      <c r="M484" s="18" t="s">
        <v>1184</v>
      </c>
      <c r="N484" s="3" t="s">
        <v>22</v>
      </c>
      <c r="O484" s="3" t="s">
        <v>23</v>
      </c>
      <c r="P484">
        <f>DATEVALUE(OnePlusSalesData[[#This Row],[order_date]])</f>
        <v>43413</v>
      </c>
      <c r="Q484" s="28">
        <f>DATEVALUE(OnePlusSalesData[[#This Row],[delivery_date]])</f>
        <v>43417</v>
      </c>
    </row>
    <row r="485" spans="1:17" ht="16" x14ac:dyDescent="0.45">
      <c r="A485" s="8" t="s">
        <v>1185</v>
      </c>
      <c r="B485" s="8" t="s">
        <v>52</v>
      </c>
      <c r="C485" s="9" t="s">
        <v>69</v>
      </c>
      <c r="D485" s="9" t="s">
        <v>34</v>
      </c>
      <c r="E485" s="9" t="s">
        <v>35</v>
      </c>
      <c r="F485" s="10">
        <v>19999</v>
      </c>
      <c r="G485" s="11">
        <v>1</v>
      </c>
      <c r="H485" s="12">
        <v>0</v>
      </c>
      <c r="I485" s="13">
        <v>0</v>
      </c>
      <c r="J485" s="13">
        <v>19999</v>
      </c>
      <c r="K485" s="13">
        <v>4478.1899999999996</v>
      </c>
      <c r="L485" s="8" t="s">
        <v>1186</v>
      </c>
      <c r="M485" s="19" t="s">
        <v>1187</v>
      </c>
      <c r="N485" s="9" t="s">
        <v>22</v>
      </c>
      <c r="O485" s="9" t="s">
        <v>63</v>
      </c>
      <c r="P485">
        <f>DATEVALUE(OnePlusSalesData[[#This Row],[order_date]])</f>
        <v>43749</v>
      </c>
      <c r="Q485" s="28">
        <f>DATEVALUE(OnePlusSalesData[[#This Row],[delivery_date]])</f>
        <v>43755</v>
      </c>
    </row>
    <row r="486" spans="1:17" ht="16" x14ac:dyDescent="0.45">
      <c r="A486" s="2" t="s">
        <v>1188</v>
      </c>
      <c r="B486" s="2" t="s">
        <v>52</v>
      </c>
      <c r="C486" s="3" t="s">
        <v>358</v>
      </c>
      <c r="D486" s="3" t="s">
        <v>85</v>
      </c>
      <c r="E486" s="3" t="s">
        <v>265</v>
      </c>
      <c r="F486" s="4">
        <v>4990</v>
      </c>
      <c r="G486" s="5">
        <v>1</v>
      </c>
      <c r="H486" s="6">
        <v>0.05</v>
      </c>
      <c r="I486" s="7">
        <v>249.5</v>
      </c>
      <c r="J486" s="7">
        <v>4740.5</v>
      </c>
      <c r="K486" s="7">
        <v>1182.45</v>
      </c>
      <c r="L486" s="2" t="s">
        <v>1189</v>
      </c>
      <c r="M486" s="18" t="s">
        <v>1190</v>
      </c>
      <c r="N486" s="3" t="s">
        <v>22</v>
      </c>
      <c r="O486" s="3" t="s">
        <v>23</v>
      </c>
      <c r="P486">
        <f>DATEVALUE(OnePlusSalesData[[#This Row],[order_date]])</f>
        <v>43128</v>
      </c>
      <c r="Q486" s="28">
        <f>DATEVALUE(OnePlusSalesData[[#This Row],[delivery_date]])</f>
        <v>43130</v>
      </c>
    </row>
    <row r="487" spans="1:17" ht="16" x14ac:dyDescent="0.45">
      <c r="A487" s="8" t="s">
        <v>1191</v>
      </c>
      <c r="B487" s="8" t="s">
        <v>16</v>
      </c>
      <c r="C487" s="9" t="s">
        <v>39</v>
      </c>
      <c r="D487" s="9" t="s">
        <v>40</v>
      </c>
      <c r="E487" s="9" t="s">
        <v>54</v>
      </c>
      <c r="F487" s="10">
        <v>53999</v>
      </c>
      <c r="G487" s="11">
        <v>1</v>
      </c>
      <c r="H487" s="12">
        <v>0.05</v>
      </c>
      <c r="I487" s="13">
        <v>2699.95</v>
      </c>
      <c r="J487" s="13">
        <v>51299.05</v>
      </c>
      <c r="K487" s="13">
        <v>7826.24</v>
      </c>
      <c r="L487" s="8" t="s">
        <v>231</v>
      </c>
      <c r="M487" s="19" t="s">
        <v>232</v>
      </c>
      <c r="N487" s="9" t="s">
        <v>22</v>
      </c>
      <c r="O487" s="9" t="s">
        <v>23</v>
      </c>
      <c r="P487">
        <f>DATEVALUE(OnePlusSalesData[[#This Row],[order_date]])</f>
        <v>43871</v>
      </c>
      <c r="Q487" s="28">
        <f>DATEVALUE(OnePlusSalesData[[#This Row],[delivery_date]])</f>
        <v>43877</v>
      </c>
    </row>
    <row r="488" spans="1:17" ht="16" x14ac:dyDescent="0.45">
      <c r="A488" s="2" t="s">
        <v>1192</v>
      </c>
      <c r="B488" s="2" t="s">
        <v>52</v>
      </c>
      <c r="C488" s="3" t="s">
        <v>192</v>
      </c>
      <c r="D488" s="3" t="s">
        <v>27</v>
      </c>
      <c r="E488" s="3" t="s">
        <v>159</v>
      </c>
      <c r="F488" s="4">
        <v>22999</v>
      </c>
      <c r="G488" s="5">
        <v>1</v>
      </c>
      <c r="H488" s="6">
        <v>0.05</v>
      </c>
      <c r="I488" s="7">
        <v>1149.95</v>
      </c>
      <c r="J488" s="7">
        <v>21849.05</v>
      </c>
      <c r="K488" s="7">
        <v>5409.58</v>
      </c>
      <c r="L488" s="2" t="s">
        <v>1193</v>
      </c>
      <c r="M488" s="18" t="s">
        <v>521</v>
      </c>
      <c r="N488" s="3" t="s">
        <v>22</v>
      </c>
      <c r="O488" s="3" t="s">
        <v>23</v>
      </c>
      <c r="P488">
        <f>DATEVALUE(OnePlusSalesData[[#This Row],[order_date]])</f>
        <v>43253</v>
      </c>
      <c r="Q488" s="28">
        <f>DATEVALUE(OnePlusSalesData[[#This Row],[delivery_date]])</f>
        <v>43259</v>
      </c>
    </row>
    <row r="489" spans="1:17" ht="16" x14ac:dyDescent="0.45">
      <c r="A489" s="8" t="s">
        <v>1194</v>
      </c>
      <c r="B489" s="8" t="s">
        <v>16</v>
      </c>
      <c r="C489" s="9" t="s">
        <v>140</v>
      </c>
      <c r="D489" s="9" t="s">
        <v>27</v>
      </c>
      <c r="E489" s="9" t="s">
        <v>176</v>
      </c>
      <c r="F489" s="10">
        <v>69900</v>
      </c>
      <c r="G489" s="11">
        <v>2</v>
      </c>
      <c r="H489" s="12">
        <v>0.08</v>
      </c>
      <c r="I489" s="13">
        <v>11184</v>
      </c>
      <c r="J489" s="13">
        <v>128616</v>
      </c>
      <c r="K489" s="13">
        <v>22570.78</v>
      </c>
      <c r="L489" s="8" t="s">
        <v>1195</v>
      </c>
      <c r="M489" s="19" t="s">
        <v>1196</v>
      </c>
      <c r="N489" s="9" t="s">
        <v>22</v>
      </c>
      <c r="O489" s="9" t="s">
        <v>23</v>
      </c>
      <c r="P489">
        <f>DATEVALUE(OnePlusSalesData[[#This Row],[order_date]])</f>
        <v>43941</v>
      </c>
      <c r="Q489" s="28">
        <f>DATEVALUE(OnePlusSalesData[[#This Row],[delivery_date]])</f>
        <v>43943</v>
      </c>
    </row>
    <row r="490" spans="1:17" ht="16" x14ac:dyDescent="0.45">
      <c r="A490" s="2" t="s">
        <v>1197</v>
      </c>
      <c r="B490" s="2" t="s">
        <v>25</v>
      </c>
      <c r="C490" s="3" t="s">
        <v>172</v>
      </c>
      <c r="D490" s="3" t="s">
        <v>40</v>
      </c>
      <c r="E490" s="3" t="s">
        <v>47</v>
      </c>
      <c r="F490" s="4">
        <v>37999</v>
      </c>
      <c r="G490" s="5">
        <v>1</v>
      </c>
      <c r="H490" s="6">
        <v>0.08</v>
      </c>
      <c r="I490" s="7">
        <v>3039.92</v>
      </c>
      <c r="J490" s="7">
        <v>34959.08</v>
      </c>
      <c r="K490" s="7">
        <v>7367.92</v>
      </c>
      <c r="L490" s="2" t="s">
        <v>205</v>
      </c>
      <c r="M490" s="18" t="s">
        <v>1198</v>
      </c>
      <c r="N490" s="3" t="s">
        <v>22</v>
      </c>
      <c r="O490" s="3" t="s">
        <v>23</v>
      </c>
      <c r="P490">
        <f>DATEVALUE(OnePlusSalesData[[#This Row],[order_date]])</f>
        <v>44194</v>
      </c>
      <c r="Q490" s="28">
        <f>DATEVALUE(OnePlusSalesData[[#This Row],[delivery_date]])</f>
        <v>44196</v>
      </c>
    </row>
    <row r="491" spans="1:17" ht="16" x14ac:dyDescent="0.45">
      <c r="A491" s="8" t="s">
        <v>1199</v>
      </c>
      <c r="B491" s="8" t="s">
        <v>25</v>
      </c>
      <c r="C491" s="9" t="s">
        <v>133</v>
      </c>
      <c r="D491" s="9" t="s">
        <v>27</v>
      </c>
      <c r="E491" s="9" t="s">
        <v>159</v>
      </c>
      <c r="F491" s="10">
        <v>22999</v>
      </c>
      <c r="G491" s="11">
        <v>1</v>
      </c>
      <c r="H491" s="12">
        <v>0</v>
      </c>
      <c r="I491" s="13">
        <v>0</v>
      </c>
      <c r="J491" s="13">
        <v>22999</v>
      </c>
      <c r="K491" s="13">
        <v>4214.45</v>
      </c>
      <c r="L491" s="8" t="s">
        <v>1200</v>
      </c>
      <c r="M491" s="19" t="s">
        <v>1201</v>
      </c>
      <c r="N491" s="9" t="s">
        <v>22</v>
      </c>
      <c r="O491" s="9" t="s">
        <v>63</v>
      </c>
      <c r="P491">
        <f>DATEVALUE(OnePlusSalesData[[#This Row],[order_date]])</f>
        <v>43579</v>
      </c>
      <c r="Q491" s="28">
        <f>DATEVALUE(OnePlusSalesData[[#This Row],[delivery_date]])</f>
        <v>43584</v>
      </c>
    </row>
    <row r="492" spans="1:17" ht="16" x14ac:dyDescent="0.45">
      <c r="A492" s="2" t="s">
        <v>1202</v>
      </c>
      <c r="B492" s="2" t="s">
        <v>52</v>
      </c>
      <c r="C492" s="3" t="s">
        <v>106</v>
      </c>
      <c r="D492" s="3" t="s">
        <v>18</v>
      </c>
      <c r="E492" s="3" t="s">
        <v>102</v>
      </c>
      <c r="F492" s="4">
        <v>1490</v>
      </c>
      <c r="G492" s="5">
        <v>1</v>
      </c>
      <c r="H492" s="6">
        <v>0</v>
      </c>
      <c r="I492" s="7">
        <v>0</v>
      </c>
      <c r="J492" s="7">
        <v>1490</v>
      </c>
      <c r="K492" s="7">
        <v>367.05</v>
      </c>
      <c r="L492" s="2" t="s">
        <v>1203</v>
      </c>
      <c r="M492" s="18" t="s">
        <v>579</v>
      </c>
      <c r="N492" s="3" t="s">
        <v>22</v>
      </c>
      <c r="O492" s="3" t="s">
        <v>63</v>
      </c>
      <c r="P492">
        <f>DATEVALUE(OnePlusSalesData[[#This Row],[order_date]])</f>
        <v>43347</v>
      </c>
      <c r="Q492" s="28">
        <f>DATEVALUE(OnePlusSalesData[[#This Row],[delivery_date]])</f>
        <v>43353</v>
      </c>
    </row>
    <row r="493" spans="1:17" ht="16" x14ac:dyDescent="0.45">
      <c r="A493" s="8" t="s">
        <v>1204</v>
      </c>
      <c r="B493" s="8" t="s">
        <v>52</v>
      </c>
      <c r="C493" s="9" t="s">
        <v>358</v>
      </c>
      <c r="D493" s="9" t="s">
        <v>40</v>
      </c>
      <c r="E493" s="9" t="s">
        <v>406</v>
      </c>
      <c r="F493" s="10">
        <v>48999</v>
      </c>
      <c r="G493" s="11">
        <v>5</v>
      </c>
      <c r="H493" s="12">
        <v>0.08</v>
      </c>
      <c r="I493" s="13">
        <v>19599.599999999999</v>
      </c>
      <c r="J493" s="13">
        <v>225395.4</v>
      </c>
      <c r="K493" s="13">
        <v>39323.96</v>
      </c>
      <c r="L493" s="8" t="s">
        <v>340</v>
      </c>
      <c r="M493" s="19" t="s">
        <v>565</v>
      </c>
      <c r="N493" s="9" t="s">
        <v>22</v>
      </c>
      <c r="O493" s="9" t="s">
        <v>23</v>
      </c>
      <c r="P493">
        <f>DATEVALUE(OnePlusSalesData[[#This Row],[order_date]])</f>
        <v>44132</v>
      </c>
      <c r="Q493" s="28">
        <f>DATEVALUE(OnePlusSalesData[[#This Row],[delivery_date]])</f>
        <v>44136</v>
      </c>
    </row>
    <row r="494" spans="1:17" ht="16" x14ac:dyDescent="0.45">
      <c r="A494" s="2" t="s">
        <v>1205</v>
      </c>
      <c r="B494" s="2" t="s">
        <v>58</v>
      </c>
      <c r="C494" s="3" t="s">
        <v>81</v>
      </c>
      <c r="D494" s="3" t="s">
        <v>85</v>
      </c>
      <c r="E494" s="3" t="s">
        <v>228</v>
      </c>
      <c r="F494" s="4">
        <v>5990</v>
      </c>
      <c r="G494" s="5">
        <v>1</v>
      </c>
      <c r="H494" s="6">
        <v>0</v>
      </c>
      <c r="I494" s="7">
        <v>0</v>
      </c>
      <c r="J494" s="7">
        <v>5990</v>
      </c>
      <c r="K494" s="7">
        <v>1456.13</v>
      </c>
      <c r="L494" s="2" t="s">
        <v>291</v>
      </c>
      <c r="M494" s="18" t="s">
        <v>1206</v>
      </c>
      <c r="N494" s="3" t="s">
        <v>92</v>
      </c>
      <c r="O494" s="3" t="s">
        <v>23</v>
      </c>
      <c r="P494">
        <f>DATEVALUE(OnePlusSalesData[[#This Row],[order_date]])</f>
        <v>43476</v>
      </c>
      <c r="Q494" s="28">
        <f>DATEVALUE(OnePlusSalesData[[#This Row],[delivery_date]])</f>
        <v>43482</v>
      </c>
    </row>
    <row r="495" spans="1:17" ht="16" x14ac:dyDescent="0.45">
      <c r="A495" s="8" t="s">
        <v>1207</v>
      </c>
      <c r="B495" s="8" t="s">
        <v>52</v>
      </c>
      <c r="C495" s="9" t="s">
        <v>106</v>
      </c>
      <c r="D495" s="9" t="s">
        <v>40</v>
      </c>
      <c r="E495" s="9" t="s">
        <v>148</v>
      </c>
      <c r="F495" s="10">
        <v>41999</v>
      </c>
      <c r="G495" s="11">
        <v>1</v>
      </c>
      <c r="H495" s="12">
        <v>0.05</v>
      </c>
      <c r="I495" s="13">
        <v>2099.9499999999998</v>
      </c>
      <c r="J495" s="13">
        <v>39899.050000000003</v>
      </c>
      <c r="K495" s="13">
        <v>6589.84</v>
      </c>
      <c r="L495" s="8" t="s">
        <v>711</v>
      </c>
      <c r="M495" s="19" t="s">
        <v>633</v>
      </c>
      <c r="N495" s="9" t="s">
        <v>92</v>
      </c>
      <c r="O495" s="9" t="s">
        <v>63</v>
      </c>
      <c r="P495">
        <f>DATEVALUE(OnePlusSalesData[[#This Row],[order_date]])</f>
        <v>43279</v>
      </c>
      <c r="Q495" s="28">
        <f>DATEVALUE(OnePlusSalesData[[#This Row],[delivery_date]])</f>
        <v>43285</v>
      </c>
    </row>
    <row r="496" spans="1:17" ht="16" x14ac:dyDescent="0.45">
      <c r="A496" s="2" t="s">
        <v>1208</v>
      </c>
      <c r="B496" s="2" t="s">
        <v>58</v>
      </c>
      <c r="C496" s="3" t="s">
        <v>59</v>
      </c>
      <c r="D496" s="3" t="s">
        <v>18</v>
      </c>
      <c r="E496" s="3" t="s">
        <v>102</v>
      </c>
      <c r="F496" s="4">
        <v>1490</v>
      </c>
      <c r="G496" s="5">
        <v>1</v>
      </c>
      <c r="H496" s="6">
        <v>0.12</v>
      </c>
      <c r="I496" s="7">
        <v>178.8</v>
      </c>
      <c r="J496" s="7">
        <v>1311.2</v>
      </c>
      <c r="K496" s="7">
        <v>250.94</v>
      </c>
      <c r="L496" s="2" t="s">
        <v>542</v>
      </c>
      <c r="M496" s="18" t="s">
        <v>187</v>
      </c>
      <c r="N496" s="3" t="s">
        <v>92</v>
      </c>
      <c r="O496" s="3" t="s">
        <v>31</v>
      </c>
      <c r="P496">
        <f>DATEVALUE(OnePlusSalesData[[#This Row],[order_date]])</f>
        <v>43832</v>
      </c>
      <c r="Q496" s="28">
        <f>DATEVALUE(OnePlusSalesData[[#This Row],[delivery_date]])</f>
        <v>43835</v>
      </c>
    </row>
    <row r="497" spans="1:17" ht="16" x14ac:dyDescent="0.45">
      <c r="A497" s="8" t="s">
        <v>1209</v>
      </c>
      <c r="B497" s="8" t="s">
        <v>25</v>
      </c>
      <c r="C497" s="9" t="s">
        <v>26</v>
      </c>
      <c r="D497" s="9" t="s">
        <v>27</v>
      </c>
      <c r="E497" s="9" t="s">
        <v>159</v>
      </c>
      <c r="F497" s="10">
        <v>22999</v>
      </c>
      <c r="G497" s="11">
        <v>2</v>
      </c>
      <c r="H497" s="12">
        <v>0</v>
      </c>
      <c r="I497" s="13">
        <v>0</v>
      </c>
      <c r="J497" s="13">
        <v>45998</v>
      </c>
      <c r="K497" s="13">
        <v>8677.02</v>
      </c>
      <c r="L497" s="8" t="s">
        <v>1158</v>
      </c>
      <c r="M497" s="19" t="s">
        <v>1210</v>
      </c>
      <c r="N497" s="9" t="s">
        <v>92</v>
      </c>
      <c r="O497" s="9" t="s">
        <v>96</v>
      </c>
      <c r="P497">
        <f>DATEVALUE(OnePlusSalesData[[#This Row],[order_date]])</f>
        <v>43994</v>
      </c>
      <c r="Q497" s="28">
        <f>DATEVALUE(OnePlusSalesData[[#This Row],[delivery_date]])</f>
        <v>44001</v>
      </c>
    </row>
    <row r="498" spans="1:17" ht="16" x14ac:dyDescent="0.45">
      <c r="A498" s="2" t="s">
        <v>1211</v>
      </c>
      <c r="B498" s="2" t="s">
        <v>16</v>
      </c>
      <c r="C498" s="3" t="s">
        <v>33</v>
      </c>
      <c r="D498" s="3" t="s">
        <v>85</v>
      </c>
      <c r="E498" s="3" t="s">
        <v>86</v>
      </c>
      <c r="F498" s="4">
        <v>1999</v>
      </c>
      <c r="G498" s="5">
        <v>3</v>
      </c>
      <c r="H498" s="6">
        <v>0.1</v>
      </c>
      <c r="I498" s="7">
        <v>599.70000000000005</v>
      </c>
      <c r="J498" s="7">
        <v>5397.3</v>
      </c>
      <c r="K498" s="7">
        <v>874.03</v>
      </c>
      <c r="L498" s="2" t="s">
        <v>1049</v>
      </c>
      <c r="M498" s="18" t="s">
        <v>811</v>
      </c>
      <c r="N498" s="3" t="s">
        <v>22</v>
      </c>
      <c r="O498" s="3" t="s">
        <v>23</v>
      </c>
      <c r="P498">
        <f>DATEVALUE(OnePlusSalesData[[#This Row],[order_date]])</f>
        <v>43970</v>
      </c>
      <c r="Q498" s="28">
        <f>DATEVALUE(OnePlusSalesData[[#This Row],[delivery_date]])</f>
        <v>43975</v>
      </c>
    </row>
    <row r="499" spans="1:17" ht="16" x14ac:dyDescent="0.45">
      <c r="A499" s="8" t="s">
        <v>1212</v>
      </c>
      <c r="B499" s="8" t="s">
        <v>25</v>
      </c>
      <c r="C499" s="9" t="s">
        <v>26</v>
      </c>
      <c r="D499" s="9" t="s">
        <v>40</v>
      </c>
      <c r="E499" s="9" t="s">
        <v>60</v>
      </c>
      <c r="F499" s="10">
        <v>54999</v>
      </c>
      <c r="G499" s="11">
        <v>1</v>
      </c>
      <c r="H499" s="12">
        <v>0.08</v>
      </c>
      <c r="I499" s="13">
        <v>4399.92</v>
      </c>
      <c r="J499" s="13">
        <v>50599.08</v>
      </c>
      <c r="K499" s="13">
        <v>10032.67</v>
      </c>
      <c r="L499" s="8" t="s">
        <v>996</v>
      </c>
      <c r="M499" s="19" t="s">
        <v>711</v>
      </c>
      <c r="N499" s="9" t="s">
        <v>50</v>
      </c>
      <c r="O499" s="9" t="s">
        <v>63</v>
      </c>
      <c r="P499">
        <f>DATEVALUE(OnePlusSalesData[[#This Row],[order_date]])</f>
        <v>43273</v>
      </c>
      <c r="Q499" s="28">
        <f>DATEVALUE(OnePlusSalesData[[#This Row],[delivery_date]])</f>
        <v>43279</v>
      </c>
    </row>
    <row r="500" spans="1:17" ht="16" x14ac:dyDescent="0.45">
      <c r="A500" s="2" t="s">
        <v>1213</v>
      </c>
      <c r="B500" s="2" t="s">
        <v>25</v>
      </c>
      <c r="C500" s="3" t="s">
        <v>172</v>
      </c>
      <c r="D500" s="3" t="s">
        <v>40</v>
      </c>
      <c r="E500" s="3" t="s">
        <v>54</v>
      </c>
      <c r="F500" s="4">
        <v>53999</v>
      </c>
      <c r="G500" s="5">
        <v>2</v>
      </c>
      <c r="H500" s="6">
        <v>0.05</v>
      </c>
      <c r="I500" s="7">
        <v>5399.9</v>
      </c>
      <c r="J500" s="7">
        <v>102598.1</v>
      </c>
      <c r="K500" s="7">
        <v>20526.75</v>
      </c>
      <c r="L500" s="2" t="s">
        <v>1214</v>
      </c>
      <c r="M500" s="18" t="s">
        <v>1215</v>
      </c>
      <c r="N500" s="3" t="s">
        <v>22</v>
      </c>
      <c r="O500" s="3" t="s">
        <v>23</v>
      </c>
      <c r="P500">
        <f>DATEVALUE(OnePlusSalesData[[#This Row],[order_date]])</f>
        <v>43431</v>
      </c>
      <c r="Q500" s="28">
        <f>DATEVALUE(OnePlusSalesData[[#This Row],[delivery_date]])</f>
        <v>43434</v>
      </c>
    </row>
    <row r="501" spans="1:17" ht="16" x14ac:dyDescent="0.45">
      <c r="A501" s="8" t="s">
        <v>1216</v>
      </c>
      <c r="B501" s="8" t="s">
        <v>25</v>
      </c>
      <c r="C501" s="9" t="s">
        <v>26</v>
      </c>
      <c r="D501" s="9" t="s">
        <v>40</v>
      </c>
      <c r="E501" s="9" t="s">
        <v>54</v>
      </c>
      <c r="F501" s="10">
        <v>53999</v>
      </c>
      <c r="G501" s="11">
        <v>1</v>
      </c>
      <c r="H501" s="12">
        <v>0.05</v>
      </c>
      <c r="I501" s="13">
        <v>2699.95</v>
      </c>
      <c r="J501" s="13">
        <v>51299.05</v>
      </c>
      <c r="K501" s="13">
        <v>7700.53</v>
      </c>
      <c r="L501" s="8" t="s">
        <v>1217</v>
      </c>
      <c r="M501" s="19" t="s">
        <v>655</v>
      </c>
      <c r="N501" s="9" t="s">
        <v>44</v>
      </c>
      <c r="O501" s="9" t="s">
        <v>146</v>
      </c>
      <c r="P501">
        <f>DATEVALUE(OnePlusSalesData[[#This Row],[order_date]])</f>
        <v>43666</v>
      </c>
      <c r="Q501" s="28">
        <f>DATEVALUE(OnePlusSalesData[[#This Row],[delivery_date]])</f>
        <v>43673</v>
      </c>
    </row>
    <row r="502" spans="1:17" ht="16" x14ac:dyDescent="0.45">
      <c r="A502" s="2" t="s">
        <v>1218</v>
      </c>
      <c r="B502" s="2" t="s">
        <v>16</v>
      </c>
      <c r="C502" s="3" t="s">
        <v>39</v>
      </c>
      <c r="D502" s="3" t="s">
        <v>40</v>
      </c>
      <c r="E502" s="3" t="s">
        <v>148</v>
      </c>
      <c r="F502" s="4">
        <v>41999</v>
      </c>
      <c r="G502" s="5">
        <v>1</v>
      </c>
      <c r="H502" s="6">
        <v>0.08</v>
      </c>
      <c r="I502" s="7">
        <v>3359.92</v>
      </c>
      <c r="J502" s="7">
        <v>38639.08</v>
      </c>
      <c r="K502" s="7">
        <v>8849.7900000000009</v>
      </c>
      <c r="L502" s="2" t="s">
        <v>1219</v>
      </c>
      <c r="M502" s="18" t="s">
        <v>1220</v>
      </c>
      <c r="N502" s="3" t="s">
        <v>50</v>
      </c>
      <c r="O502" s="3" t="s">
        <v>23</v>
      </c>
      <c r="P502">
        <f>DATEVALUE(OnePlusSalesData[[#This Row],[order_date]])</f>
        <v>43808</v>
      </c>
      <c r="Q502" s="28">
        <f>DATEVALUE(OnePlusSalesData[[#This Row],[delivery_date]])</f>
        <v>43812</v>
      </c>
    </row>
    <row r="503" spans="1:17" ht="16" x14ac:dyDescent="0.45">
      <c r="A503" s="8" t="s">
        <v>1221</v>
      </c>
      <c r="B503" s="8" t="s">
        <v>25</v>
      </c>
      <c r="C503" s="9" t="s">
        <v>26</v>
      </c>
      <c r="D503" s="9" t="s">
        <v>40</v>
      </c>
      <c r="E503" s="9" t="s">
        <v>98</v>
      </c>
      <c r="F503" s="10">
        <v>34999</v>
      </c>
      <c r="G503" s="11">
        <v>1</v>
      </c>
      <c r="H503" s="12">
        <v>0.1</v>
      </c>
      <c r="I503" s="13">
        <v>3499.9</v>
      </c>
      <c r="J503" s="13">
        <v>31499.1</v>
      </c>
      <c r="K503" s="13">
        <v>5859.07</v>
      </c>
      <c r="L503" s="8" t="s">
        <v>1196</v>
      </c>
      <c r="M503" s="19" t="s">
        <v>1222</v>
      </c>
      <c r="N503" s="9" t="s">
        <v>22</v>
      </c>
      <c r="O503" s="9" t="s">
        <v>23</v>
      </c>
      <c r="P503">
        <f>DATEVALUE(OnePlusSalesData[[#This Row],[order_date]])</f>
        <v>43943</v>
      </c>
      <c r="Q503" s="28">
        <f>DATEVALUE(OnePlusSalesData[[#This Row],[delivery_date]])</f>
        <v>43946</v>
      </c>
    </row>
    <row r="504" spans="1:17" ht="16" x14ac:dyDescent="0.45">
      <c r="A504" s="2" t="s">
        <v>1223</v>
      </c>
      <c r="B504" s="2" t="s">
        <v>52</v>
      </c>
      <c r="C504" s="3" t="s">
        <v>192</v>
      </c>
      <c r="D504" s="3" t="s">
        <v>18</v>
      </c>
      <c r="E504" s="3" t="s">
        <v>102</v>
      </c>
      <c r="F504" s="4">
        <v>1490</v>
      </c>
      <c r="G504" s="5">
        <v>1</v>
      </c>
      <c r="H504" s="6">
        <v>0.1</v>
      </c>
      <c r="I504" s="7">
        <v>149</v>
      </c>
      <c r="J504" s="7">
        <v>1341</v>
      </c>
      <c r="K504" s="7">
        <v>321.23</v>
      </c>
      <c r="L504" s="2" t="s">
        <v>900</v>
      </c>
      <c r="M504" s="18" t="s">
        <v>1224</v>
      </c>
      <c r="N504" s="3" t="s">
        <v>22</v>
      </c>
      <c r="O504" s="3" t="s">
        <v>31</v>
      </c>
      <c r="P504">
        <f>DATEVALUE(OnePlusSalesData[[#This Row],[order_date]])</f>
        <v>43472</v>
      </c>
      <c r="Q504" s="28">
        <f>DATEVALUE(OnePlusSalesData[[#This Row],[delivery_date]])</f>
        <v>43479</v>
      </c>
    </row>
    <row r="505" spans="1:17" ht="16" x14ac:dyDescent="0.45">
      <c r="A505" s="8" t="s">
        <v>1225</v>
      </c>
      <c r="B505" s="8" t="s">
        <v>52</v>
      </c>
      <c r="C505" s="9" t="s">
        <v>358</v>
      </c>
      <c r="D505" s="9" t="s">
        <v>18</v>
      </c>
      <c r="E505" s="9" t="s">
        <v>102</v>
      </c>
      <c r="F505" s="10">
        <v>1490</v>
      </c>
      <c r="G505" s="11">
        <v>1</v>
      </c>
      <c r="H505" s="12">
        <v>0</v>
      </c>
      <c r="I505" s="13">
        <v>0</v>
      </c>
      <c r="J505" s="13">
        <v>1490</v>
      </c>
      <c r="K505" s="13">
        <v>318.02999999999997</v>
      </c>
      <c r="L505" s="8" t="s">
        <v>840</v>
      </c>
      <c r="M505" s="19" t="s">
        <v>1052</v>
      </c>
      <c r="N505" s="9" t="s">
        <v>22</v>
      </c>
      <c r="O505" s="9" t="s">
        <v>96</v>
      </c>
      <c r="P505">
        <f>DATEVALUE(OnePlusSalesData[[#This Row],[order_date]])</f>
        <v>43818</v>
      </c>
      <c r="Q505" s="28">
        <f>DATEVALUE(OnePlusSalesData[[#This Row],[delivery_date]])</f>
        <v>43821</v>
      </c>
    </row>
    <row r="506" spans="1:17" ht="16" x14ac:dyDescent="0.45">
      <c r="A506" s="2" t="s">
        <v>1226</v>
      </c>
      <c r="B506" s="2" t="s">
        <v>52</v>
      </c>
      <c r="C506" s="3" t="s">
        <v>106</v>
      </c>
      <c r="D506" s="3" t="s">
        <v>40</v>
      </c>
      <c r="E506" s="3" t="s">
        <v>60</v>
      </c>
      <c r="F506" s="4">
        <v>54999</v>
      </c>
      <c r="G506" s="5">
        <v>2</v>
      </c>
      <c r="H506" s="6">
        <v>0.08</v>
      </c>
      <c r="I506" s="7">
        <v>8799.84</v>
      </c>
      <c r="J506" s="7">
        <v>101198.16</v>
      </c>
      <c r="K506" s="7">
        <v>24653.71</v>
      </c>
      <c r="L506" s="2" t="s">
        <v>387</v>
      </c>
      <c r="M506" s="18" t="s">
        <v>643</v>
      </c>
      <c r="N506" s="3" t="s">
        <v>22</v>
      </c>
      <c r="O506" s="3" t="s">
        <v>23</v>
      </c>
      <c r="P506">
        <f>DATEVALUE(OnePlusSalesData[[#This Row],[order_date]])</f>
        <v>44084</v>
      </c>
      <c r="Q506" s="28">
        <f>DATEVALUE(OnePlusSalesData[[#This Row],[delivery_date]])</f>
        <v>44090</v>
      </c>
    </row>
    <row r="507" spans="1:17" ht="16" x14ac:dyDescent="0.45">
      <c r="A507" s="8" t="s">
        <v>1227</v>
      </c>
      <c r="B507" s="8" t="s">
        <v>16</v>
      </c>
      <c r="C507" s="9" t="s">
        <v>33</v>
      </c>
      <c r="D507" s="9" t="s">
        <v>40</v>
      </c>
      <c r="E507" s="9" t="s">
        <v>47</v>
      </c>
      <c r="F507" s="10">
        <v>37999</v>
      </c>
      <c r="G507" s="11">
        <v>1</v>
      </c>
      <c r="H507" s="12">
        <v>0.05</v>
      </c>
      <c r="I507" s="13">
        <v>1899.95</v>
      </c>
      <c r="J507" s="13">
        <v>36099.050000000003</v>
      </c>
      <c r="K507" s="13">
        <v>6544.43</v>
      </c>
      <c r="L507" s="8" t="s">
        <v>606</v>
      </c>
      <c r="M507" s="19" t="s">
        <v>1228</v>
      </c>
      <c r="N507" s="9" t="s">
        <v>22</v>
      </c>
      <c r="O507" s="9" t="s">
        <v>23</v>
      </c>
      <c r="P507">
        <f>DATEVALUE(OnePlusSalesData[[#This Row],[order_date]])</f>
        <v>43602</v>
      </c>
      <c r="Q507" s="28">
        <f>DATEVALUE(OnePlusSalesData[[#This Row],[delivery_date]])</f>
        <v>43608</v>
      </c>
    </row>
    <row r="508" spans="1:17" ht="16" x14ac:dyDescent="0.45">
      <c r="A508" s="2" t="s">
        <v>1229</v>
      </c>
      <c r="B508" s="2" t="s">
        <v>16</v>
      </c>
      <c r="C508" s="3" t="s">
        <v>39</v>
      </c>
      <c r="D508" s="3" t="s">
        <v>40</v>
      </c>
      <c r="E508" s="3" t="s">
        <v>47</v>
      </c>
      <c r="F508" s="4">
        <v>37999</v>
      </c>
      <c r="G508" s="5">
        <v>1</v>
      </c>
      <c r="H508" s="6">
        <v>0.08</v>
      </c>
      <c r="I508" s="7">
        <v>3039.92</v>
      </c>
      <c r="J508" s="7">
        <v>34959.08</v>
      </c>
      <c r="K508" s="7">
        <v>7391.89</v>
      </c>
      <c r="L508" s="2" t="s">
        <v>1230</v>
      </c>
      <c r="M508" s="18" t="s">
        <v>1231</v>
      </c>
      <c r="N508" s="3" t="s">
        <v>22</v>
      </c>
      <c r="O508" s="3" t="s">
        <v>45</v>
      </c>
      <c r="P508">
        <f>DATEVALUE(OnePlusSalesData[[#This Row],[order_date]])</f>
        <v>43440</v>
      </c>
      <c r="Q508" s="28">
        <f>DATEVALUE(OnePlusSalesData[[#This Row],[delivery_date]])</f>
        <v>43446</v>
      </c>
    </row>
    <row r="509" spans="1:17" ht="16" x14ac:dyDescent="0.45">
      <c r="A509" s="8" t="s">
        <v>1232</v>
      </c>
      <c r="B509" s="8" t="s">
        <v>58</v>
      </c>
      <c r="C509" s="9" t="s">
        <v>113</v>
      </c>
      <c r="D509" s="9" t="s">
        <v>18</v>
      </c>
      <c r="E509" s="9" t="s">
        <v>102</v>
      </c>
      <c r="F509" s="10">
        <v>1490</v>
      </c>
      <c r="G509" s="11">
        <v>1</v>
      </c>
      <c r="H509" s="12">
        <v>0.05</v>
      </c>
      <c r="I509" s="13">
        <v>74.5</v>
      </c>
      <c r="J509" s="13">
        <v>1415.5</v>
      </c>
      <c r="K509" s="13">
        <v>205.99</v>
      </c>
      <c r="L509" s="8" t="s">
        <v>1166</v>
      </c>
      <c r="M509" s="19" t="s">
        <v>1233</v>
      </c>
      <c r="N509" s="9" t="s">
        <v>92</v>
      </c>
      <c r="O509" s="9" t="s">
        <v>23</v>
      </c>
      <c r="P509">
        <f>DATEVALUE(OnePlusSalesData[[#This Row],[order_date]])</f>
        <v>43697</v>
      </c>
      <c r="Q509" s="28">
        <f>DATEVALUE(OnePlusSalesData[[#This Row],[delivery_date]])</f>
        <v>43700</v>
      </c>
    </row>
    <row r="510" spans="1:17" ht="16" x14ac:dyDescent="0.45">
      <c r="A510" s="2" t="s">
        <v>1234</v>
      </c>
      <c r="B510" s="2" t="s">
        <v>52</v>
      </c>
      <c r="C510" s="3" t="s">
        <v>358</v>
      </c>
      <c r="D510" s="3" t="s">
        <v>27</v>
      </c>
      <c r="E510" s="3" t="s">
        <v>159</v>
      </c>
      <c r="F510" s="4">
        <v>22999</v>
      </c>
      <c r="G510" s="5">
        <v>1</v>
      </c>
      <c r="H510" s="6">
        <v>0.05</v>
      </c>
      <c r="I510" s="7">
        <v>1149.95</v>
      </c>
      <c r="J510" s="7">
        <v>21849.05</v>
      </c>
      <c r="K510" s="7">
        <v>4555.34</v>
      </c>
      <c r="L510" s="2" t="s">
        <v>1235</v>
      </c>
      <c r="M510" s="18" t="s">
        <v>1220</v>
      </c>
      <c r="N510" s="3" t="s">
        <v>22</v>
      </c>
      <c r="O510" s="3" t="s">
        <v>23</v>
      </c>
      <c r="P510">
        <f>DATEVALUE(OnePlusSalesData[[#This Row],[order_date]])</f>
        <v>43809</v>
      </c>
      <c r="Q510" s="28">
        <f>DATEVALUE(OnePlusSalesData[[#This Row],[delivery_date]])</f>
        <v>43812</v>
      </c>
    </row>
    <row r="511" spans="1:17" ht="16" x14ac:dyDescent="0.45">
      <c r="A511" s="8" t="s">
        <v>1236</v>
      </c>
      <c r="B511" s="8" t="s">
        <v>58</v>
      </c>
      <c r="C511" s="9" t="s">
        <v>113</v>
      </c>
      <c r="D511" s="9" t="s">
        <v>40</v>
      </c>
      <c r="E511" s="9" t="s">
        <v>54</v>
      </c>
      <c r="F511" s="10">
        <v>53999</v>
      </c>
      <c r="G511" s="11">
        <v>2</v>
      </c>
      <c r="H511" s="12">
        <v>0.1</v>
      </c>
      <c r="I511" s="13">
        <v>10799.8</v>
      </c>
      <c r="J511" s="13">
        <v>97198.2</v>
      </c>
      <c r="K511" s="13">
        <v>22038.15</v>
      </c>
      <c r="L511" s="8" t="s">
        <v>601</v>
      </c>
      <c r="M511" s="19" t="s">
        <v>1237</v>
      </c>
      <c r="N511" s="9" t="s">
        <v>92</v>
      </c>
      <c r="O511" s="9" t="s">
        <v>23</v>
      </c>
      <c r="P511">
        <f>DATEVALUE(OnePlusSalesData[[#This Row],[order_date]])</f>
        <v>43995</v>
      </c>
      <c r="Q511" s="28">
        <f>DATEVALUE(OnePlusSalesData[[#This Row],[delivery_date]])</f>
        <v>43997</v>
      </c>
    </row>
    <row r="512" spans="1:17" ht="16" x14ac:dyDescent="0.45">
      <c r="A512" s="2" t="s">
        <v>1238</v>
      </c>
      <c r="B512" s="2" t="s">
        <v>25</v>
      </c>
      <c r="C512" s="3" t="s">
        <v>26</v>
      </c>
      <c r="D512" s="3" t="s">
        <v>85</v>
      </c>
      <c r="E512" s="3" t="s">
        <v>228</v>
      </c>
      <c r="F512" s="4">
        <v>5990</v>
      </c>
      <c r="G512" s="5">
        <v>2</v>
      </c>
      <c r="H512" s="6">
        <v>0.08</v>
      </c>
      <c r="I512" s="7">
        <v>958.4</v>
      </c>
      <c r="J512" s="7">
        <v>11021.6</v>
      </c>
      <c r="K512" s="7">
        <v>1853.17</v>
      </c>
      <c r="L512" s="2" t="s">
        <v>1169</v>
      </c>
      <c r="M512" s="18" t="s">
        <v>272</v>
      </c>
      <c r="N512" s="3" t="s">
        <v>44</v>
      </c>
      <c r="O512" s="3" t="s">
        <v>23</v>
      </c>
      <c r="P512">
        <f>DATEVALUE(OnePlusSalesData[[#This Row],[order_date]])</f>
        <v>43328</v>
      </c>
      <c r="Q512" s="28">
        <f>DATEVALUE(OnePlusSalesData[[#This Row],[delivery_date]])</f>
        <v>43333</v>
      </c>
    </row>
    <row r="513" spans="1:17" ht="16" x14ac:dyDescent="0.45">
      <c r="A513" s="8" t="s">
        <v>1239</v>
      </c>
      <c r="B513" s="8" t="s">
        <v>25</v>
      </c>
      <c r="C513" s="9" t="s">
        <v>172</v>
      </c>
      <c r="D513" s="9" t="s">
        <v>18</v>
      </c>
      <c r="E513" s="9" t="s">
        <v>102</v>
      </c>
      <c r="F513" s="10">
        <v>1490</v>
      </c>
      <c r="G513" s="11">
        <v>1</v>
      </c>
      <c r="H513" s="12">
        <v>0.1</v>
      </c>
      <c r="I513" s="13">
        <v>149</v>
      </c>
      <c r="J513" s="13">
        <v>1341</v>
      </c>
      <c r="K513" s="13">
        <v>242.65</v>
      </c>
      <c r="L513" s="8" t="s">
        <v>1240</v>
      </c>
      <c r="M513" s="19" t="s">
        <v>272</v>
      </c>
      <c r="N513" s="9" t="s">
        <v>92</v>
      </c>
      <c r="O513" s="9" t="s">
        <v>31</v>
      </c>
      <c r="P513">
        <f>DATEVALUE(OnePlusSalesData[[#This Row],[order_date]])</f>
        <v>43329</v>
      </c>
      <c r="Q513" s="28">
        <f>DATEVALUE(OnePlusSalesData[[#This Row],[delivery_date]])</f>
        <v>43333</v>
      </c>
    </row>
    <row r="514" spans="1:17" ht="16" x14ac:dyDescent="0.45">
      <c r="A514" s="2" t="s">
        <v>1241</v>
      </c>
      <c r="B514" s="2" t="s">
        <v>58</v>
      </c>
      <c r="C514" s="3" t="s">
        <v>221</v>
      </c>
      <c r="D514" s="3" t="s">
        <v>40</v>
      </c>
      <c r="E514" s="3" t="s">
        <v>47</v>
      </c>
      <c r="F514" s="4">
        <v>37999</v>
      </c>
      <c r="G514" s="5">
        <v>1</v>
      </c>
      <c r="H514" s="6">
        <v>0.15</v>
      </c>
      <c r="I514" s="7">
        <v>5699.85</v>
      </c>
      <c r="J514" s="7">
        <v>32299.15</v>
      </c>
      <c r="K514" s="7">
        <v>6394.84</v>
      </c>
      <c r="L514" s="2" t="s">
        <v>154</v>
      </c>
      <c r="M514" s="18" t="s">
        <v>1242</v>
      </c>
      <c r="N514" s="3" t="s">
        <v>92</v>
      </c>
      <c r="O514" s="3" t="s">
        <v>146</v>
      </c>
      <c r="P514">
        <f>DATEVALUE(OnePlusSalesData[[#This Row],[order_date]])</f>
        <v>43682</v>
      </c>
      <c r="Q514" s="28">
        <f>DATEVALUE(OnePlusSalesData[[#This Row],[delivery_date]])</f>
        <v>43689</v>
      </c>
    </row>
    <row r="515" spans="1:17" ht="16" x14ac:dyDescent="0.45">
      <c r="A515" s="8" t="s">
        <v>1243</v>
      </c>
      <c r="B515" s="8" t="s">
        <v>16</v>
      </c>
      <c r="C515" s="9" t="s">
        <v>140</v>
      </c>
      <c r="D515" s="9" t="s">
        <v>85</v>
      </c>
      <c r="E515" s="9" t="s">
        <v>228</v>
      </c>
      <c r="F515" s="10">
        <v>5990</v>
      </c>
      <c r="G515" s="11">
        <v>1</v>
      </c>
      <c r="H515" s="12">
        <v>0.05</v>
      </c>
      <c r="I515" s="13">
        <v>299.5</v>
      </c>
      <c r="J515" s="13">
        <v>5690.5</v>
      </c>
      <c r="K515" s="13">
        <v>1383.08</v>
      </c>
      <c r="L515" s="8" t="s">
        <v>235</v>
      </c>
      <c r="M515" s="19" t="s">
        <v>218</v>
      </c>
      <c r="N515" s="9" t="s">
        <v>22</v>
      </c>
      <c r="O515" s="9" t="s">
        <v>45</v>
      </c>
      <c r="P515">
        <f>DATEVALUE(OnePlusSalesData[[#This Row],[order_date]])</f>
        <v>43791</v>
      </c>
      <c r="Q515" s="28">
        <f>DATEVALUE(OnePlusSalesData[[#This Row],[delivery_date]])</f>
        <v>43798</v>
      </c>
    </row>
    <row r="516" spans="1:17" ht="16" x14ac:dyDescent="0.45">
      <c r="A516" s="2" t="s">
        <v>1244</v>
      </c>
      <c r="B516" s="2" t="s">
        <v>25</v>
      </c>
      <c r="C516" s="3" t="s">
        <v>133</v>
      </c>
      <c r="D516" s="3" t="s">
        <v>18</v>
      </c>
      <c r="E516" s="3" t="s">
        <v>102</v>
      </c>
      <c r="F516" s="4">
        <v>1490</v>
      </c>
      <c r="G516" s="5">
        <v>1</v>
      </c>
      <c r="H516" s="6">
        <v>0.05</v>
      </c>
      <c r="I516" s="7">
        <v>74.5</v>
      </c>
      <c r="J516" s="7">
        <v>1415.5</v>
      </c>
      <c r="K516" s="7">
        <v>229.58</v>
      </c>
      <c r="L516" s="2" t="s">
        <v>386</v>
      </c>
      <c r="M516" s="18" t="s">
        <v>387</v>
      </c>
      <c r="N516" s="3" t="s">
        <v>22</v>
      </c>
      <c r="O516" s="3" t="s">
        <v>31</v>
      </c>
      <c r="P516">
        <f>DATEVALUE(OnePlusSalesData[[#This Row],[order_date]])</f>
        <v>44082</v>
      </c>
      <c r="Q516" s="28">
        <f>DATEVALUE(OnePlusSalesData[[#This Row],[delivery_date]])</f>
        <v>44084</v>
      </c>
    </row>
    <row r="517" spans="1:17" ht="16" x14ac:dyDescent="0.45">
      <c r="A517" s="8" t="s">
        <v>1245</v>
      </c>
      <c r="B517" s="8" t="s">
        <v>16</v>
      </c>
      <c r="C517" s="9" t="s">
        <v>39</v>
      </c>
      <c r="D517" s="9" t="s">
        <v>27</v>
      </c>
      <c r="E517" s="9" t="s">
        <v>159</v>
      </c>
      <c r="F517" s="10">
        <v>22999</v>
      </c>
      <c r="G517" s="11">
        <v>2</v>
      </c>
      <c r="H517" s="12">
        <v>0.08</v>
      </c>
      <c r="I517" s="13">
        <v>3679.84</v>
      </c>
      <c r="J517" s="13">
        <v>42318.16</v>
      </c>
      <c r="K517" s="13">
        <v>8651.73</v>
      </c>
      <c r="L517" s="8" t="s">
        <v>1001</v>
      </c>
      <c r="M517" s="19" t="s">
        <v>1246</v>
      </c>
      <c r="N517" s="9" t="s">
        <v>22</v>
      </c>
      <c r="O517" s="9" t="s">
        <v>23</v>
      </c>
      <c r="P517">
        <f>DATEVALUE(OnePlusSalesData[[#This Row],[order_date]])</f>
        <v>43212</v>
      </c>
      <c r="Q517" s="28">
        <f>DATEVALUE(OnePlusSalesData[[#This Row],[delivery_date]])</f>
        <v>43215</v>
      </c>
    </row>
    <row r="518" spans="1:17" ht="16" x14ac:dyDescent="0.45">
      <c r="A518" s="2" t="s">
        <v>1247</v>
      </c>
      <c r="B518" s="2" t="s">
        <v>16</v>
      </c>
      <c r="C518" s="3" t="s">
        <v>33</v>
      </c>
      <c r="D518" s="3" t="s">
        <v>18</v>
      </c>
      <c r="E518" s="3" t="s">
        <v>19</v>
      </c>
      <c r="F518" s="4">
        <v>1990</v>
      </c>
      <c r="G518" s="5">
        <v>2</v>
      </c>
      <c r="H518" s="6">
        <v>0</v>
      </c>
      <c r="I518" s="7">
        <v>0</v>
      </c>
      <c r="J518" s="7">
        <v>3980</v>
      </c>
      <c r="K518" s="7">
        <v>860.43</v>
      </c>
      <c r="L518" s="2" t="s">
        <v>197</v>
      </c>
      <c r="M518" s="18" t="s">
        <v>1248</v>
      </c>
      <c r="N518" s="3" t="s">
        <v>22</v>
      </c>
      <c r="O518" s="3" t="s">
        <v>63</v>
      </c>
      <c r="P518">
        <f>DATEVALUE(OnePlusSalesData[[#This Row],[order_date]])</f>
        <v>43669</v>
      </c>
      <c r="Q518" s="28">
        <f>DATEVALUE(OnePlusSalesData[[#This Row],[delivery_date]])</f>
        <v>43674</v>
      </c>
    </row>
    <row r="519" spans="1:17" ht="16" x14ac:dyDescent="0.45">
      <c r="A519" s="8" t="s">
        <v>1249</v>
      </c>
      <c r="B519" s="8" t="s">
        <v>25</v>
      </c>
      <c r="C519" s="9" t="s">
        <v>65</v>
      </c>
      <c r="D519" s="9" t="s">
        <v>40</v>
      </c>
      <c r="E519" s="9" t="s">
        <v>54</v>
      </c>
      <c r="F519" s="10">
        <v>53999</v>
      </c>
      <c r="G519" s="11">
        <v>1</v>
      </c>
      <c r="H519" s="12">
        <v>0.12</v>
      </c>
      <c r="I519" s="13">
        <v>6479.88</v>
      </c>
      <c r="J519" s="13">
        <v>47519.12</v>
      </c>
      <c r="K519" s="13">
        <v>8060.92</v>
      </c>
      <c r="L519" s="8" t="s">
        <v>1250</v>
      </c>
      <c r="M519" s="19" t="s">
        <v>1057</v>
      </c>
      <c r="N519" s="9" t="s">
        <v>50</v>
      </c>
      <c r="O519" s="9" t="s">
        <v>23</v>
      </c>
      <c r="P519">
        <f>DATEVALUE(OnePlusSalesData[[#This Row],[order_date]])</f>
        <v>43592</v>
      </c>
      <c r="Q519" s="28">
        <f>DATEVALUE(OnePlusSalesData[[#This Row],[delivery_date]])</f>
        <v>43596</v>
      </c>
    </row>
    <row r="520" spans="1:17" ht="16" x14ac:dyDescent="0.45">
      <c r="A520" s="2" t="s">
        <v>1251</v>
      </c>
      <c r="B520" s="2" t="s">
        <v>16</v>
      </c>
      <c r="C520" s="3" t="s">
        <v>33</v>
      </c>
      <c r="D520" s="3" t="s">
        <v>40</v>
      </c>
      <c r="E520" s="3" t="s">
        <v>406</v>
      </c>
      <c r="F520" s="4">
        <v>48999</v>
      </c>
      <c r="G520" s="5">
        <v>4</v>
      </c>
      <c r="H520" s="6">
        <v>0.12</v>
      </c>
      <c r="I520" s="7">
        <v>23519.52</v>
      </c>
      <c r="J520" s="7">
        <v>172476.48</v>
      </c>
      <c r="K520" s="7">
        <v>41110.629999999997</v>
      </c>
      <c r="L520" s="2" t="s">
        <v>1252</v>
      </c>
      <c r="M520" s="18" t="s">
        <v>1253</v>
      </c>
      <c r="N520" s="3" t="s">
        <v>22</v>
      </c>
      <c r="O520" s="3" t="s">
        <v>31</v>
      </c>
      <c r="P520">
        <f>DATEVALUE(OnePlusSalesData[[#This Row],[order_date]])</f>
        <v>43635</v>
      </c>
      <c r="Q520" s="28">
        <f>DATEVALUE(OnePlusSalesData[[#This Row],[delivery_date]])</f>
        <v>43640</v>
      </c>
    </row>
    <row r="521" spans="1:17" ht="16" x14ac:dyDescent="0.45">
      <c r="A521" s="8" t="s">
        <v>1254</v>
      </c>
      <c r="B521" s="8" t="s">
        <v>58</v>
      </c>
      <c r="C521" s="9" t="s">
        <v>81</v>
      </c>
      <c r="D521" s="9" t="s">
        <v>40</v>
      </c>
      <c r="E521" s="9" t="s">
        <v>406</v>
      </c>
      <c r="F521" s="10">
        <v>48999</v>
      </c>
      <c r="G521" s="11">
        <v>2</v>
      </c>
      <c r="H521" s="12">
        <v>0.05</v>
      </c>
      <c r="I521" s="13">
        <v>4899.8999999999996</v>
      </c>
      <c r="J521" s="13">
        <v>93098.1</v>
      </c>
      <c r="K521" s="13">
        <v>19649.900000000001</v>
      </c>
      <c r="L521" s="8" t="s">
        <v>450</v>
      </c>
      <c r="M521" s="19" t="s">
        <v>827</v>
      </c>
      <c r="N521" s="9" t="s">
        <v>22</v>
      </c>
      <c r="O521" s="9" t="s">
        <v>31</v>
      </c>
      <c r="P521">
        <f>DATEVALUE(OnePlusSalesData[[#This Row],[order_date]])</f>
        <v>43102</v>
      </c>
      <c r="Q521" s="28">
        <f>DATEVALUE(OnePlusSalesData[[#This Row],[delivery_date]])</f>
        <v>43105</v>
      </c>
    </row>
    <row r="522" spans="1:17" ht="16" x14ac:dyDescent="0.45">
      <c r="A522" s="2" t="s">
        <v>1255</v>
      </c>
      <c r="B522" s="2" t="s">
        <v>52</v>
      </c>
      <c r="C522" s="3" t="s">
        <v>192</v>
      </c>
      <c r="D522" s="3" t="s">
        <v>27</v>
      </c>
      <c r="E522" s="3" t="s">
        <v>159</v>
      </c>
      <c r="F522" s="4">
        <v>22999</v>
      </c>
      <c r="G522" s="5">
        <v>2</v>
      </c>
      <c r="H522" s="6">
        <v>0</v>
      </c>
      <c r="I522" s="7">
        <v>0</v>
      </c>
      <c r="J522" s="7">
        <v>45998</v>
      </c>
      <c r="K522" s="7">
        <v>8655.89</v>
      </c>
      <c r="L522" s="2" t="s">
        <v>629</v>
      </c>
      <c r="M522" s="18" t="s">
        <v>1256</v>
      </c>
      <c r="N522" s="3" t="s">
        <v>22</v>
      </c>
      <c r="O522" s="3" t="s">
        <v>23</v>
      </c>
      <c r="P522">
        <f>DATEVALUE(OnePlusSalesData[[#This Row],[order_date]])</f>
        <v>43311</v>
      </c>
      <c r="Q522" s="28">
        <f>DATEVALUE(OnePlusSalesData[[#This Row],[delivery_date]])</f>
        <v>43314</v>
      </c>
    </row>
    <row r="523" spans="1:17" ht="16" x14ac:dyDescent="0.45">
      <c r="A523" s="8" t="s">
        <v>1257</v>
      </c>
      <c r="B523" s="8" t="s">
        <v>58</v>
      </c>
      <c r="C523" s="9" t="s">
        <v>81</v>
      </c>
      <c r="D523" s="9" t="s">
        <v>40</v>
      </c>
      <c r="E523" s="9" t="s">
        <v>148</v>
      </c>
      <c r="F523" s="10">
        <v>41999</v>
      </c>
      <c r="G523" s="11">
        <v>1</v>
      </c>
      <c r="H523" s="12">
        <v>0.12</v>
      </c>
      <c r="I523" s="13">
        <v>5039.88</v>
      </c>
      <c r="J523" s="13">
        <v>36959.120000000003</v>
      </c>
      <c r="K523" s="13">
        <v>8432.7800000000007</v>
      </c>
      <c r="L523" s="8" t="s">
        <v>1258</v>
      </c>
      <c r="M523" s="19" t="s">
        <v>585</v>
      </c>
      <c r="N523" s="9" t="s">
        <v>50</v>
      </c>
      <c r="O523" s="9" t="s">
        <v>23</v>
      </c>
      <c r="P523">
        <f>DATEVALUE(OnePlusSalesData[[#This Row],[order_date]])</f>
        <v>43648</v>
      </c>
      <c r="Q523" s="28">
        <f>DATEVALUE(OnePlusSalesData[[#This Row],[delivery_date]])</f>
        <v>43654</v>
      </c>
    </row>
    <row r="524" spans="1:17" ht="16" x14ac:dyDescent="0.45">
      <c r="A524" s="2" t="s">
        <v>1259</v>
      </c>
      <c r="B524" s="2" t="s">
        <v>52</v>
      </c>
      <c r="C524" s="3" t="s">
        <v>53</v>
      </c>
      <c r="D524" s="3" t="s">
        <v>40</v>
      </c>
      <c r="E524" s="3" t="s">
        <v>98</v>
      </c>
      <c r="F524" s="4">
        <v>34999</v>
      </c>
      <c r="G524" s="5">
        <v>1</v>
      </c>
      <c r="H524" s="6">
        <v>0.08</v>
      </c>
      <c r="I524" s="7">
        <v>2799.92</v>
      </c>
      <c r="J524" s="7">
        <v>32199.08</v>
      </c>
      <c r="K524" s="7">
        <v>6353.81</v>
      </c>
      <c r="L524" s="2" t="s">
        <v>1010</v>
      </c>
      <c r="M524" s="18" t="s">
        <v>1260</v>
      </c>
      <c r="N524" s="3" t="s">
        <v>22</v>
      </c>
      <c r="O524" s="3" t="s">
        <v>23</v>
      </c>
      <c r="P524">
        <f>DATEVALUE(OnePlusSalesData[[#This Row],[order_date]])</f>
        <v>43179</v>
      </c>
      <c r="Q524" s="28">
        <f>DATEVALUE(OnePlusSalesData[[#This Row],[delivery_date]])</f>
        <v>43183</v>
      </c>
    </row>
    <row r="525" spans="1:17" ht="16" x14ac:dyDescent="0.45">
      <c r="A525" s="8" t="s">
        <v>1261</v>
      </c>
      <c r="B525" s="8" t="s">
        <v>58</v>
      </c>
      <c r="C525" s="9" t="s">
        <v>221</v>
      </c>
      <c r="D525" s="9" t="s">
        <v>18</v>
      </c>
      <c r="E525" s="9" t="s">
        <v>179</v>
      </c>
      <c r="F525" s="10">
        <v>1290</v>
      </c>
      <c r="G525" s="11">
        <v>4</v>
      </c>
      <c r="H525" s="12">
        <v>0.1</v>
      </c>
      <c r="I525" s="13">
        <v>516</v>
      </c>
      <c r="J525" s="13">
        <v>4644</v>
      </c>
      <c r="K525" s="13">
        <v>963.28</v>
      </c>
      <c r="L525" s="8" t="s">
        <v>134</v>
      </c>
      <c r="M525" s="19" t="s">
        <v>861</v>
      </c>
      <c r="N525" s="9" t="s">
        <v>22</v>
      </c>
      <c r="O525" s="9" t="s">
        <v>63</v>
      </c>
      <c r="P525">
        <f>DATEVALUE(OnePlusSalesData[[#This Row],[order_date]])</f>
        <v>43618</v>
      </c>
      <c r="Q525" s="28">
        <f>DATEVALUE(OnePlusSalesData[[#This Row],[delivery_date]])</f>
        <v>43621</v>
      </c>
    </row>
    <row r="526" spans="1:17" ht="16" x14ac:dyDescent="0.45">
      <c r="A526" s="2" t="s">
        <v>1262</v>
      </c>
      <c r="B526" s="2" t="s">
        <v>52</v>
      </c>
      <c r="C526" s="3" t="s">
        <v>106</v>
      </c>
      <c r="D526" s="3" t="s">
        <v>18</v>
      </c>
      <c r="E526" s="3" t="s">
        <v>102</v>
      </c>
      <c r="F526" s="4">
        <v>1490</v>
      </c>
      <c r="G526" s="5">
        <v>1</v>
      </c>
      <c r="H526" s="6">
        <v>0.12</v>
      </c>
      <c r="I526" s="7">
        <v>178.8</v>
      </c>
      <c r="J526" s="7">
        <v>1311.2</v>
      </c>
      <c r="K526" s="7">
        <v>287.06</v>
      </c>
      <c r="L526" s="2" t="s">
        <v>401</v>
      </c>
      <c r="M526" s="18" t="s">
        <v>1127</v>
      </c>
      <c r="N526" s="3" t="s">
        <v>22</v>
      </c>
      <c r="O526" s="3" t="s">
        <v>63</v>
      </c>
      <c r="P526">
        <f>DATEVALUE(OnePlusSalesData[[#This Row],[order_date]])</f>
        <v>43156</v>
      </c>
      <c r="Q526" s="28">
        <f>DATEVALUE(OnePlusSalesData[[#This Row],[delivery_date]])</f>
        <v>43158</v>
      </c>
    </row>
    <row r="527" spans="1:17" ht="16" x14ac:dyDescent="0.45">
      <c r="A527" s="8" t="s">
        <v>1263</v>
      </c>
      <c r="B527" s="8" t="s">
        <v>52</v>
      </c>
      <c r="C527" s="9" t="s">
        <v>69</v>
      </c>
      <c r="D527" s="9" t="s">
        <v>18</v>
      </c>
      <c r="E527" s="9" t="s">
        <v>179</v>
      </c>
      <c r="F527" s="10">
        <v>1290</v>
      </c>
      <c r="G527" s="11">
        <v>1</v>
      </c>
      <c r="H527" s="12">
        <v>0.05</v>
      </c>
      <c r="I527" s="13">
        <v>64.5</v>
      </c>
      <c r="J527" s="13">
        <v>1225.5</v>
      </c>
      <c r="K527" s="13">
        <v>247.64</v>
      </c>
      <c r="L527" s="8" t="s">
        <v>1264</v>
      </c>
      <c r="M527" s="19" t="s">
        <v>1265</v>
      </c>
      <c r="N527" s="9" t="s">
        <v>92</v>
      </c>
      <c r="O527" s="9" t="s">
        <v>23</v>
      </c>
      <c r="P527">
        <f>DATEVALUE(OnePlusSalesData[[#This Row],[order_date]])</f>
        <v>43113</v>
      </c>
      <c r="Q527" s="28">
        <f>DATEVALUE(OnePlusSalesData[[#This Row],[delivery_date]])</f>
        <v>43115</v>
      </c>
    </row>
    <row r="528" spans="1:17" ht="16" x14ac:dyDescent="0.45">
      <c r="A528" s="2" t="s">
        <v>1266</v>
      </c>
      <c r="B528" s="2" t="s">
        <v>52</v>
      </c>
      <c r="C528" s="3" t="s">
        <v>192</v>
      </c>
      <c r="D528" s="3" t="s">
        <v>85</v>
      </c>
      <c r="E528" s="3" t="s">
        <v>228</v>
      </c>
      <c r="F528" s="4">
        <v>5990</v>
      </c>
      <c r="G528" s="5">
        <v>1</v>
      </c>
      <c r="H528" s="6">
        <v>0.08</v>
      </c>
      <c r="I528" s="7">
        <v>479.2</v>
      </c>
      <c r="J528" s="7">
        <v>5510.8</v>
      </c>
      <c r="K528" s="7">
        <v>930.75</v>
      </c>
      <c r="L528" s="2" t="s">
        <v>359</v>
      </c>
      <c r="M528" s="18" t="s">
        <v>259</v>
      </c>
      <c r="N528" s="3" t="s">
        <v>22</v>
      </c>
      <c r="O528" s="3" t="s">
        <v>23</v>
      </c>
      <c r="P528">
        <f>DATEVALUE(OnePlusSalesData[[#This Row],[order_date]])</f>
        <v>43141</v>
      </c>
      <c r="Q528" s="28">
        <f>DATEVALUE(OnePlusSalesData[[#This Row],[delivery_date]])</f>
        <v>43147</v>
      </c>
    </row>
    <row r="529" spans="1:17" ht="16" x14ac:dyDescent="0.45">
      <c r="A529" s="8" t="s">
        <v>1267</v>
      </c>
      <c r="B529" s="8" t="s">
        <v>16</v>
      </c>
      <c r="C529" s="9" t="s">
        <v>17</v>
      </c>
      <c r="D529" s="9" t="s">
        <v>40</v>
      </c>
      <c r="E529" s="9" t="s">
        <v>47</v>
      </c>
      <c r="F529" s="10">
        <v>37999</v>
      </c>
      <c r="G529" s="11">
        <v>1</v>
      </c>
      <c r="H529" s="12">
        <v>0</v>
      </c>
      <c r="I529" s="13">
        <v>0</v>
      </c>
      <c r="J529" s="13">
        <v>37999</v>
      </c>
      <c r="K529" s="13">
        <v>9023.9699999999993</v>
      </c>
      <c r="L529" s="8" t="s">
        <v>1268</v>
      </c>
      <c r="M529" s="19" t="s">
        <v>254</v>
      </c>
      <c r="N529" s="9" t="s">
        <v>22</v>
      </c>
      <c r="O529" s="9" t="s">
        <v>63</v>
      </c>
      <c r="P529">
        <f>DATEVALUE(OnePlusSalesData[[#This Row],[order_date]])</f>
        <v>43936</v>
      </c>
      <c r="Q529" s="28">
        <f>DATEVALUE(OnePlusSalesData[[#This Row],[delivery_date]])</f>
        <v>43938</v>
      </c>
    </row>
    <row r="530" spans="1:17" ht="16" x14ac:dyDescent="0.45">
      <c r="A530" s="2" t="s">
        <v>1269</v>
      </c>
      <c r="B530" s="2" t="s">
        <v>16</v>
      </c>
      <c r="C530" s="3" t="s">
        <v>140</v>
      </c>
      <c r="D530" s="3" t="s">
        <v>85</v>
      </c>
      <c r="E530" s="3" t="s">
        <v>228</v>
      </c>
      <c r="F530" s="4">
        <v>5990</v>
      </c>
      <c r="G530" s="5">
        <v>1</v>
      </c>
      <c r="H530" s="6">
        <v>0.05</v>
      </c>
      <c r="I530" s="7">
        <v>299.5</v>
      </c>
      <c r="J530" s="7">
        <v>5690.5</v>
      </c>
      <c r="K530" s="7">
        <v>989.49</v>
      </c>
      <c r="L530" s="2" t="s">
        <v>1270</v>
      </c>
      <c r="M530" s="18" t="s">
        <v>1271</v>
      </c>
      <c r="N530" s="3" t="s">
        <v>50</v>
      </c>
      <c r="O530" s="3" t="s">
        <v>63</v>
      </c>
      <c r="P530">
        <f>DATEVALUE(OnePlusSalesData[[#This Row],[order_date]])</f>
        <v>43686</v>
      </c>
      <c r="Q530" s="28">
        <f>DATEVALUE(OnePlusSalesData[[#This Row],[delivery_date]])</f>
        <v>43692</v>
      </c>
    </row>
    <row r="531" spans="1:17" ht="16" x14ac:dyDescent="0.45">
      <c r="A531" s="8" t="s">
        <v>1272</v>
      </c>
      <c r="B531" s="8" t="s">
        <v>16</v>
      </c>
      <c r="C531" s="9" t="s">
        <v>17</v>
      </c>
      <c r="D531" s="9" t="s">
        <v>18</v>
      </c>
      <c r="E531" s="9" t="s">
        <v>179</v>
      </c>
      <c r="F531" s="10">
        <v>1290</v>
      </c>
      <c r="G531" s="11">
        <v>1</v>
      </c>
      <c r="H531" s="12">
        <v>0.1</v>
      </c>
      <c r="I531" s="13">
        <v>129</v>
      </c>
      <c r="J531" s="13">
        <v>1161</v>
      </c>
      <c r="K531" s="13">
        <v>178.55</v>
      </c>
      <c r="L531" s="8" t="s">
        <v>1273</v>
      </c>
      <c r="M531" s="19" t="s">
        <v>364</v>
      </c>
      <c r="N531" s="9" t="s">
        <v>22</v>
      </c>
      <c r="O531" s="9" t="s">
        <v>63</v>
      </c>
      <c r="P531">
        <f>DATEVALUE(OnePlusSalesData[[#This Row],[order_date]])</f>
        <v>43232</v>
      </c>
      <c r="Q531" s="28">
        <f>DATEVALUE(OnePlusSalesData[[#This Row],[delivery_date]])</f>
        <v>43235</v>
      </c>
    </row>
    <row r="532" spans="1:17" ht="16" x14ac:dyDescent="0.45">
      <c r="A532" s="2" t="s">
        <v>1274</v>
      </c>
      <c r="B532" s="2" t="s">
        <v>16</v>
      </c>
      <c r="C532" s="3" t="s">
        <v>152</v>
      </c>
      <c r="D532" s="3" t="s">
        <v>34</v>
      </c>
      <c r="E532" s="3" t="s">
        <v>77</v>
      </c>
      <c r="F532" s="4">
        <v>24999</v>
      </c>
      <c r="G532" s="5">
        <v>1</v>
      </c>
      <c r="H532" s="6">
        <v>0.05</v>
      </c>
      <c r="I532" s="7">
        <v>1249.95</v>
      </c>
      <c r="J532" s="7">
        <v>23749.05</v>
      </c>
      <c r="K532" s="7">
        <v>3942.09</v>
      </c>
      <c r="L532" s="2" t="s">
        <v>1203</v>
      </c>
      <c r="M532" s="18" t="s">
        <v>932</v>
      </c>
      <c r="N532" s="3" t="s">
        <v>22</v>
      </c>
      <c r="O532" s="3" t="s">
        <v>31</v>
      </c>
      <c r="P532">
        <f>DATEVALUE(OnePlusSalesData[[#This Row],[order_date]])</f>
        <v>43347</v>
      </c>
      <c r="Q532" s="28">
        <f>DATEVALUE(OnePlusSalesData[[#This Row],[delivery_date]])</f>
        <v>43351</v>
      </c>
    </row>
    <row r="533" spans="1:17" ht="16" x14ac:dyDescent="0.45">
      <c r="A533" s="8" t="s">
        <v>1275</v>
      </c>
      <c r="B533" s="8" t="s">
        <v>52</v>
      </c>
      <c r="C533" s="9" t="s">
        <v>106</v>
      </c>
      <c r="D533" s="9" t="s">
        <v>18</v>
      </c>
      <c r="E533" s="9" t="s">
        <v>102</v>
      </c>
      <c r="F533" s="10">
        <v>1490</v>
      </c>
      <c r="G533" s="11">
        <v>1</v>
      </c>
      <c r="H533" s="12">
        <v>0.05</v>
      </c>
      <c r="I533" s="13">
        <v>74.5</v>
      </c>
      <c r="J533" s="13">
        <v>1415.5</v>
      </c>
      <c r="K533" s="13">
        <v>257.89999999999998</v>
      </c>
      <c r="L533" s="8" t="s">
        <v>949</v>
      </c>
      <c r="M533" s="19" t="s">
        <v>1276</v>
      </c>
      <c r="N533" s="9" t="s">
        <v>22</v>
      </c>
      <c r="O533" s="9" t="s">
        <v>63</v>
      </c>
      <c r="P533">
        <f>DATEVALUE(OnePlusSalesData[[#This Row],[order_date]])</f>
        <v>43910</v>
      </c>
      <c r="Q533" s="28">
        <f>DATEVALUE(OnePlusSalesData[[#This Row],[delivery_date]])</f>
        <v>43914</v>
      </c>
    </row>
    <row r="534" spans="1:17" ht="16" x14ac:dyDescent="0.45">
      <c r="A534" s="2" t="s">
        <v>1277</v>
      </c>
      <c r="B534" s="2" t="s">
        <v>52</v>
      </c>
      <c r="C534" s="3" t="s">
        <v>69</v>
      </c>
      <c r="D534" s="3" t="s">
        <v>85</v>
      </c>
      <c r="E534" s="3" t="s">
        <v>228</v>
      </c>
      <c r="F534" s="4">
        <v>5990</v>
      </c>
      <c r="G534" s="5">
        <v>2</v>
      </c>
      <c r="H534" s="6">
        <v>0.1</v>
      </c>
      <c r="I534" s="7">
        <v>1198</v>
      </c>
      <c r="J534" s="7">
        <v>10782</v>
      </c>
      <c r="K534" s="7">
        <v>2784.91</v>
      </c>
      <c r="L534" s="2" t="s">
        <v>810</v>
      </c>
      <c r="M534" s="18" t="s">
        <v>509</v>
      </c>
      <c r="N534" s="3" t="s">
        <v>22</v>
      </c>
      <c r="O534" s="3" t="s">
        <v>23</v>
      </c>
      <c r="P534">
        <f>DATEVALUE(OnePlusSalesData[[#This Row],[order_date]])</f>
        <v>43968</v>
      </c>
      <c r="Q534" s="28">
        <f>DATEVALUE(OnePlusSalesData[[#This Row],[delivery_date]])</f>
        <v>43974</v>
      </c>
    </row>
    <row r="535" spans="1:17" ht="16" x14ac:dyDescent="0.45">
      <c r="A535" s="8" t="s">
        <v>1278</v>
      </c>
      <c r="B535" s="8" t="s">
        <v>16</v>
      </c>
      <c r="C535" s="9" t="s">
        <v>17</v>
      </c>
      <c r="D535" s="9" t="s">
        <v>40</v>
      </c>
      <c r="E535" s="9" t="s">
        <v>98</v>
      </c>
      <c r="F535" s="10">
        <v>34999</v>
      </c>
      <c r="G535" s="11">
        <v>1</v>
      </c>
      <c r="H535" s="12">
        <v>0.05</v>
      </c>
      <c r="I535" s="13">
        <v>1749.95</v>
      </c>
      <c r="J535" s="13">
        <v>33249.050000000003</v>
      </c>
      <c r="K535" s="13">
        <v>7343.08</v>
      </c>
      <c r="L535" s="8" t="s">
        <v>1279</v>
      </c>
      <c r="M535" s="19" t="s">
        <v>908</v>
      </c>
      <c r="N535" s="9" t="s">
        <v>22</v>
      </c>
      <c r="O535" s="9" t="s">
        <v>63</v>
      </c>
      <c r="P535">
        <f>DATEVALUE(OnePlusSalesData[[#This Row],[order_date]])</f>
        <v>43542</v>
      </c>
      <c r="Q535" s="28">
        <f>DATEVALUE(OnePlusSalesData[[#This Row],[delivery_date]])</f>
        <v>43548</v>
      </c>
    </row>
    <row r="536" spans="1:17" ht="16" x14ac:dyDescent="0.45">
      <c r="A536" s="2" t="s">
        <v>1280</v>
      </c>
      <c r="B536" s="2" t="s">
        <v>16</v>
      </c>
      <c r="C536" s="3" t="s">
        <v>33</v>
      </c>
      <c r="D536" s="3" t="s">
        <v>85</v>
      </c>
      <c r="E536" s="3" t="s">
        <v>258</v>
      </c>
      <c r="F536" s="4">
        <v>2999</v>
      </c>
      <c r="G536" s="5">
        <v>1</v>
      </c>
      <c r="H536" s="6">
        <v>0</v>
      </c>
      <c r="I536" s="7">
        <v>0</v>
      </c>
      <c r="J536" s="7">
        <v>2999</v>
      </c>
      <c r="K536" s="7">
        <v>524.91</v>
      </c>
      <c r="L536" s="2" t="s">
        <v>802</v>
      </c>
      <c r="M536" s="18" t="s">
        <v>1253</v>
      </c>
      <c r="N536" s="3" t="s">
        <v>22</v>
      </c>
      <c r="O536" s="3" t="s">
        <v>23</v>
      </c>
      <c r="P536">
        <f>DATEVALUE(OnePlusSalesData[[#This Row],[order_date]])</f>
        <v>43638</v>
      </c>
      <c r="Q536" s="28">
        <f>DATEVALUE(OnePlusSalesData[[#This Row],[delivery_date]])</f>
        <v>43640</v>
      </c>
    </row>
    <row r="537" spans="1:17" ht="16" x14ac:dyDescent="0.45">
      <c r="A537" s="8" t="s">
        <v>1281</v>
      </c>
      <c r="B537" s="8" t="s">
        <v>58</v>
      </c>
      <c r="C537" s="9" t="s">
        <v>81</v>
      </c>
      <c r="D537" s="9" t="s">
        <v>85</v>
      </c>
      <c r="E537" s="9" t="s">
        <v>228</v>
      </c>
      <c r="F537" s="10">
        <v>5990</v>
      </c>
      <c r="G537" s="11">
        <v>2</v>
      </c>
      <c r="H537" s="12">
        <v>0.1</v>
      </c>
      <c r="I537" s="13">
        <v>1198</v>
      </c>
      <c r="J537" s="13">
        <v>10782</v>
      </c>
      <c r="K537" s="13">
        <v>1897.2</v>
      </c>
      <c r="L537" s="8" t="s">
        <v>99</v>
      </c>
      <c r="M537" s="19" t="s">
        <v>187</v>
      </c>
      <c r="N537" s="9" t="s">
        <v>22</v>
      </c>
      <c r="O537" s="9" t="s">
        <v>63</v>
      </c>
      <c r="P537">
        <f>DATEVALUE(OnePlusSalesData[[#This Row],[order_date]])</f>
        <v>43830</v>
      </c>
      <c r="Q537" s="28">
        <f>DATEVALUE(OnePlusSalesData[[#This Row],[delivery_date]])</f>
        <v>43835</v>
      </c>
    </row>
    <row r="538" spans="1:17" ht="16" x14ac:dyDescent="0.45">
      <c r="A538" s="2" t="s">
        <v>1282</v>
      </c>
      <c r="B538" s="2" t="s">
        <v>52</v>
      </c>
      <c r="C538" s="3" t="s">
        <v>106</v>
      </c>
      <c r="D538" s="3" t="s">
        <v>27</v>
      </c>
      <c r="E538" s="3" t="s">
        <v>28</v>
      </c>
      <c r="F538" s="4">
        <v>12999</v>
      </c>
      <c r="G538" s="5">
        <v>1</v>
      </c>
      <c r="H538" s="6">
        <v>0</v>
      </c>
      <c r="I538" s="7">
        <v>0</v>
      </c>
      <c r="J538" s="7">
        <v>12999</v>
      </c>
      <c r="K538" s="7">
        <v>1881.11</v>
      </c>
      <c r="L538" s="2" t="s">
        <v>214</v>
      </c>
      <c r="M538" s="18" t="s">
        <v>612</v>
      </c>
      <c r="N538" s="3" t="s">
        <v>92</v>
      </c>
      <c r="O538" s="3" t="s">
        <v>45</v>
      </c>
      <c r="P538">
        <f>DATEVALUE(OnePlusSalesData[[#This Row],[order_date]])</f>
        <v>43187</v>
      </c>
      <c r="Q538" s="28">
        <f>DATEVALUE(OnePlusSalesData[[#This Row],[delivery_date]])</f>
        <v>43193</v>
      </c>
    </row>
    <row r="539" spans="1:17" ht="16" x14ac:dyDescent="0.45">
      <c r="A539" s="8" t="s">
        <v>1283</v>
      </c>
      <c r="B539" s="8" t="s">
        <v>16</v>
      </c>
      <c r="C539" s="9" t="s">
        <v>152</v>
      </c>
      <c r="D539" s="9" t="s">
        <v>27</v>
      </c>
      <c r="E539" s="9" t="s">
        <v>159</v>
      </c>
      <c r="F539" s="10">
        <v>22999</v>
      </c>
      <c r="G539" s="11">
        <v>2</v>
      </c>
      <c r="H539" s="12">
        <v>0.08</v>
      </c>
      <c r="I539" s="13">
        <v>3679.84</v>
      </c>
      <c r="J539" s="13">
        <v>42318.16</v>
      </c>
      <c r="K539" s="13">
        <v>9637.9599999999991</v>
      </c>
      <c r="L539" s="8" t="s">
        <v>1284</v>
      </c>
      <c r="M539" s="19" t="s">
        <v>420</v>
      </c>
      <c r="N539" s="9" t="s">
        <v>22</v>
      </c>
      <c r="O539" s="9" t="s">
        <v>63</v>
      </c>
      <c r="P539">
        <f>DATEVALUE(OnePlusSalesData[[#This Row],[order_date]])</f>
        <v>43178</v>
      </c>
      <c r="Q539" s="28">
        <f>DATEVALUE(OnePlusSalesData[[#This Row],[delivery_date]])</f>
        <v>43182</v>
      </c>
    </row>
    <row r="540" spans="1:17" ht="16" x14ac:dyDescent="0.45">
      <c r="A540" s="2" t="s">
        <v>1285</v>
      </c>
      <c r="B540" s="2" t="s">
        <v>25</v>
      </c>
      <c r="C540" s="3" t="s">
        <v>120</v>
      </c>
      <c r="D540" s="3" t="s">
        <v>18</v>
      </c>
      <c r="E540" s="3" t="s">
        <v>179</v>
      </c>
      <c r="F540" s="4">
        <v>1290</v>
      </c>
      <c r="G540" s="5">
        <v>1</v>
      </c>
      <c r="H540" s="6">
        <v>0.1</v>
      </c>
      <c r="I540" s="7">
        <v>129</v>
      </c>
      <c r="J540" s="7">
        <v>1161</v>
      </c>
      <c r="K540" s="7">
        <v>245.76</v>
      </c>
      <c r="L540" s="2" t="s">
        <v>1286</v>
      </c>
      <c r="M540" s="18" t="s">
        <v>1287</v>
      </c>
      <c r="N540" s="3" t="s">
        <v>22</v>
      </c>
      <c r="O540" s="3" t="s">
        <v>146</v>
      </c>
      <c r="P540">
        <f>DATEVALUE(OnePlusSalesData[[#This Row],[order_date]])</f>
        <v>44175</v>
      </c>
      <c r="Q540" s="28">
        <f>DATEVALUE(OnePlusSalesData[[#This Row],[delivery_date]])</f>
        <v>44179</v>
      </c>
    </row>
    <row r="541" spans="1:17" ht="16" x14ac:dyDescent="0.45">
      <c r="A541" s="8" t="s">
        <v>1288</v>
      </c>
      <c r="B541" s="8" t="s">
        <v>25</v>
      </c>
      <c r="C541" s="9" t="s">
        <v>26</v>
      </c>
      <c r="D541" s="9" t="s">
        <v>40</v>
      </c>
      <c r="E541" s="9" t="s">
        <v>41</v>
      </c>
      <c r="F541" s="10">
        <v>37999</v>
      </c>
      <c r="G541" s="11">
        <v>1</v>
      </c>
      <c r="H541" s="12">
        <v>0.05</v>
      </c>
      <c r="I541" s="13">
        <v>1899.95</v>
      </c>
      <c r="J541" s="13">
        <v>36099.050000000003</v>
      </c>
      <c r="K541" s="13">
        <v>5770.79</v>
      </c>
      <c r="L541" s="8" t="s">
        <v>1252</v>
      </c>
      <c r="M541" s="19" t="s">
        <v>1289</v>
      </c>
      <c r="N541" s="9" t="s">
        <v>22</v>
      </c>
      <c r="O541" s="9" t="s">
        <v>63</v>
      </c>
      <c r="P541">
        <f>DATEVALUE(OnePlusSalesData[[#This Row],[order_date]])</f>
        <v>43635</v>
      </c>
      <c r="Q541" s="28">
        <f>DATEVALUE(OnePlusSalesData[[#This Row],[delivery_date]])</f>
        <v>43641</v>
      </c>
    </row>
    <row r="542" spans="1:17" ht="16" x14ac:dyDescent="0.45">
      <c r="A542" s="2" t="s">
        <v>1290</v>
      </c>
      <c r="B542" s="2" t="s">
        <v>25</v>
      </c>
      <c r="C542" s="3" t="s">
        <v>133</v>
      </c>
      <c r="D542" s="3" t="s">
        <v>27</v>
      </c>
      <c r="E542" s="3" t="s">
        <v>28</v>
      </c>
      <c r="F542" s="4">
        <v>12999</v>
      </c>
      <c r="G542" s="5">
        <v>2</v>
      </c>
      <c r="H542" s="6">
        <v>0.1</v>
      </c>
      <c r="I542" s="7">
        <v>2599.8000000000002</v>
      </c>
      <c r="J542" s="7">
        <v>23398.2</v>
      </c>
      <c r="K542" s="7">
        <v>5253.37</v>
      </c>
      <c r="L542" s="2" t="s">
        <v>1036</v>
      </c>
      <c r="M542" s="18" t="s">
        <v>303</v>
      </c>
      <c r="N542" s="3" t="s">
        <v>22</v>
      </c>
      <c r="O542" s="3" t="s">
        <v>96</v>
      </c>
      <c r="P542">
        <f>DATEVALUE(OnePlusSalesData[[#This Row],[order_date]])</f>
        <v>43572</v>
      </c>
      <c r="Q542" s="28">
        <f>DATEVALUE(OnePlusSalesData[[#This Row],[delivery_date]])</f>
        <v>43578</v>
      </c>
    </row>
    <row r="543" spans="1:17" ht="16" x14ac:dyDescent="0.45">
      <c r="A543" s="8" t="s">
        <v>1291</v>
      </c>
      <c r="B543" s="8" t="s">
        <v>52</v>
      </c>
      <c r="C543" s="9" t="s">
        <v>106</v>
      </c>
      <c r="D543" s="9" t="s">
        <v>40</v>
      </c>
      <c r="E543" s="9" t="s">
        <v>54</v>
      </c>
      <c r="F543" s="10">
        <v>53999</v>
      </c>
      <c r="G543" s="11">
        <v>1</v>
      </c>
      <c r="H543" s="12">
        <v>0.05</v>
      </c>
      <c r="I543" s="13">
        <v>2699.95</v>
      </c>
      <c r="J543" s="13">
        <v>51299.05</v>
      </c>
      <c r="K543" s="13">
        <v>7507.06</v>
      </c>
      <c r="L543" s="8" t="s">
        <v>1292</v>
      </c>
      <c r="M543" s="19" t="s">
        <v>1293</v>
      </c>
      <c r="N543" s="9" t="s">
        <v>22</v>
      </c>
      <c r="O543" s="9" t="s">
        <v>23</v>
      </c>
      <c r="P543">
        <f>DATEVALUE(OnePlusSalesData[[#This Row],[order_date]])</f>
        <v>43734</v>
      </c>
      <c r="Q543" s="28">
        <f>DATEVALUE(OnePlusSalesData[[#This Row],[delivery_date]])</f>
        <v>43736</v>
      </c>
    </row>
    <row r="544" spans="1:17" ht="16" x14ac:dyDescent="0.45">
      <c r="A544" s="2" t="s">
        <v>1294</v>
      </c>
      <c r="B544" s="2" t="s">
        <v>16</v>
      </c>
      <c r="C544" s="3" t="s">
        <v>152</v>
      </c>
      <c r="D544" s="3" t="s">
        <v>40</v>
      </c>
      <c r="E544" s="3" t="s">
        <v>148</v>
      </c>
      <c r="F544" s="4">
        <v>41999</v>
      </c>
      <c r="G544" s="5">
        <v>2</v>
      </c>
      <c r="H544" s="6">
        <v>0</v>
      </c>
      <c r="I544" s="7">
        <v>0</v>
      </c>
      <c r="J544" s="7">
        <v>83998</v>
      </c>
      <c r="K544" s="7">
        <v>15587.38</v>
      </c>
      <c r="L544" s="2" t="s">
        <v>1256</v>
      </c>
      <c r="M544" s="18" t="s">
        <v>414</v>
      </c>
      <c r="N544" s="3" t="s">
        <v>44</v>
      </c>
      <c r="O544" s="3" t="s">
        <v>63</v>
      </c>
      <c r="P544">
        <f>DATEVALUE(OnePlusSalesData[[#This Row],[order_date]])</f>
        <v>43314</v>
      </c>
      <c r="Q544" s="28">
        <f>DATEVALUE(OnePlusSalesData[[#This Row],[delivery_date]])</f>
        <v>43316</v>
      </c>
    </row>
    <row r="545" spans="1:17" ht="16" x14ac:dyDescent="0.45">
      <c r="A545" s="8" t="s">
        <v>1295</v>
      </c>
      <c r="B545" s="8" t="s">
        <v>58</v>
      </c>
      <c r="C545" s="9" t="s">
        <v>257</v>
      </c>
      <c r="D545" s="9" t="s">
        <v>34</v>
      </c>
      <c r="E545" s="9" t="s">
        <v>35</v>
      </c>
      <c r="F545" s="10">
        <v>19999</v>
      </c>
      <c r="G545" s="11">
        <v>1</v>
      </c>
      <c r="H545" s="12">
        <v>0</v>
      </c>
      <c r="I545" s="13">
        <v>0</v>
      </c>
      <c r="J545" s="13">
        <v>19999</v>
      </c>
      <c r="K545" s="13">
        <v>4399.83</v>
      </c>
      <c r="L545" s="8" t="s">
        <v>601</v>
      </c>
      <c r="M545" s="19" t="s">
        <v>459</v>
      </c>
      <c r="N545" s="9" t="s">
        <v>22</v>
      </c>
      <c r="O545" s="9" t="s">
        <v>31</v>
      </c>
      <c r="P545">
        <f>DATEVALUE(OnePlusSalesData[[#This Row],[order_date]])</f>
        <v>43995</v>
      </c>
      <c r="Q545" s="28">
        <f>DATEVALUE(OnePlusSalesData[[#This Row],[delivery_date]])</f>
        <v>44000</v>
      </c>
    </row>
    <row r="546" spans="1:17" ht="16" x14ac:dyDescent="0.45">
      <c r="A546" s="2" t="s">
        <v>1296</v>
      </c>
      <c r="B546" s="2" t="s">
        <v>16</v>
      </c>
      <c r="C546" s="3" t="s">
        <v>17</v>
      </c>
      <c r="D546" s="3" t="s">
        <v>40</v>
      </c>
      <c r="E546" s="3" t="s">
        <v>406</v>
      </c>
      <c r="F546" s="4">
        <v>48999</v>
      </c>
      <c r="G546" s="5">
        <v>1</v>
      </c>
      <c r="H546" s="6">
        <v>0.1</v>
      </c>
      <c r="I546" s="7">
        <v>4899.8999999999996</v>
      </c>
      <c r="J546" s="7">
        <v>44099.1</v>
      </c>
      <c r="K546" s="7">
        <v>7156.99</v>
      </c>
      <c r="L546" s="2" t="s">
        <v>128</v>
      </c>
      <c r="M546" s="18" t="s">
        <v>1116</v>
      </c>
      <c r="N546" s="3" t="s">
        <v>22</v>
      </c>
      <c r="O546" s="3" t="s">
        <v>63</v>
      </c>
      <c r="P546">
        <f>DATEVALUE(OnePlusSalesData[[#This Row],[order_date]])</f>
        <v>43577</v>
      </c>
      <c r="Q546" s="28">
        <f>DATEVALUE(OnePlusSalesData[[#This Row],[delivery_date]])</f>
        <v>43580</v>
      </c>
    </row>
    <row r="547" spans="1:17" ht="16" x14ac:dyDescent="0.45">
      <c r="A547" s="8" t="s">
        <v>1297</v>
      </c>
      <c r="B547" s="8" t="s">
        <v>16</v>
      </c>
      <c r="C547" s="9" t="s">
        <v>17</v>
      </c>
      <c r="D547" s="9" t="s">
        <v>27</v>
      </c>
      <c r="E547" s="9" t="s">
        <v>28</v>
      </c>
      <c r="F547" s="10">
        <v>12999</v>
      </c>
      <c r="G547" s="11">
        <v>1</v>
      </c>
      <c r="H547" s="12">
        <v>0</v>
      </c>
      <c r="I547" s="13">
        <v>0</v>
      </c>
      <c r="J547" s="13">
        <v>12999</v>
      </c>
      <c r="K547" s="13">
        <v>3213.46</v>
      </c>
      <c r="L547" s="8" t="s">
        <v>974</v>
      </c>
      <c r="M547" s="19" t="s">
        <v>142</v>
      </c>
      <c r="N547" s="9" t="s">
        <v>22</v>
      </c>
      <c r="O547" s="9" t="s">
        <v>63</v>
      </c>
      <c r="P547">
        <f>DATEVALUE(OnePlusSalesData[[#This Row],[order_date]])</f>
        <v>43955</v>
      </c>
      <c r="Q547" s="28">
        <f>DATEVALUE(OnePlusSalesData[[#This Row],[delivery_date]])</f>
        <v>43957</v>
      </c>
    </row>
    <row r="548" spans="1:17" ht="16" x14ac:dyDescent="0.45">
      <c r="A548" s="2" t="s">
        <v>1298</v>
      </c>
      <c r="B548" s="2" t="s">
        <v>25</v>
      </c>
      <c r="C548" s="3" t="s">
        <v>120</v>
      </c>
      <c r="D548" s="3" t="s">
        <v>85</v>
      </c>
      <c r="E548" s="3" t="s">
        <v>86</v>
      </c>
      <c r="F548" s="4">
        <v>1999</v>
      </c>
      <c r="G548" s="5">
        <v>3</v>
      </c>
      <c r="H548" s="6">
        <v>0</v>
      </c>
      <c r="I548" s="7">
        <v>0</v>
      </c>
      <c r="J548" s="7">
        <v>5997</v>
      </c>
      <c r="K548" s="7">
        <v>875.32</v>
      </c>
      <c r="L548" s="2" t="s">
        <v>1286</v>
      </c>
      <c r="M548" s="18" t="s">
        <v>1299</v>
      </c>
      <c r="N548" s="3" t="s">
        <v>22</v>
      </c>
      <c r="O548" s="3" t="s">
        <v>23</v>
      </c>
      <c r="P548">
        <f>DATEVALUE(OnePlusSalesData[[#This Row],[order_date]])</f>
        <v>44175</v>
      </c>
      <c r="Q548" s="28">
        <f>DATEVALUE(OnePlusSalesData[[#This Row],[delivery_date]])</f>
        <v>44178</v>
      </c>
    </row>
    <row r="549" spans="1:17" ht="16" x14ac:dyDescent="0.45">
      <c r="A549" s="8" t="s">
        <v>1300</v>
      </c>
      <c r="B549" s="8" t="s">
        <v>52</v>
      </c>
      <c r="C549" s="9" t="s">
        <v>358</v>
      </c>
      <c r="D549" s="9" t="s">
        <v>40</v>
      </c>
      <c r="E549" s="9" t="s">
        <v>54</v>
      </c>
      <c r="F549" s="10">
        <v>53999</v>
      </c>
      <c r="G549" s="11">
        <v>2</v>
      </c>
      <c r="H549" s="12">
        <v>0</v>
      </c>
      <c r="I549" s="13">
        <v>0</v>
      </c>
      <c r="J549" s="13">
        <v>107998</v>
      </c>
      <c r="K549" s="13">
        <v>21385.74</v>
      </c>
      <c r="L549" s="8" t="s">
        <v>1301</v>
      </c>
      <c r="M549" s="19" t="s">
        <v>1302</v>
      </c>
      <c r="N549" s="9" t="s">
        <v>22</v>
      </c>
      <c r="O549" s="9" t="s">
        <v>45</v>
      </c>
      <c r="P549">
        <f>DATEVALUE(OnePlusSalesData[[#This Row],[order_date]])</f>
        <v>44142</v>
      </c>
      <c r="Q549" s="28">
        <f>DATEVALUE(OnePlusSalesData[[#This Row],[delivery_date]])</f>
        <v>44147</v>
      </c>
    </row>
    <row r="550" spans="1:17" ht="16" x14ac:dyDescent="0.45">
      <c r="A550" s="2" t="s">
        <v>1303</v>
      </c>
      <c r="B550" s="2" t="s">
        <v>25</v>
      </c>
      <c r="C550" s="3" t="s">
        <v>26</v>
      </c>
      <c r="D550" s="3" t="s">
        <v>34</v>
      </c>
      <c r="E550" s="3" t="s">
        <v>35</v>
      </c>
      <c r="F550" s="4">
        <v>19999</v>
      </c>
      <c r="G550" s="5">
        <v>1</v>
      </c>
      <c r="H550" s="6">
        <v>0.1</v>
      </c>
      <c r="I550" s="7">
        <v>1999.9</v>
      </c>
      <c r="J550" s="7">
        <v>17999.099999999999</v>
      </c>
      <c r="K550" s="7">
        <v>2653.67</v>
      </c>
      <c r="L550" s="2" t="s">
        <v>936</v>
      </c>
      <c r="M550" s="18" t="s">
        <v>202</v>
      </c>
      <c r="N550" s="3" t="s">
        <v>92</v>
      </c>
      <c r="O550" s="3" t="s">
        <v>31</v>
      </c>
      <c r="P550">
        <f>DATEVALUE(OnePlusSalesData[[#This Row],[order_date]])</f>
        <v>43125</v>
      </c>
      <c r="Q550" s="28">
        <f>DATEVALUE(OnePlusSalesData[[#This Row],[delivery_date]])</f>
        <v>43129</v>
      </c>
    </row>
    <row r="551" spans="1:17" ht="16" x14ac:dyDescent="0.45">
      <c r="A551" s="8" t="s">
        <v>1304</v>
      </c>
      <c r="B551" s="8" t="s">
        <v>16</v>
      </c>
      <c r="C551" s="9" t="s">
        <v>17</v>
      </c>
      <c r="D551" s="9" t="s">
        <v>40</v>
      </c>
      <c r="E551" s="9" t="s">
        <v>148</v>
      </c>
      <c r="F551" s="10">
        <v>41999</v>
      </c>
      <c r="G551" s="11">
        <v>1</v>
      </c>
      <c r="H551" s="12">
        <v>0.1</v>
      </c>
      <c r="I551" s="13">
        <v>4199.8999999999996</v>
      </c>
      <c r="J551" s="13">
        <v>37799.1</v>
      </c>
      <c r="K551" s="13">
        <v>6482.13</v>
      </c>
      <c r="L551" s="8" t="s">
        <v>338</v>
      </c>
      <c r="M551" s="19" t="s">
        <v>1145</v>
      </c>
      <c r="N551" s="9" t="s">
        <v>22</v>
      </c>
      <c r="O551" s="9" t="s">
        <v>31</v>
      </c>
      <c r="P551">
        <f>DATEVALUE(OnePlusSalesData[[#This Row],[order_date]])</f>
        <v>44029</v>
      </c>
      <c r="Q551" s="28">
        <f>DATEVALUE(OnePlusSalesData[[#This Row],[delivery_date]])</f>
        <v>44035</v>
      </c>
    </row>
    <row r="552" spans="1:17" ht="16" x14ac:dyDescent="0.45">
      <c r="A552" s="2" t="s">
        <v>1305</v>
      </c>
      <c r="B552" s="2" t="s">
        <v>16</v>
      </c>
      <c r="C552" s="3" t="s">
        <v>140</v>
      </c>
      <c r="D552" s="3" t="s">
        <v>85</v>
      </c>
      <c r="E552" s="3" t="s">
        <v>258</v>
      </c>
      <c r="F552" s="4">
        <v>2999</v>
      </c>
      <c r="G552" s="5">
        <v>1</v>
      </c>
      <c r="H552" s="6">
        <v>0.08</v>
      </c>
      <c r="I552" s="7">
        <v>239.92</v>
      </c>
      <c r="J552" s="7">
        <v>2759.08</v>
      </c>
      <c r="K552" s="7">
        <v>679.22</v>
      </c>
      <c r="L552" s="2" t="s">
        <v>1306</v>
      </c>
      <c r="M552" s="18" t="s">
        <v>466</v>
      </c>
      <c r="N552" s="3" t="s">
        <v>22</v>
      </c>
      <c r="O552" s="3" t="s">
        <v>96</v>
      </c>
      <c r="P552">
        <f>DATEVALUE(OnePlusSalesData[[#This Row],[order_date]])</f>
        <v>43409</v>
      </c>
      <c r="Q552" s="28">
        <f>DATEVALUE(OnePlusSalesData[[#This Row],[delivery_date]])</f>
        <v>43412</v>
      </c>
    </row>
    <row r="553" spans="1:17" ht="16" x14ac:dyDescent="0.45">
      <c r="A553" s="8" t="s">
        <v>1307</v>
      </c>
      <c r="B553" s="8" t="s">
        <v>58</v>
      </c>
      <c r="C553" s="9" t="s">
        <v>113</v>
      </c>
      <c r="D553" s="9" t="s">
        <v>40</v>
      </c>
      <c r="E553" s="9" t="s">
        <v>406</v>
      </c>
      <c r="F553" s="10">
        <v>48999</v>
      </c>
      <c r="G553" s="11">
        <v>1</v>
      </c>
      <c r="H553" s="12">
        <v>0.05</v>
      </c>
      <c r="I553" s="13">
        <v>2449.9499999999998</v>
      </c>
      <c r="J553" s="13">
        <v>46549.05</v>
      </c>
      <c r="K553" s="13">
        <v>9405.94</v>
      </c>
      <c r="L553" s="8" t="s">
        <v>746</v>
      </c>
      <c r="M553" s="19" t="s">
        <v>1308</v>
      </c>
      <c r="N553" s="9" t="s">
        <v>92</v>
      </c>
      <c r="O553" s="9" t="s">
        <v>23</v>
      </c>
      <c r="P553">
        <f>DATEVALUE(OnePlusSalesData[[#This Row],[order_date]])</f>
        <v>44166</v>
      </c>
      <c r="Q553" s="28">
        <f>DATEVALUE(OnePlusSalesData[[#This Row],[delivery_date]])</f>
        <v>44170</v>
      </c>
    </row>
    <row r="554" spans="1:17" ht="16" x14ac:dyDescent="0.45">
      <c r="A554" s="2" t="s">
        <v>1309</v>
      </c>
      <c r="B554" s="2" t="s">
        <v>25</v>
      </c>
      <c r="C554" s="3" t="s">
        <v>26</v>
      </c>
      <c r="D554" s="3" t="s">
        <v>18</v>
      </c>
      <c r="E554" s="3" t="s">
        <v>124</v>
      </c>
      <c r="F554" s="4">
        <v>3990</v>
      </c>
      <c r="G554" s="5">
        <v>1</v>
      </c>
      <c r="H554" s="6">
        <v>0.12</v>
      </c>
      <c r="I554" s="7">
        <v>478.8</v>
      </c>
      <c r="J554" s="7">
        <v>3511.2</v>
      </c>
      <c r="K554" s="7">
        <v>515.26</v>
      </c>
      <c r="L554" s="2" t="s">
        <v>1310</v>
      </c>
      <c r="M554" s="18" t="s">
        <v>910</v>
      </c>
      <c r="N554" s="3" t="s">
        <v>22</v>
      </c>
      <c r="O554" s="3" t="s">
        <v>23</v>
      </c>
      <c r="P554">
        <f>DATEVALUE(OnePlusSalesData[[#This Row],[order_date]])</f>
        <v>43157</v>
      </c>
      <c r="Q554" s="28">
        <f>DATEVALUE(OnePlusSalesData[[#This Row],[delivery_date]])</f>
        <v>43163</v>
      </c>
    </row>
    <row r="555" spans="1:17" ht="16" x14ac:dyDescent="0.45">
      <c r="A555" s="8" t="s">
        <v>1311</v>
      </c>
      <c r="B555" s="8" t="s">
        <v>16</v>
      </c>
      <c r="C555" s="9" t="s">
        <v>39</v>
      </c>
      <c r="D555" s="9" t="s">
        <v>40</v>
      </c>
      <c r="E555" s="9" t="s">
        <v>60</v>
      </c>
      <c r="F555" s="10">
        <v>54999</v>
      </c>
      <c r="G555" s="11">
        <v>1</v>
      </c>
      <c r="H555" s="12">
        <v>0.05</v>
      </c>
      <c r="I555" s="13">
        <v>2749.95</v>
      </c>
      <c r="J555" s="13">
        <v>52249.05</v>
      </c>
      <c r="K555" s="13">
        <v>7939.22</v>
      </c>
      <c r="L555" s="8" t="s">
        <v>1312</v>
      </c>
      <c r="M555" s="19" t="s">
        <v>1092</v>
      </c>
      <c r="N555" s="9" t="s">
        <v>44</v>
      </c>
      <c r="O555" s="9" t="s">
        <v>31</v>
      </c>
      <c r="P555">
        <f>DATEVALUE(OnePlusSalesData[[#This Row],[order_date]])</f>
        <v>44071</v>
      </c>
      <c r="Q555" s="28">
        <f>DATEVALUE(OnePlusSalesData[[#This Row],[delivery_date]])</f>
        <v>44076</v>
      </c>
    </row>
    <row r="556" spans="1:17" ht="16" x14ac:dyDescent="0.45">
      <c r="A556" s="2" t="s">
        <v>1313</v>
      </c>
      <c r="B556" s="2" t="s">
        <v>52</v>
      </c>
      <c r="C556" s="3" t="s">
        <v>53</v>
      </c>
      <c r="D556" s="3" t="s">
        <v>40</v>
      </c>
      <c r="E556" s="3" t="s">
        <v>41</v>
      </c>
      <c r="F556" s="4">
        <v>37999</v>
      </c>
      <c r="G556" s="5">
        <v>1</v>
      </c>
      <c r="H556" s="6">
        <v>0.1</v>
      </c>
      <c r="I556" s="7">
        <v>3799.9</v>
      </c>
      <c r="J556" s="7">
        <v>34199.1</v>
      </c>
      <c r="K556" s="7">
        <v>6207.24</v>
      </c>
      <c r="L556" s="2" t="s">
        <v>698</v>
      </c>
      <c r="M556" s="18" t="s">
        <v>682</v>
      </c>
      <c r="N556" s="3" t="s">
        <v>92</v>
      </c>
      <c r="O556" s="3" t="s">
        <v>31</v>
      </c>
      <c r="P556">
        <f>DATEVALUE(OnePlusSalesData[[#This Row],[order_date]])</f>
        <v>44036</v>
      </c>
      <c r="Q556" s="28">
        <f>DATEVALUE(OnePlusSalesData[[#This Row],[delivery_date]])</f>
        <v>44043</v>
      </c>
    </row>
    <row r="557" spans="1:17" ht="16" x14ac:dyDescent="0.45">
      <c r="A557" s="8" t="s">
        <v>1314</v>
      </c>
      <c r="B557" s="8" t="s">
        <v>58</v>
      </c>
      <c r="C557" s="9" t="s">
        <v>81</v>
      </c>
      <c r="D557" s="9" t="s">
        <v>85</v>
      </c>
      <c r="E557" s="9" t="s">
        <v>228</v>
      </c>
      <c r="F557" s="10">
        <v>5990</v>
      </c>
      <c r="G557" s="11">
        <v>3</v>
      </c>
      <c r="H557" s="12">
        <v>0.08</v>
      </c>
      <c r="I557" s="13">
        <v>1437.6</v>
      </c>
      <c r="J557" s="13">
        <v>16532.400000000001</v>
      </c>
      <c r="K557" s="13">
        <v>2575</v>
      </c>
      <c r="L557" s="8" t="s">
        <v>1187</v>
      </c>
      <c r="M557" s="19" t="s">
        <v>216</v>
      </c>
      <c r="N557" s="9" t="s">
        <v>22</v>
      </c>
      <c r="O557" s="9" t="s">
        <v>63</v>
      </c>
      <c r="P557">
        <f>DATEVALUE(OnePlusSalesData[[#This Row],[order_date]])</f>
        <v>43755</v>
      </c>
      <c r="Q557" s="28">
        <f>DATEVALUE(OnePlusSalesData[[#This Row],[delivery_date]])</f>
        <v>43758</v>
      </c>
    </row>
    <row r="558" spans="1:17" ht="16" x14ac:dyDescent="0.45">
      <c r="A558" s="2" t="s">
        <v>1315</v>
      </c>
      <c r="B558" s="2" t="s">
        <v>16</v>
      </c>
      <c r="C558" s="3" t="s">
        <v>39</v>
      </c>
      <c r="D558" s="3" t="s">
        <v>18</v>
      </c>
      <c r="E558" s="3" t="s">
        <v>19</v>
      </c>
      <c r="F558" s="4">
        <v>1990</v>
      </c>
      <c r="G558" s="5">
        <v>1</v>
      </c>
      <c r="H558" s="6">
        <v>0.1</v>
      </c>
      <c r="I558" s="7">
        <v>199</v>
      </c>
      <c r="J558" s="7">
        <v>1791</v>
      </c>
      <c r="K558" s="7">
        <v>352.65</v>
      </c>
      <c r="L558" s="2" t="s">
        <v>1316</v>
      </c>
      <c r="M558" s="18" t="s">
        <v>818</v>
      </c>
      <c r="N558" s="3" t="s">
        <v>22</v>
      </c>
      <c r="O558" s="3" t="s">
        <v>23</v>
      </c>
      <c r="P558">
        <f>DATEVALUE(OnePlusSalesData[[#This Row],[order_date]])</f>
        <v>43111</v>
      </c>
      <c r="Q558" s="28">
        <f>DATEVALUE(OnePlusSalesData[[#This Row],[delivery_date]])</f>
        <v>43116</v>
      </c>
    </row>
    <row r="559" spans="1:17" ht="16" x14ac:dyDescent="0.45">
      <c r="A559" s="8" t="s">
        <v>1317</v>
      </c>
      <c r="B559" s="8" t="s">
        <v>16</v>
      </c>
      <c r="C559" s="9" t="s">
        <v>17</v>
      </c>
      <c r="D559" s="9" t="s">
        <v>85</v>
      </c>
      <c r="E559" s="9" t="s">
        <v>265</v>
      </c>
      <c r="F559" s="10">
        <v>4990</v>
      </c>
      <c r="G559" s="11">
        <v>1</v>
      </c>
      <c r="H559" s="12">
        <v>0.1</v>
      </c>
      <c r="I559" s="13">
        <v>499</v>
      </c>
      <c r="J559" s="13">
        <v>4491</v>
      </c>
      <c r="K559" s="13">
        <v>739.76</v>
      </c>
      <c r="L559" s="8" t="s">
        <v>407</v>
      </c>
      <c r="M559" s="19" t="s">
        <v>925</v>
      </c>
      <c r="N559" s="9" t="s">
        <v>92</v>
      </c>
      <c r="O559" s="9" t="s">
        <v>31</v>
      </c>
      <c r="P559">
        <f>DATEVALUE(OnePlusSalesData[[#This Row],[order_date]])</f>
        <v>43735</v>
      </c>
      <c r="Q559" s="28">
        <f>DATEVALUE(OnePlusSalesData[[#This Row],[delivery_date]])</f>
        <v>43742</v>
      </c>
    </row>
    <row r="560" spans="1:17" ht="16" x14ac:dyDescent="0.45">
      <c r="A560" s="2" t="s">
        <v>1318</v>
      </c>
      <c r="B560" s="2" t="s">
        <v>16</v>
      </c>
      <c r="C560" s="3" t="s">
        <v>17</v>
      </c>
      <c r="D560" s="3" t="s">
        <v>34</v>
      </c>
      <c r="E560" s="3" t="s">
        <v>35</v>
      </c>
      <c r="F560" s="4">
        <v>19999</v>
      </c>
      <c r="G560" s="5">
        <v>1</v>
      </c>
      <c r="H560" s="6">
        <v>0.05</v>
      </c>
      <c r="I560" s="7">
        <v>999.95</v>
      </c>
      <c r="J560" s="7">
        <v>18999.05</v>
      </c>
      <c r="K560" s="7">
        <v>4521.75</v>
      </c>
      <c r="L560" s="2" t="s">
        <v>1319</v>
      </c>
      <c r="M560" s="18" t="s">
        <v>343</v>
      </c>
      <c r="N560" s="3" t="s">
        <v>22</v>
      </c>
      <c r="O560" s="3" t="s">
        <v>31</v>
      </c>
      <c r="P560">
        <f>DATEVALUE(OnePlusSalesData[[#This Row],[order_date]])</f>
        <v>44108</v>
      </c>
      <c r="Q560" s="28">
        <f>DATEVALUE(OnePlusSalesData[[#This Row],[delivery_date]])</f>
        <v>44110</v>
      </c>
    </row>
    <row r="561" spans="1:17" ht="16" x14ac:dyDescent="0.45">
      <c r="A561" s="8" t="s">
        <v>1320</v>
      </c>
      <c r="B561" s="8" t="s">
        <v>58</v>
      </c>
      <c r="C561" s="9" t="s">
        <v>59</v>
      </c>
      <c r="D561" s="9" t="s">
        <v>40</v>
      </c>
      <c r="E561" s="9" t="s">
        <v>73</v>
      </c>
      <c r="F561" s="10">
        <v>32999</v>
      </c>
      <c r="G561" s="11">
        <v>1</v>
      </c>
      <c r="H561" s="12">
        <v>0.12</v>
      </c>
      <c r="I561" s="13">
        <v>3959.88</v>
      </c>
      <c r="J561" s="13">
        <v>29039.119999999999</v>
      </c>
      <c r="K561" s="13">
        <v>6683.96</v>
      </c>
      <c r="L561" s="8" t="s">
        <v>1321</v>
      </c>
      <c r="M561" s="19" t="s">
        <v>795</v>
      </c>
      <c r="N561" s="9" t="s">
        <v>92</v>
      </c>
      <c r="O561" s="9" t="s">
        <v>31</v>
      </c>
      <c r="P561">
        <f>DATEVALUE(OnePlusSalesData[[#This Row],[order_date]])</f>
        <v>43718</v>
      </c>
      <c r="Q561" s="28">
        <f>DATEVALUE(OnePlusSalesData[[#This Row],[delivery_date]])</f>
        <v>43724</v>
      </c>
    </row>
    <row r="562" spans="1:17" ht="16" x14ac:dyDescent="0.45">
      <c r="A562" s="2" t="s">
        <v>1322</v>
      </c>
      <c r="B562" s="2" t="s">
        <v>58</v>
      </c>
      <c r="C562" s="3" t="s">
        <v>59</v>
      </c>
      <c r="D562" s="3" t="s">
        <v>27</v>
      </c>
      <c r="E562" s="3" t="s">
        <v>28</v>
      </c>
      <c r="F562" s="4">
        <v>12999</v>
      </c>
      <c r="G562" s="5">
        <v>1</v>
      </c>
      <c r="H562" s="6">
        <v>0.08</v>
      </c>
      <c r="I562" s="7">
        <v>1039.92</v>
      </c>
      <c r="J562" s="7">
        <v>11959.08</v>
      </c>
      <c r="K562" s="7">
        <v>2772.57</v>
      </c>
      <c r="L562" s="2" t="s">
        <v>575</v>
      </c>
      <c r="M562" s="18" t="s">
        <v>765</v>
      </c>
      <c r="N562" s="3" t="s">
        <v>22</v>
      </c>
      <c r="O562" s="3" t="s">
        <v>63</v>
      </c>
      <c r="P562">
        <f>DATEVALUE(OnePlusSalesData[[#This Row],[order_date]])</f>
        <v>43868</v>
      </c>
      <c r="Q562" s="28">
        <f>DATEVALUE(OnePlusSalesData[[#This Row],[delivery_date]])</f>
        <v>43872</v>
      </c>
    </row>
    <row r="563" spans="1:17" ht="16" x14ac:dyDescent="0.45">
      <c r="A563" s="8" t="s">
        <v>1323</v>
      </c>
      <c r="B563" s="8" t="s">
        <v>52</v>
      </c>
      <c r="C563" s="9" t="s">
        <v>358</v>
      </c>
      <c r="D563" s="9" t="s">
        <v>27</v>
      </c>
      <c r="E563" s="9" t="s">
        <v>176</v>
      </c>
      <c r="F563" s="10">
        <v>69900</v>
      </c>
      <c r="G563" s="11">
        <v>1</v>
      </c>
      <c r="H563" s="12">
        <v>0</v>
      </c>
      <c r="I563" s="13">
        <v>0</v>
      </c>
      <c r="J563" s="13">
        <v>69900</v>
      </c>
      <c r="K563" s="13">
        <v>17792.8</v>
      </c>
      <c r="L563" s="8" t="s">
        <v>243</v>
      </c>
      <c r="M563" s="19" t="s">
        <v>79</v>
      </c>
      <c r="N563" s="9" t="s">
        <v>22</v>
      </c>
      <c r="O563" s="9" t="s">
        <v>23</v>
      </c>
      <c r="P563">
        <f>DATEVALUE(OnePlusSalesData[[#This Row],[order_date]])</f>
        <v>43963</v>
      </c>
      <c r="Q563" s="28">
        <f>DATEVALUE(OnePlusSalesData[[#This Row],[delivery_date]])</f>
        <v>43966</v>
      </c>
    </row>
    <row r="564" spans="1:17" ht="16" x14ac:dyDescent="0.45">
      <c r="A564" s="2" t="s">
        <v>1324</v>
      </c>
      <c r="B564" s="2" t="s">
        <v>16</v>
      </c>
      <c r="C564" s="3" t="s">
        <v>140</v>
      </c>
      <c r="D564" s="3" t="s">
        <v>40</v>
      </c>
      <c r="E564" s="3" t="s">
        <v>406</v>
      </c>
      <c r="F564" s="4">
        <v>48999</v>
      </c>
      <c r="G564" s="5">
        <v>2</v>
      </c>
      <c r="H564" s="6">
        <v>0.08</v>
      </c>
      <c r="I564" s="7">
        <v>7839.84</v>
      </c>
      <c r="J564" s="7">
        <v>90158.16</v>
      </c>
      <c r="K564" s="7">
        <v>21823.73</v>
      </c>
      <c r="L564" s="2" t="s">
        <v>371</v>
      </c>
      <c r="M564" s="18" t="s">
        <v>682</v>
      </c>
      <c r="N564" s="3" t="s">
        <v>22</v>
      </c>
      <c r="O564" s="3" t="s">
        <v>63</v>
      </c>
      <c r="P564">
        <f>DATEVALUE(OnePlusSalesData[[#This Row],[order_date]])</f>
        <v>44039</v>
      </c>
      <c r="Q564" s="28">
        <f>DATEVALUE(OnePlusSalesData[[#This Row],[delivery_date]])</f>
        <v>44043</v>
      </c>
    </row>
    <row r="565" spans="1:17" ht="16" x14ac:dyDescent="0.45">
      <c r="A565" s="8" t="s">
        <v>1325</v>
      </c>
      <c r="B565" s="8" t="s">
        <v>25</v>
      </c>
      <c r="C565" s="9" t="s">
        <v>120</v>
      </c>
      <c r="D565" s="9" t="s">
        <v>34</v>
      </c>
      <c r="E565" s="9" t="s">
        <v>77</v>
      </c>
      <c r="F565" s="10">
        <v>24999</v>
      </c>
      <c r="G565" s="11">
        <v>1</v>
      </c>
      <c r="H565" s="12">
        <v>0</v>
      </c>
      <c r="I565" s="13">
        <v>0</v>
      </c>
      <c r="J565" s="13">
        <v>24999</v>
      </c>
      <c r="K565" s="13">
        <v>4374.91</v>
      </c>
      <c r="L565" s="8" t="s">
        <v>661</v>
      </c>
      <c r="M565" s="19" t="s">
        <v>680</v>
      </c>
      <c r="N565" s="9" t="s">
        <v>22</v>
      </c>
      <c r="O565" s="9" t="s">
        <v>31</v>
      </c>
      <c r="P565">
        <f>DATEVALUE(OnePlusSalesData[[#This Row],[order_date]])</f>
        <v>43688</v>
      </c>
      <c r="Q565" s="28">
        <f>DATEVALUE(OnePlusSalesData[[#This Row],[delivery_date]])</f>
        <v>43693</v>
      </c>
    </row>
    <row r="566" spans="1:17" ht="16" x14ac:dyDescent="0.45">
      <c r="A566" s="2" t="s">
        <v>1326</v>
      </c>
      <c r="B566" s="2" t="s">
        <v>25</v>
      </c>
      <c r="C566" s="3" t="s">
        <v>172</v>
      </c>
      <c r="D566" s="3" t="s">
        <v>18</v>
      </c>
      <c r="E566" s="3" t="s">
        <v>102</v>
      </c>
      <c r="F566" s="4">
        <v>1490</v>
      </c>
      <c r="G566" s="5">
        <v>1</v>
      </c>
      <c r="H566" s="6">
        <v>0</v>
      </c>
      <c r="I566" s="7">
        <v>0</v>
      </c>
      <c r="J566" s="7">
        <v>1490</v>
      </c>
      <c r="K566" s="7">
        <v>312.89999999999998</v>
      </c>
      <c r="L566" s="2" t="s">
        <v>761</v>
      </c>
      <c r="M566" s="18" t="s">
        <v>1327</v>
      </c>
      <c r="N566" s="3" t="s">
        <v>92</v>
      </c>
      <c r="O566" s="3" t="s">
        <v>31</v>
      </c>
      <c r="P566">
        <f>DATEVALUE(OnePlusSalesData[[#This Row],[order_date]])</f>
        <v>43661</v>
      </c>
      <c r="Q566" s="28">
        <f>DATEVALUE(OnePlusSalesData[[#This Row],[delivery_date]])</f>
        <v>43668</v>
      </c>
    </row>
    <row r="567" spans="1:17" ht="16" x14ac:dyDescent="0.45">
      <c r="A567" s="8" t="s">
        <v>1328</v>
      </c>
      <c r="B567" s="8" t="s">
        <v>52</v>
      </c>
      <c r="C567" s="9" t="s">
        <v>192</v>
      </c>
      <c r="D567" s="9" t="s">
        <v>40</v>
      </c>
      <c r="E567" s="9" t="s">
        <v>406</v>
      </c>
      <c r="F567" s="10">
        <v>48999</v>
      </c>
      <c r="G567" s="11">
        <v>1</v>
      </c>
      <c r="H567" s="12">
        <v>0</v>
      </c>
      <c r="I567" s="13">
        <v>0</v>
      </c>
      <c r="J567" s="13">
        <v>48999</v>
      </c>
      <c r="K567" s="13">
        <v>10927.09</v>
      </c>
      <c r="L567" s="8" t="s">
        <v>1203</v>
      </c>
      <c r="M567" s="19" t="s">
        <v>1329</v>
      </c>
      <c r="N567" s="9" t="s">
        <v>22</v>
      </c>
      <c r="O567" s="9" t="s">
        <v>31</v>
      </c>
      <c r="P567">
        <f>DATEVALUE(OnePlusSalesData[[#This Row],[order_date]])</f>
        <v>43347</v>
      </c>
      <c r="Q567" s="28">
        <f>DATEVALUE(OnePlusSalesData[[#This Row],[delivery_date]])</f>
        <v>43354</v>
      </c>
    </row>
    <row r="568" spans="1:17" ht="16" x14ac:dyDescent="0.45">
      <c r="A568" s="2" t="s">
        <v>1330</v>
      </c>
      <c r="B568" s="2" t="s">
        <v>58</v>
      </c>
      <c r="C568" s="3" t="s">
        <v>221</v>
      </c>
      <c r="D568" s="3" t="s">
        <v>85</v>
      </c>
      <c r="E568" s="3" t="s">
        <v>228</v>
      </c>
      <c r="F568" s="4">
        <v>5990</v>
      </c>
      <c r="G568" s="5">
        <v>1</v>
      </c>
      <c r="H568" s="6">
        <v>0.12</v>
      </c>
      <c r="I568" s="7">
        <v>718.8</v>
      </c>
      <c r="J568" s="7">
        <v>5271.2</v>
      </c>
      <c r="K568" s="7">
        <v>1191.67</v>
      </c>
      <c r="L568" s="2" t="s">
        <v>1331</v>
      </c>
      <c r="M568" s="18" t="s">
        <v>219</v>
      </c>
      <c r="N568" s="3" t="s">
        <v>50</v>
      </c>
      <c r="O568" s="3" t="s">
        <v>31</v>
      </c>
      <c r="P568">
        <f>DATEVALUE(OnePlusSalesData[[#This Row],[order_date]])</f>
        <v>43797</v>
      </c>
      <c r="Q568" s="28">
        <f>DATEVALUE(OnePlusSalesData[[#This Row],[delivery_date]])</f>
        <v>43803</v>
      </c>
    </row>
    <row r="569" spans="1:17" ht="16" x14ac:dyDescent="0.45">
      <c r="A569" s="8" t="s">
        <v>1332</v>
      </c>
      <c r="B569" s="8" t="s">
        <v>16</v>
      </c>
      <c r="C569" s="9" t="s">
        <v>152</v>
      </c>
      <c r="D569" s="9" t="s">
        <v>40</v>
      </c>
      <c r="E569" s="9" t="s">
        <v>406</v>
      </c>
      <c r="F569" s="10">
        <v>48999</v>
      </c>
      <c r="G569" s="11">
        <v>2</v>
      </c>
      <c r="H569" s="12">
        <v>0.08</v>
      </c>
      <c r="I569" s="13">
        <v>7839.84</v>
      </c>
      <c r="J569" s="13">
        <v>90158.16</v>
      </c>
      <c r="K569" s="13">
        <v>21965.86</v>
      </c>
      <c r="L569" s="8" t="s">
        <v>1333</v>
      </c>
      <c r="M569" s="19" t="s">
        <v>144</v>
      </c>
      <c r="N569" s="9" t="s">
        <v>22</v>
      </c>
      <c r="O569" s="9" t="s">
        <v>31</v>
      </c>
      <c r="P569">
        <f>DATEVALUE(OnePlusSalesData[[#This Row],[order_date]])</f>
        <v>43854</v>
      </c>
      <c r="Q569" s="28">
        <f>DATEVALUE(OnePlusSalesData[[#This Row],[delivery_date]])</f>
        <v>43859</v>
      </c>
    </row>
    <row r="570" spans="1:17" ht="16" x14ac:dyDescent="0.45">
      <c r="A570" s="2" t="s">
        <v>1334</v>
      </c>
      <c r="B570" s="2" t="s">
        <v>16</v>
      </c>
      <c r="C570" s="3" t="s">
        <v>152</v>
      </c>
      <c r="D570" s="3" t="s">
        <v>27</v>
      </c>
      <c r="E570" s="3" t="s">
        <v>28</v>
      </c>
      <c r="F570" s="4">
        <v>12999</v>
      </c>
      <c r="G570" s="5">
        <v>1</v>
      </c>
      <c r="H570" s="6">
        <v>0.1</v>
      </c>
      <c r="I570" s="7">
        <v>1299.9000000000001</v>
      </c>
      <c r="J570" s="7">
        <v>11699.1</v>
      </c>
      <c r="K570" s="7">
        <v>2075.02</v>
      </c>
      <c r="L570" s="2" t="s">
        <v>1335</v>
      </c>
      <c r="M570" s="18" t="s">
        <v>739</v>
      </c>
      <c r="N570" s="3" t="s">
        <v>22</v>
      </c>
      <c r="O570" s="3" t="s">
        <v>146</v>
      </c>
      <c r="P570">
        <f>DATEVALUE(OnePlusSalesData[[#This Row],[order_date]])</f>
        <v>44017</v>
      </c>
      <c r="Q570" s="28">
        <f>DATEVALUE(OnePlusSalesData[[#This Row],[delivery_date]])</f>
        <v>44019</v>
      </c>
    </row>
    <row r="571" spans="1:17" ht="16" x14ac:dyDescent="0.45">
      <c r="A571" s="8" t="s">
        <v>1336</v>
      </c>
      <c r="B571" s="8" t="s">
        <v>16</v>
      </c>
      <c r="C571" s="9" t="s">
        <v>140</v>
      </c>
      <c r="D571" s="9" t="s">
        <v>85</v>
      </c>
      <c r="E571" s="9" t="s">
        <v>258</v>
      </c>
      <c r="F571" s="10">
        <v>2999</v>
      </c>
      <c r="G571" s="11">
        <v>1</v>
      </c>
      <c r="H571" s="12">
        <v>0.05</v>
      </c>
      <c r="I571" s="13">
        <v>149.94999999999999</v>
      </c>
      <c r="J571" s="13">
        <v>2849.05</v>
      </c>
      <c r="K571" s="13">
        <v>665.55</v>
      </c>
      <c r="L571" s="8" t="s">
        <v>1337</v>
      </c>
      <c r="M571" s="19" t="s">
        <v>1338</v>
      </c>
      <c r="N571" s="9" t="s">
        <v>22</v>
      </c>
      <c r="O571" s="9" t="s">
        <v>23</v>
      </c>
      <c r="P571">
        <f>DATEVALUE(OnePlusSalesData[[#This Row],[order_date]])</f>
        <v>43465</v>
      </c>
      <c r="Q571" s="28">
        <f>DATEVALUE(OnePlusSalesData[[#This Row],[delivery_date]])</f>
        <v>43470</v>
      </c>
    </row>
    <row r="572" spans="1:17" ht="16" x14ac:dyDescent="0.45">
      <c r="A572" s="2" t="s">
        <v>1339</v>
      </c>
      <c r="B572" s="2" t="s">
        <v>16</v>
      </c>
      <c r="C572" s="3" t="s">
        <v>140</v>
      </c>
      <c r="D572" s="3" t="s">
        <v>40</v>
      </c>
      <c r="E572" s="3" t="s">
        <v>47</v>
      </c>
      <c r="F572" s="4">
        <v>37999</v>
      </c>
      <c r="G572" s="5">
        <v>1</v>
      </c>
      <c r="H572" s="6">
        <v>0.15</v>
      </c>
      <c r="I572" s="7">
        <v>5699.85</v>
      </c>
      <c r="J572" s="7">
        <v>32299.15</v>
      </c>
      <c r="K572" s="7">
        <v>6402.58</v>
      </c>
      <c r="L572" s="2" t="s">
        <v>1340</v>
      </c>
      <c r="M572" s="18" t="s">
        <v>546</v>
      </c>
      <c r="N572" s="3" t="s">
        <v>22</v>
      </c>
      <c r="O572" s="3" t="s">
        <v>23</v>
      </c>
      <c r="P572">
        <f>DATEVALUE(OnePlusSalesData[[#This Row],[order_date]])</f>
        <v>43331</v>
      </c>
      <c r="Q572" s="28">
        <f>DATEVALUE(OnePlusSalesData[[#This Row],[delivery_date]])</f>
        <v>43337</v>
      </c>
    </row>
    <row r="573" spans="1:17" ht="16" x14ac:dyDescent="0.45">
      <c r="A573" s="8" t="s">
        <v>1341</v>
      </c>
      <c r="B573" s="8" t="s">
        <v>16</v>
      </c>
      <c r="C573" s="9" t="s">
        <v>39</v>
      </c>
      <c r="D573" s="9" t="s">
        <v>27</v>
      </c>
      <c r="E573" s="9" t="s">
        <v>28</v>
      </c>
      <c r="F573" s="10">
        <v>12999</v>
      </c>
      <c r="G573" s="11">
        <v>1</v>
      </c>
      <c r="H573" s="12">
        <v>0.08</v>
      </c>
      <c r="I573" s="13">
        <v>1039.92</v>
      </c>
      <c r="J573" s="13">
        <v>11959.08</v>
      </c>
      <c r="K573" s="13">
        <v>2078.7199999999998</v>
      </c>
      <c r="L573" s="8" t="s">
        <v>1342</v>
      </c>
      <c r="M573" s="19" t="s">
        <v>1343</v>
      </c>
      <c r="N573" s="9" t="s">
        <v>22</v>
      </c>
      <c r="O573" s="9" t="s">
        <v>23</v>
      </c>
      <c r="P573">
        <f>DATEVALUE(OnePlusSalesData[[#This Row],[order_date]])</f>
        <v>43185</v>
      </c>
      <c r="Q573" s="28">
        <f>DATEVALUE(OnePlusSalesData[[#This Row],[delivery_date]])</f>
        <v>43192</v>
      </c>
    </row>
    <row r="574" spans="1:17" ht="16" x14ac:dyDescent="0.45">
      <c r="A574" s="2" t="s">
        <v>1344</v>
      </c>
      <c r="B574" s="2" t="s">
        <v>52</v>
      </c>
      <c r="C574" s="3" t="s">
        <v>192</v>
      </c>
      <c r="D574" s="3" t="s">
        <v>27</v>
      </c>
      <c r="E574" s="3" t="s">
        <v>159</v>
      </c>
      <c r="F574" s="4">
        <v>22999</v>
      </c>
      <c r="G574" s="5">
        <v>2</v>
      </c>
      <c r="H574" s="6">
        <v>0.05</v>
      </c>
      <c r="I574" s="7">
        <v>2299.9</v>
      </c>
      <c r="J574" s="7">
        <v>43698.1</v>
      </c>
      <c r="K574" s="7">
        <v>6259.88</v>
      </c>
      <c r="L574" s="2" t="s">
        <v>1060</v>
      </c>
      <c r="M574" s="18" t="s">
        <v>317</v>
      </c>
      <c r="N574" s="3" t="s">
        <v>22</v>
      </c>
      <c r="O574" s="3" t="s">
        <v>63</v>
      </c>
      <c r="P574">
        <f>DATEVALUE(OnePlusSalesData[[#This Row],[order_date]])</f>
        <v>44116</v>
      </c>
      <c r="Q574" s="28">
        <f>DATEVALUE(OnePlusSalesData[[#This Row],[delivery_date]])</f>
        <v>44118</v>
      </c>
    </row>
    <row r="575" spans="1:17" ht="16" x14ac:dyDescent="0.45">
      <c r="A575" s="8" t="s">
        <v>1345</v>
      </c>
      <c r="B575" s="8" t="s">
        <v>58</v>
      </c>
      <c r="C575" s="9" t="s">
        <v>59</v>
      </c>
      <c r="D575" s="9" t="s">
        <v>34</v>
      </c>
      <c r="E575" s="9" t="s">
        <v>35</v>
      </c>
      <c r="F575" s="10">
        <v>19999</v>
      </c>
      <c r="G575" s="11">
        <v>1</v>
      </c>
      <c r="H575" s="12">
        <v>0.12</v>
      </c>
      <c r="I575" s="13">
        <v>2399.88</v>
      </c>
      <c r="J575" s="13">
        <v>17599.12</v>
      </c>
      <c r="K575" s="13">
        <v>4122.1099999999997</v>
      </c>
      <c r="L575" s="8" t="s">
        <v>889</v>
      </c>
      <c r="M575" s="19" t="s">
        <v>457</v>
      </c>
      <c r="N575" s="9" t="s">
        <v>44</v>
      </c>
      <c r="O575" s="9" t="s">
        <v>23</v>
      </c>
      <c r="P575">
        <f>DATEVALUE(OnePlusSalesData[[#This Row],[order_date]])</f>
        <v>43319</v>
      </c>
      <c r="Q575" s="28">
        <f>DATEVALUE(OnePlusSalesData[[#This Row],[delivery_date]])</f>
        <v>43325</v>
      </c>
    </row>
    <row r="576" spans="1:17" ht="16" x14ac:dyDescent="0.45">
      <c r="A576" s="2" t="s">
        <v>1346</v>
      </c>
      <c r="B576" s="2" t="s">
        <v>58</v>
      </c>
      <c r="C576" s="3" t="s">
        <v>59</v>
      </c>
      <c r="D576" s="3" t="s">
        <v>27</v>
      </c>
      <c r="E576" s="3" t="s">
        <v>159</v>
      </c>
      <c r="F576" s="4">
        <v>22999</v>
      </c>
      <c r="G576" s="5">
        <v>1</v>
      </c>
      <c r="H576" s="6">
        <v>0.1</v>
      </c>
      <c r="I576" s="7">
        <v>2299.9</v>
      </c>
      <c r="J576" s="7">
        <v>20699.099999999999</v>
      </c>
      <c r="K576" s="7">
        <v>3550.44</v>
      </c>
      <c r="L576" s="2" t="s">
        <v>1347</v>
      </c>
      <c r="M576" s="18" t="s">
        <v>331</v>
      </c>
      <c r="N576" s="3" t="s">
        <v>50</v>
      </c>
      <c r="O576" s="3" t="s">
        <v>63</v>
      </c>
      <c r="P576">
        <f>DATEVALUE(OnePlusSalesData[[#This Row],[order_date]])</f>
        <v>44181</v>
      </c>
      <c r="Q576" s="28">
        <f>DATEVALUE(OnePlusSalesData[[#This Row],[delivery_date]])</f>
        <v>44187</v>
      </c>
    </row>
    <row r="577" spans="1:17" ht="16" x14ac:dyDescent="0.45">
      <c r="A577" s="8" t="s">
        <v>1348</v>
      </c>
      <c r="B577" s="8" t="s">
        <v>16</v>
      </c>
      <c r="C577" s="9" t="s">
        <v>140</v>
      </c>
      <c r="D577" s="9" t="s">
        <v>27</v>
      </c>
      <c r="E577" s="9" t="s">
        <v>28</v>
      </c>
      <c r="F577" s="10">
        <v>12999</v>
      </c>
      <c r="G577" s="11">
        <v>1</v>
      </c>
      <c r="H577" s="12">
        <v>0.05</v>
      </c>
      <c r="I577" s="13">
        <v>649.95000000000005</v>
      </c>
      <c r="J577" s="13">
        <v>12349.05</v>
      </c>
      <c r="K577" s="13">
        <v>2810.65</v>
      </c>
      <c r="L577" s="8" t="s">
        <v>546</v>
      </c>
      <c r="M577" s="19" t="s">
        <v>1349</v>
      </c>
      <c r="N577" s="9" t="s">
        <v>22</v>
      </c>
      <c r="O577" s="9" t="s">
        <v>23</v>
      </c>
      <c r="P577">
        <f>DATEVALUE(OnePlusSalesData[[#This Row],[order_date]])</f>
        <v>43337</v>
      </c>
      <c r="Q577" s="28">
        <f>DATEVALUE(OnePlusSalesData[[#This Row],[delivery_date]])</f>
        <v>43344</v>
      </c>
    </row>
    <row r="578" spans="1:17" ht="16" x14ac:dyDescent="0.45">
      <c r="A578" s="2" t="s">
        <v>1350</v>
      </c>
      <c r="B578" s="2" t="s">
        <v>25</v>
      </c>
      <c r="C578" s="3" t="s">
        <v>172</v>
      </c>
      <c r="D578" s="3" t="s">
        <v>27</v>
      </c>
      <c r="E578" s="3" t="s">
        <v>28</v>
      </c>
      <c r="F578" s="4">
        <v>12999</v>
      </c>
      <c r="G578" s="5">
        <v>1</v>
      </c>
      <c r="H578" s="6">
        <v>0.08</v>
      </c>
      <c r="I578" s="7">
        <v>1039.92</v>
      </c>
      <c r="J578" s="7">
        <v>11959.08</v>
      </c>
      <c r="K578" s="7">
        <v>2238.13</v>
      </c>
      <c r="L578" s="2" t="s">
        <v>1351</v>
      </c>
      <c r="M578" s="18" t="s">
        <v>1224</v>
      </c>
      <c r="N578" s="3" t="s">
        <v>22</v>
      </c>
      <c r="O578" s="3" t="s">
        <v>63</v>
      </c>
      <c r="P578">
        <f>DATEVALUE(OnePlusSalesData[[#This Row],[order_date]])</f>
        <v>43473</v>
      </c>
      <c r="Q578" s="28">
        <f>DATEVALUE(OnePlusSalesData[[#This Row],[delivery_date]])</f>
        <v>43479</v>
      </c>
    </row>
    <row r="579" spans="1:17" ht="16" x14ac:dyDescent="0.45">
      <c r="A579" s="8" t="s">
        <v>1352</v>
      </c>
      <c r="B579" s="8" t="s">
        <v>52</v>
      </c>
      <c r="C579" s="9" t="s">
        <v>69</v>
      </c>
      <c r="D579" s="9" t="s">
        <v>27</v>
      </c>
      <c r="E579" s="9" t="s">
        <v>176</v>
      </c>
      <c r="F579" s="10">
        <v>69900</v>
      </c>
      <c r="G579" s="11">
        <v>2</v>
      </c>
      <c r="H579" s="12">
        <v>0.08</v>
      </c>
      <c r="I579" s="13">
        <v>11184</v>
      </c>
      <c r="J579" s="13">
        <v>128616</v>
      </c>
      <c r="K579" s="13">
        <v>27423.96</v>
      </c>
      <c r="L579" s="8" t="s">
        <v>275</v>
      </c>
      <c r="M579" s="19" t="s">
        <v>1353</v>
      </c>
      <c r="N579" s="9" t="s">
        <v>92</v>
      </c>
      <c r="O579" s="9" t="s">
        <v>23</v>
      </c>
      <c r="P579">
        <f>DATEVALUE(OnePlusSalesData[[#This Row],[order_date]])</f>
        <v>43415</v>
      </c>
      <c r="Q579" s="28">
        <f>DATEVALUE(OnePlusSalesData[[#This Row],[delivery_date]])</f>
        <v>43420</v>
      </c>
    </row>
    <row r="580" spans="1:17" ht="16" x14ac:dyDescent="0.45">
      <c r="A580" s="2" t="s">
        <v>1354</v>
      </c>
      <c r="B580" s="2" t="s">
        <v>16</v>
      </c>
      <c r="C580" s="3" t="s">
        <v>152</v>
      </c>
      <c r="D580" s="3" t="s">
        <v>27</v>
      </c>
      <c r="E580" s="3" t="s">
        <v>176</v>
      </c>
      <c r="F580" s="4">
        <v>69900</v>
      </c>
      <c r="G580" s="5">
        <v>2</v>
      </c>
      <c r="H580" s="6">
        <v>0.15</v>
      </c>
      <c r="I580" s="7">
        <v>20970</v>
      </c>
      <c r="J580" s="7">
        <v>118830</v>
      </c>
      <c r="K580" s="7">
        <v>20735.990000000002</v>
      </c>
      <c r="L580" s="2" t="s">
        <v>429</v>
      </c>
      <c r="M580" s="18" t="s">
        <v>389</v>
      </c>
      <c r="N580" s="3" t="s">
        <v>50</v>
      </c>
      <c r="O580" s="3" t="s">
        <v>23</v>
      </c>
      <c r="P580">
        <f>DATEVALUE(OnePlusSalesData[[#This Row],[order_date]])</f>
        <v>43863</v>
      </c>
      <c r="Q580" s="28">
        <f>DATEVALUE(OnePlusSalesData[[#This Row],[delivery_date]])</f>
        <v>43865</v>
      </c>
    </row>
    <row r="581" spans="1:17" ht="16" x14ac:dyDescent="0.45">
      <c r="A581" s="8" t="s">
        <v>1355</v>
      </c>
      <c r="B581" s="8" t="s">
        <v>25</v>
      </c>
      <c r="C581" s="9" t="s">
        <v>133</v>
      </c>
      <c r="D581" s="9" t="s">
        <v>40</v>
      </c>
      <c r="E581" s="9" t="s">
        <v>41</v>
      </c>
      <c r="F581" s="10">
        <v>37999</v>
      </c>
      <c r="G581" s="11">
        <v>1</v>
      </c>
      <c r="H581" s="12">
        <v>0.1</v>
      </c>
      <c r="I581" s="13">
        <v>3799.9</v>
      </c>
      <c r="J581" s="13">
        <v>34199.1</v>
      </c>
      <c r="K581" s="13">
        <v>5030.21</v>
      </c>
      <c r="L581" s="8" t="s">
        <v>1356</v>
      </c>
      <c r="M581" s="19" t="s">
        <v>734</v>
      </c>
      <c r="N581" s="9" t="s">
        <v>22</v>
      </c>
      <c r="O581" s="9" t="s">
        <v>23</v>
      </c>
      <c r="P581">
        <f>DATEVALUE(OnePlusSalesData[[#This Row],[order_date]])</f>
        <v>43296</v>
      </c>
      <c r="Q581" s="28">
        <f>DATEVALUE(OnePlusSalesData[[#This Row],[delivery_date]])</f>
        <v>43300</v>
      </c>
    </row>
    <row r="582" spans="1:17" ht="16" x14ac:dyDescent="0.45">
      <c r="A582" s="2" t="s">
        <v>1357</v>
      </c>
      <c r="B582" s="2" t="s">
        <v>25</v>
      </c>
      <c r="C582" s="3" t="s">
        <v>26</v>
      </c>
      <c r="D582" s="3" t="s">
        <v>85</v>
      </c>
      <c r="E582" s="3" t="s">
        <v>86</v>
      </c>
      <c r="F582" s="4">
        <v>1999</v>
      </c>
      <c r="G582" s="5">
        <v>1</v>
      </c>
      <c r="H582" s="6">
        <v>0.1</v>
      </c>
      <c r="I582" s="7">
        <v>199.9</v>
      </c>
      <c r="J582" s="7">
        <v>1799.1</v>
      </c>
      <c r="K582" s="7">
        <v>428.3</v>
      </c>
      <c r="L582" s="2" t="s">
        <v>1358</v>
      </c>
      <c r="M582" s="18" t="s">
        <v>629</v>
      </c>
      <c r="N582" s="3" t="s">
        <v>22</v>
      </c>
      <c r="O582" s="3" t="s">
        <v>31</v>
      </c>
      <c r="P582">
        <f>DATEVALUE(OnePlusSalesData[[#This Row],[order_date]])</f>
        <v>43309</v>
      </c>
      <c r="Q582" s="28">
        <f>DATEVALUE(OnePlusSalesData[[#This Row],[delivery_date]])</f>
        <v>43311</v>
      </c>
    </row>
    <row r="583" spans="1:17" ht="16" x14ac:dyDescent="0.45">
      <c r="A583" s="8" t="s">
        <v>1359</v>
      </c>
      <c r="B583" s="8" t="s">
        <v>52</v>
      </c>
      <c r="C583" s="9" t="s">
        <v>106</v>
      </c>
      <c r="D583" s="9" t="s">
        <v>40</v>
      </c>
      <c r="E583" s="9" t="s">
        <v>73</v>
      </c>
      <c r="F583" s="10">
        <v>32999</v>
      </c>
      <c r="G583" s="11">
        <v>1</v>
      </c>
      <c r="H583" s="12">
        <v>0.05</v>
      </c>
      <c r="I583" s="13">
        <v>1649.95</v>
      </c>
      <c r="J583" s="13">
        <v>31349.05</v>
      </c>
      <c r="K583" s="13">
        <v>7435.91</v>
      </c>
      <c r="L583" s="8" t="s">
        <v>294</v>
      </c>
      <c r="M583" s="19" t="s">
        <v>506</v>
      </c>
      <c r="N583" s="9" t="s">
        <v>92</v>
      </c>
      <c r="O583" s="9" t="s">
        <v>23</v>
      </c>
      <c r="P583">
        <f>DATEVALUE(OnePlusSalesData[[#This Row],[order_date]])</f>
        <v>43825</v>
      </c>
      <c r="Q583" s="28">
        <f>DATEVALUE(OnePlusSalesData[[#This Row],[delivery_date]])</f>
        <v>43827</v>
      </c>
    </row>
    <row r="584" spans="1:17" ht="16" x14ac:dyDescent="0.45">
      <c r="A584" s="2" t="s">
        <v>1360</v>
      </c>
      <c r="B584" s="2" t="s">
        <v>25</v>
      </c>
      <c r="C584" s="3" t="s">
        <v>120</v>
      </c>
      <c r="D584" s="3" t="s">
        <v>18</v>
      </c>
      <c r="E584" s="3" t="s">
        <v>179</v>
      </c>
      <c r="F584" s="4">
        <v>1290</v>
      </c>
      <c r="G584" s="5">
        <v>3</v>
      </c>
      <c r="H584" s="6">
        <v>0</v>
      </c>
      <c r="I584" s="7">
        <v>0</v>
      </c>
      <c r="J584" s="7">
        <v>3870</v>
      </c>
      <c r="K584" s="7">
        <v>870.11</v>
      </c>
      <c r="L584" s="2" t="s">
        <v>736</v>
      </c>
      <c r="M584" s="18" t="s">
        <v>1361</v>
      </c>
      <c r="N584" s="3" t="s">
        <v>22</v>
      </c>
      <c r="O584" s="3" t="s">
        <v>146</v>
      </c>
      <c r="P584">
        <f>DATEVALUE(OnePlusSalesData[[#This Row],[order_date]])</f>
        <v>43779</v>
      </c>
      <c r="Q584" s="28">
        <f>DATEVALUE(OnePlusSalesData[[#This Row],[delivery_date]])</f>
        <v>43781</v>
      </c>
    </row>
    <row r="585" spans="1:17" ht="16" x14ac:dyDescent="0.45">
      <c r="A585" s="8" t="s">
        <v>1362</v>
      </c>
      <c r="B585" s="8" t="s">
        <v>16</v>
      </c>
      <c r="C585" s="9" t="s">
        <v>140</v>
      </c>
      <c r="D585" s="9" t="s">
        <v>40</v>
      </c>
      <c r="E585" s="9" t="s">
        <v>148</v>
      </c>
      <c r="F585" s="10">
        <v>41999</v>
      </c>
      <c r="G585" s="11">
        <v>1</v>
      </c>
      <c r="H585" s="12">
        <v>0</v>
      </c>
      <c r="I585" s="13">
        <v>0</v>
      </c>
      <c r="J585" s="13">
        <v>41999</v>
      </c>
      <c r="K585" s="13">
        <v>7202.75</v>
      </c>
      <c r="L585" s="8" t="s">
        <v>1363</v>
      </c>
      <c r="M585" s="19" t="s">
        <v>1152</v>
      </c>
      <c r="N585" s="9" t="s">
        <v>92</v>
      </c>
      <c r="O585" s="9" t="s">
        <v>23</v>
      </c>
      <c r="P585">
        <f>DATEVALUE(OnePlusSalesData[[#This Row],[order_date]])</f>
        <v>43493</v>
      </c>
      <c r="Q585" s="28">
        <f>DATEVALUE(OnePlusSalesData[[#This Row],[delivery_date]])</f>
        <v>43497</v>
      </c>
    </row>
    <row r="586" spans="1:17" ht="16" x14ac:dyDescent="0.45">
      <c r="A586" s="2" t="s">
        <v>1364</v>
      </c>
      <c r="B586" s="2" t="s">
        <v>16</v>
      </c>
      <c r="C586" s="3" t="s">
        <v>140</v>
      </c>
      <c r="D586" s="3" t="s">
        <v>40</v>
      </c>
      <c r="E586" s="3" t="s">
        <v>41</v>
      </c>
      <c r="F586" s="4">
        <v>37999</v>
      </c>
      <c r="G586" s="5">
        <v>1</v>
      </c>
      <c r="H586" s="6">
        <v>0.08</v>
      </c>
      <c r="I586" s="7">
        <v>3039.92</v>
      </c>
      <c r="J586" s="7">
        <v>34959.08</v>
      </c>
      <c r="K586" s="7">
        <v>8407.4500000000007</v>
      </c>
      <c r="L586" s="2" t="s">
        <v>1365</v>
      </c>
      <c r="M586" s="18" t="s">
        <v>369</v>
      </c>
      <c r="N586" s="3" t="s">
        <v>50</v>
      </c>
      <c r="O586" s="3" t="s">
        <v>23</v>
      </c>
      <c r="P586">
        <f>DATEVALUE(OnePlusSalesData[[#This Row],[order_date]])</f>
        <v>44060</v>
      </c>
      <c r="Q586" s="28">
        <f>DATEVALUE(OnePlusSalesData[[#This Row],[delivery_date]])</f>
        <v>44062</v>
      </c>
    </row>
    <row r="587" spans="1:17" ht="16" x14ac:dyDescent="0.45">
      <c r="A587" s="8" t="s">
        <v>1366</v>
      </c>
      <c r="B587" s="8" t="s">
        <v>25</v>
      </c>
      <c r="C587" s="9" t="s">
        <v>120</v>
      </c>
      <c r="D587" s="9" t="s">
        <v>40</v>
      </c>
      <c r="E587" s="9" t="s">
        <v>54</v>
      </c>
      <c r="F587" s="10">
        <v>53999</v>
      </c>
      <c r="G587" s="11">
        <v>1</v>
      </c>
      <c r="H587" s="12">
        <v>0.1</v>
      </c>
      <c r="I587" s="13">
        <v>5399.9</v>
      </c>
      <c r="J587" s="13">
        <v>48599.1</v>
      </c>
      <c r="K587" s="13">
        <v>7614.33</v>
      </c>
      <c r="L587" s="8" t="s">
        <v>1025</v>
      </c>
      <c r="M587" s="19" t="s">
        <v>453</v>
      </c>
      <c r="N587" s="9" t="s">
        <v>22</v>
      </c>
      <c r="O587" s="9" t="s">
        <v>23</v>
      </c>
      <c r="P587">
        <f>DATEVALUE(OnePlusSalesData[[#This Row],[order_date]])</f>
        <v>43240</v>
      </c>
      <c r="Q587" s="28">
        <f>DATEVALUE(OnePlusSalesData[[#This Row],[delivery_date]])</f>
        <v>43243</v>
      </c>
    </row>
    <row r="588" spans="1:17" ht="16" x14ac:dyDescent="0.45">
      <c r="A588" s="2" t="s">
        <v>1367</v>
      </c>
      <c r="B588" s="2" t="s">
        <v>16</v>
      </c>
      <c r="C588" s="3" t="s">
        <v>152</v>
      </c>
      <c r="D588" s="3" t="s">
        <v>40</v>
      </c>
      <c r="E588" s="3" t="s">
        <v>148</v>
      </c>
      <c r="F588" s="4">
        <v>41999</v>
      </c>
      <c r="G588" s="5">
        <v>1</v>
      </c>
      <c r="H588" s="6">
        <v>0.05</v>
      </c>
      <c r="I588" s="7">
        <v>2099.9499999999998</v>
      </c>
      <c r="J588" s="7">
        <v>39899.050000000003</v>
      </c>
      <c r="K588" s="7">
        <v>8346.2999999999993</v>
      </c>
      <c r="L588" s="2" t="s">
        <v>880</v>
      </c>
      <c r="M588" s="18" t="s">
        <v>1368</v>
      </c>
      <c r="N588" s="3" t="s">
        <v>22</v>
      </c>
      <c r="O588" s="3" t="s">
        <v>63</v>
      </c>
      <c r="P588">
        <f>DATEVALUE(OnePlusSalesData[[#This Row],[order_date]])</f>
        <v>43222</v>
      </c>
      <c r="Q588" s="28">
        <f>DATEVALUE(OnePlusSalesData[[#This Row],[delivery_date]])</f>
        <v>43224</v>
      </c>
    </row>
    <row r="589" spans="1:17" ht="16" x14ac:dyDescent="0.45">
      <c r="A589" s="8" t="s">
        <v>1369</v>
      </c>
      <c r="B589" s="8" t="s">
        <v>52</v>
      </c>
      <c r="C589" s="9" t="s">
        <v>106</v>
      </c>
      <c r="D589" s="9" t="s">
        <v>40</v>
      </c>
      <c r="E589" s="9" t="s">
        <v>148</v>
      </c>
      <c r="F589" s="10">
        <v>41999</v>
      </c>
      <c r="G589" s="11">
        <v>2</v>
      </c>
      <c r="H589" s="12">
        <v>0</v>
      </c>
      <c r="I589" s="13">
        <v>0</v>
      </c>
      <c r="J589" s="13">
        <v>83998</v>
      </c>
      <c r="K589" s="13">
        <v>17768.689999999999</v>
      </c>
      <c r="L589" s="8" t="s">
        <v>500</v>
      </c>
      <c r="M589" s="19" t="s">
        <v>90</v>
      </c>
      <c r="N589" s="9" t="s">
        <v>22</v>
      </c>
      <c r="O589" s="9" t="s">
        <v>45</v>
      </c>
      <c r="P589">
        <f>DATEVALUE(OnePlusSalesData[[#This Row],[order_date]])</f>
        <v>43414</v>
      </c>
      <c r="Q589" s="28">
        <f>DATEVALUE(OnePlusSalesData[[#This Row],[delivery_date]])</f>
        <v>43418</v>
      </c>
    </row>
    <row r="590" spans="1:17" ht="16" x14ac:dyDescent="0.45">
      <c r="A590" s="2" t="s">
        <v>1370</v>
      </c>
      <c r="B590" s="2" t="s">
        <v>25</v>
      </c>
      <c r="C590" s="3" t="s">
        <v>172</v>
      </c>
      <c r="D590" s="3" t="s">
        <v>40</v>
      </c>
      <c r="E590" s="3" t="s">
        <v>41</v>
      </c>
      <c r="F590" s="4">
        <v>37999</v>
      </c>
      <c r="G590" s="5">
        <v>1</v>
      </c>
      <c r="H590" s="6">
        <v>0</v>
      </c>
      <c r="I590" s="7">
        <v>0</v>
      </c>
      <c r="J590" s="7">
        <v>37999</v>
      </c>
      <c r="K590" s="7">
        <v>5929.87</v>
      </c>
      <c r="L590" s="2" t="s">
        <v>749</v>
      </c>
      <c r="M590" s="18" t="s">
        <v>1284</v>
      </c>
      <c r="N590" s="3" t="s">
        <v>22</v>
      </c>
      <c r="O590" s="3" t="s">
        <v>23</v>
      </c>
      <c r="P590">
        <f>DATEVALUE(OnePlusSalesData[[#This Row],[order_date]])</f>
        <v>43174</v>
      </c>
      <c r="Q590" s="28">
        <f>DATEVALUE(OnePlusSalesData[[#This Row],[delivery_date]])</f>
        <v>43178</v>
      </c>
    </row>
    <row r="591" spans="1:17" ht="16" x14ac:dyDescent="0.45">
      <c r="A591" s="8" t="s">
        <v>1371</v>
      </c>
      <c r="B591" s="8" t="s">
        <v>16</v>
      </c>
      <c r="C591" s="9" t="s">
        <v>17</v>
      </c>
      <c r="D591" s="9" t="s">
        <v>40</v>
      </c>
      <c r="E591" s="9" t="s">
        <v>47</v>
      </c>
      <c r="F591" s="10">
        <v>37999</v>
      </c>
      <c r="G591" s="11">
        <v>1</v>
      </c>
      <c r="H591" s="12">
        <v>0.05</v>
      </c>
      <c r="I591" s="13">
        <v>1899.95</v>
      </c>
      <c r="J591" s="13">
        <v>36099.050000000003</v>
      </c>
      <c r="K591" s="13">
        <v>6088.11</v>
      </c>
      <c r="L591" s="8" t="s">
        <v>781</v>
      </c>
      <c r="M591" s="19" t="s">
        <v>1372</v>
      </c>
      <c r="N591" s="9" t="s">
        <v>22</v>
      </c>
      <c r="O591" s="9" t="s">
        <v>31</v>
      </c>
      <c r="P591">
        <f>DATEVALUE(OnePlusSalesData[[#This Row],[order_date]])</f>
        <v>43425</v>
      </c>
      <c r="Q591" s="28">
        <f>DATEVALUE(OnePlusSalesData[[#This Row],[delivery_date]])</f>
        <v>43428</v>
      </c>
    </row>
    <row r="592" spans="1:17" ht="16" x14ac:dyDescent="0.45">
      <c r="A592" s="2" t="s">
        <v>1373</v>
      </c>
      <c r="B592" s="2" t="s">
        <v>25</v>
      </c>
      <c r="C592" s="3" t="s">
        <v>120</v>
      </c>
      <c r="D592" s="3" t="s">
        <v>40</v>
      </c>
      <c r="E592" s="3" t="s">
        <v>73</v>
      </c>
      <c r="F592" s="4">
        <v>32999</v>
      </c>
      <c r="G592" s="5">
        <v>2</v>
      </c>
      <c r="H592" s="6">
        <v>0</v>
      </c>
      <c r="I592" s="7">
        <v>0</v>
      </c>
      <c r="J592" s="7">
        <v>65998</v>
      </c>
      <c r="K592" s="7">
        <v>9778.56</v>
      </c>
      <c r="L592" s="2" t="s">
        <v>1012</v>
      </c>
      <c r="M592" s="18" t="s">
        <v>500</v>
      </c>
      <c r="N592" s="3" t="s">
        <v>22</v>
      </c>
      <c r="O592" s="3" t="s">
        <v>31</v>
      </c>
      <c r="P592">
        <f>DATEVALUE(OnePlusSalesData[[#This Row],[order_date]])</f>
        <v>43410</v>
      </c>
      <c r="Q592" s="28">
        <f>DATEVALUE(OnePlusSalesData[[#This Row],[delivery_date]])</f>
        <v>43414</v>
      </c>
    </row>
    <row r="593" spans="1:17" ht="16" x14ac:dyDescent="0.45">
      <c r="A593" s="8" t="s">
        <v>1374</v>
      </c>
      <c r="B593" s="8" t="s">
        <v>52</v>
      </c>
      <c r="C593" s="9" t="s">
        <v>106</v>
      </c>
      <c r="D593" s="9" t="s">
        <v>85</v>
      </c>
      <c r="E593" s="9" t="s">
        <v>258</v>
      </c>
      <c r="F593" s="10">
        <v>2999</v>
      </c>
      <c r="G593" s="11">
        <v>3</v>
      </c>
      <c r="H593" s="12">
        <v>0.05</v>
      </c>
      <c r="I593" s="13">
        <v>449.85</v>
      </c>
      <c r="J593" s="13">
        <v>8547.15</v>
      </c>
      <c r="K593" s="13">
        <v>1901.47</v>
      </c>
      <c r="L593" s="8" t="s">
        <v>1375</v>
      </c>
      <c r="M593" s="19" t="s">
        <v>173</v>
      </c>
      <c r="N593" s="9" t="s">
        <v>92</v>
      </c>
      <c r="O593" s="9" t="s">
        <v>23</v>
      </c>
      <c r="P593">
        <f>DATEVALUE(OnePlusSalesData[[#This Row],[order_date]])</f>
        <v>43455</v>
      </c>
      <c r="Q593" s="28">
        <f>DATEVALUE(OnePlusSalesData[[#This Row],[delivery_date]])</f>
        <v>43457</v>
      </c>
    </row>
    <row r="594" spans="1:17" ht="16" x14ac:dyDescent="0.45">
      <c r="A594" s="2" t="s">
        <v>1376</v>
      </c>
      <c r="B594" s="2" t="s">
        <v>16</v>
      </c>
      <c r="C594" s="3" t="s">
        <v>152</v>
      </c>
      <c r="D594" s="3" t="s">
        <v>85</v>
      </c>
      <c r="E594" s="3" t="s">
        <v>228</v>
      </c>
      <c r="F594" s="4">
        <v>5990</v>
      </c>
      <c r="G594" s="5">
        <v>3</v>
      </c>
      <c r="H594" s="6">
        <v>0.05</v>
      </c>
      <c r="I594" s="7">
        <v>898.5</v>
      </c>
      <c r="J594" s="7">
        <v>17071.5</v>
      </c>
      <c r="K594" s="7">
        <v>2670.77</v>
      </c>
      <c r="L594" s="2" t="s">
        <v>1377</v>
      </c>
      <c r="M594" s="18" t="s">
        <v>1378</v>
      </c>
      <c r="N594" s="3" t="s">
        <v>50</v>
      </c>
      <c r="O594" s="3" t="s">
        <v>96</v>
      </c>
      <c r="P594">
        <f>DATEVALUE(OnePlusSalesData[[#This Row],[order_date]])</f>
        <v>43935</v>
      </c>
      <c r="Q594" s="28">
        <f>DATEVALUE(OnePlusSalesData[[#This Row],[delivery_date]])</f>
        <v>43939</v>
      </c>
    </row>
    <row r="595" spans="1:17" ht="16" x14ac:dyDescent="0.45">
      <c r="A595" s="8" t="s">
        <v>1379</v>
      </c>
      <c r="B595" s="8" t="s">
        <v>58</v>
      </c>
      <c r="C595" s="9" t="s">
        <v>81</v>
      </c>
      <c r="D595" s="9" t="s">
        <v>34</v>
      </c>
      <c r="E595" s="9" t="s">
        <v>77</v>
      </c>
      <c r="F595" s="10">
        <v>24999</v>
      </c>
      <c r="G595" s="11">
        <v>1</v>
      </c>
      <c r="H595" s="12">
        <v>0.08</v>
      </c>
      <c r="I595" s="13">
        <v>1999.92</v>
      </c>
      <c r="J595" s="13">
        <v>22999.08</v>
      </c>
      <c r="K595" s="13">
        <v>4686.7</v>
      </c>
      <c r="L595" s="8" t="s">
        <v>1091</v>
      </c>
      <c r="M595" s="19" t="s">
        <v>688</v>
      </c>
      <c r="N595" s="9" t="s">
        <v>22</v>
      </c>
      <c r="O595" s="9" t="s">
        <v>31</v>
      </c>
      <c r="P595">
        <f>DATEVALUE(OnePlusSalesData[[#This Row],[order_date]])</f>
        <v>44070</v>
      </c>
      <c r="Q595" s="28">
        <f>DATEVALUE(OnePlusSalesData[[#This Row],[delivery_date]])</f>
        <v>44072</v>
      </c>
    </row>
    <row r="596" spans="1:17" ht="16" x14ac:dyDescent="0.45">
      <c r="A596" s="2" t="s">
        <v>1380</v>
      </c>
      <c r="B596" s="2" t="s">
        <v>16</v>
      </c>
      <c r="C596" s="3" t="s">
        <v>39</v>
      </c>
      <c r="D596" s="3" t="s">
        <v>40</v>
      </c>
      <c r="E596" s="3" t="s">
        <v>73</v>
      </c>
      <c r="F596" s="4">
        <v>32999</v>
      </c>
      <c r="G596" s="5">
        <v>1</v>
      </c>
      <c r="H596" s="6">
        <v>0.05</v>
      </c>
      <c r="I596" s="7">
        <v>1649.95</v>
      </c>
      <c r="J596" s="7">
        <v>31349.05</v>
      </c>
      <c r="K596" s="7">
        <v>7105.76</v>
      </c>
      <c r="L596" s="2" t="s">
        <v>322</v>
      </c>
      <c r="M596" s="18" t="s">
        <v>323</v>
      </c>
      <c r="N596" s="3" t="s">
        <v>22</v>
      </c>
      <c r="O596" s="3" t="s">
        <v>31</v>
      </c>
      <c r="P596">
        <f>DATEVALUE(OnePlusSalesData[[#This Row],[order_date]])</f>
        <v>43217</v>
      </c>
      <c r="Q596" s="28">
        <f>DATEVALUE(OnePlusSalesData[[#This Row],[delivery_date]])</f>
        <v>43220</v>
      </c>
    </row>
    <row r="597" spans="1:17" ht="16" x14ac:dyDescent="0.45">
      <c r="A597" s="8" t="s">
        <v>1381</v>
      </c>
      <c r="B597" s="8" t="s">
        <v>25</v>
      </c>
      <c r="C597" s="9" t="s">
        <v>26</v>
      </c>
      <c r="D597" s="9" t="s">
        <v>85</v>
      </c>
      <c r="E597" s="9" t="s">
        <v>265</v>
      </c>
      <c r="F597" s="10">
        <v>4990</v>
      </c>
      <c r="G597" s="11">
        <v>1</v>
      </c>
      <c r="H597" s="12">
        <v>0.05</v>
      </c>
      <c r="I597" s="13">
        <v>249.5</v>
      </c>
      <c r="J597" s="13">
        <v>4740.5</v>
      </c>
      <c r="K597" s="13">
        <v>767.07</v>
      </c>
      <c r="L597" s="8" t="s">
        <v>1382</v>
      </c>
      <c r="M597" s="19" t="s">
        <v>1383</v>
      </c>
      <c r="N597" s="9" t="s">
        <v>22</v>
      </c>
      <c r="O597" s="9" t="s">
        <v>23</v>
      </c>
      <c r="P597">
        <f>DATEVALUE(OnePlusSalesData[[#This Row],[order_date]])</f>
        <v>43516</v>
      </c>
      <c r="Q597" s="28">
        <f>DATEVALUE(OnePlusSalesData[[#This Row],[delivery_date]])</f>
        <v>43521</v>
      </c>
    </row>
    <row r="598" spans="1:17" ht="16" x14ac:dyDescent="0.45">
      <c r="A598" s="2" t="s">
        <v>1384</v>
      </c>
      <c r="B598" s="2" t="s">
        <v>16</v>
      </c>
      <c r="C598" s="3" t="s">
        <v>33</v>
      </c>
      <c r="D598" s="3" t="s">
        <v>85</v>
      </c>
      <c r="E598" s="3" t="s">
        <v>265</v>
      </c>
      <c r="F598" s="4">
        <v>4990</v>
      </c>
      <c r="G598" s="5">
        <v>3</v>
      </c>
      <c r="H598" s="6">
        <v>0.08</v>
      </c>
      <c r="I598" s="7">
        <v>1197.5999999999999</v>
      </c>
      <c r="J598" s="7">
        <v>13772.4</v>
      </c>
      <c r="K598" s="7">
        <v>2103.67</v>
      </c>
      <c r="L598" s="2" t="s">
        <v>205</v>
      </c>
      <c r="M598" s="18" t="s">
        <v>1385</v>
      </c>
      <c r="N598" s="3" t="s">
        <v>50</v>
      </c>
      <c r="O598" s="3" t="s">
        <v>63</v>
      </c>
      <c r="P598">
        <f>DATEVALUE(OnePlusSalesData[[#This Row],[order_date]])</f>
        <v>44194</v>
      </c>
      <c r="Q598" s="28">
        <f>DATEVALUE(OnePlusSalesData[[#This Row],[delivery_date]])</f>
        <v>44201</v>
      </c>
    </row>
    <row r="599" spans="1:17" ht="16" x14ac:dyDescent="0.45">
      <c r="A599" s="8" t="s">
        <v>1386</v>
      </c>
      <c r="B599" s="8" t="s">
        <v>25</v>
      </c>
      <c r="C599" s="9" t="s">
        <v>120</v>
      </c>
      <c r="D599" s="9" t="s">
        <v>18</v>
      </c>
      <c r="E599" s="9" t="s">
        <v>102</v>
      </c>
      <c r="F599" s="10">
        <v>1490</v>
      </c>
      <c r="G599" s="11">
        <v>3</v>
      </c>
      <c r="H599" s="12">
        <v>0.08</v>
      </c>
      <c r="I599" s="13">
        <v>357.6</v>
      </c>
      <c r="J599" s="13">
        <v>4112.3999999999996</v>
      </c>
      <c r="K599" s="13">
        <v>894.73</v>
      </c>
      <c r="L599" s="8" t="s">
        <v>485</v>
      </c>
      <c r="M599" s="19" t="s">
        <v>614</v>
      </c>
      <c r="N599" s="9" t="s">
        <v>22</v>
      </c>
      <c r="O599" s="9" t="s">
        <v>23</v>
      </c>
      <c r="P599">
        <f>DATEVALUE(OnePlusSalesData[[#This Row],[order_date]])</f>
        <v>43233</v>
      </c>
      <c r="Q599" s="28">
        <f>DATEVALUE(OnePlusSalesData[[#This Row],[delivery_date]])</f>
        <v>43236</v>
      </c>
    </row>
    <row r="600" spans="1:17" ht="16" x14ac:dyDescent="0.45">
      <c r="A600" s="2" t="s">
        <v>1387</v>
      </c>
      <c r="B600" s="2" t="s">
        <v>16</v>
      </c>
      <c r="C600" s="3" t="s">
        <v>140</v>
      </c>
      <c r="D600" s="3" t="s">
        <v>18</v>
      </c>
      <c r="E600" s="3" t="s">
        <v>19</v>
      </c>
      <c r="F600" s="4">
        <v>1990</v>
      </c>
      <c r="G600" s="5">
        <v>1</v>
      </c>
      <c r="H600" s="6">
        <v>0.08</v>
      </c>
      <c r="I600" s="7">
        <v>159.19999999999999</v>
      </c>
      <c r="J600" s="7">
        <v>1830.8</v>
      </c>
      <c r="K600" s="7">
        <v>430.97</v>
      </c>
      <c r="L600" s="2" t="s">
        <v>457</v>
      </c>
      <c r="M600" s="18" t="s">
        <v>805</v>
      </c>
      <c r="N600" s="3" t="s">
        <v>22</v>
      </c>
      <c r="O600" s="3" t="s">
        <v>31</v>
      </c>
      <c r="P600">
        <f>DATEVALUE(OnePlusSalesData[[#This Row],[order_date]])</f>
        <v>43325</v>
      </c>
      <c r="Q600" s="28">
        <f>DATEVALUE(OnePlusSalesData[[#This Row],[delivery_date]])</f>
        <v>43332</v>
      </c>
    </row>
    <row r="601" spans="1:17" ht="16" x14ac:dyDescent="0.45">
      <c r="A601" s="8" t="s">
        <v>1388</v>
      </c>
      <c r="B601" s="8" t="s">
        <v>16</v>
      </c>
      <c r="C601" s="9" t="s">
        <v>17</v>
      </c>
      <c r="D601" s="9" t="s">
        <v>34</v>
      </c>
      <c r="E601" s="9" t="s">
        <v>77</v>
      </c>
      <c r="F601" s="10">
        <v>24999</v>
      </c>
      <c r="G601" s="11">
        <v>1</v>
      </c>
      <c r="H601" s="12">
        <v>0.12</v>
      </c>
      <c r="I601" s="13">
        <v>2999.88</v>
      </c>
      <c r="J601" s="13">
        <v>21999.119999999999</v>
      </c>
      <c r="K601" s="13">
        <v>4230.01</v>
      </c>
      <c r="L601" s="8" t="s">
        <v>813</v>
      </c>
      <c r="M601" s="19" t="s">
        <v>1389</v>
      </c>
      <c r="N601" s="9" t="s">
        <v>92</v>
      </c>
      <c r="O601" s="9" t="s">
        <v>63</v>
      </c>
      <c r="P601">
        <f>DATEVALUE(OnePlusSalesData[[#This Row],[order_date]])</f>
        <v>43843</v>
      </c>
      <c r="Q601" s="28">
        <f>DATEVALUE(OnePlusSalesData[[#This Row],[delivery_date]])</f>
        <v>43849</v>
      </c>
    </row>
    <row r="602" spans="1:17" ht="16" x14ac:dyDescent="0.45">
      <c r="A602" s="2" t="s">
        <v>1390</v>
      </c>
      <c r="B602" s="2" t="s">
        <v>16</v>
      </c>
      <c r="C602" s="3" t="s">
        <v>17</v>
      </c>
      <c r="D602" s="3" t="s">
        <v>40</v>
      </c>
      <c r="E602" s="3" t="s">
        <v>148</v>
      </c>
      <c r="F602" s="4">
        <v>41999</v>
      </c>
      <c r="G602" s="5">
        <v>1</v>
      </c>
      <c r="H602" s="6">
        <v>0.05</v>
      </c>
      <c r="I602" s="7">
        <v>2099.9499999999998</v>
      </c>
      <c r="J602" s="7">
        <v>39899.050000000003</v>
      </c>
      <c r="K602" s="7">
        <v>7429.48</v>
      </c>
      <c r="L602" s="2" t="s">
        <v>21</v>
      </c>
      <c r="M602" s="18" t="s">
        <v>617</v>
      </c>
      <c r="N602" s="3" t="s">
        <v>22</v>
      </c>
      <c r="O602" s="3" t="s">
        <v>45</v>
      </c>
      <c r="P602">
        <f>DATEVALUE(OnePlusSalesData[[#This Row],[order_date]])</f>
        <v>43571</v>
      </c>
      <c r="Q602" s="28">
        <f>DATEVALUE(OnePlusSalesData[[#This Row],[delivery_date]])</f>
        <v>43576</v>
      </c>
    </row>
    <row r="603" spans="1:17" ht="16" x14ac:dyDescent="0.45">
      <c r="A603" s="8" t="s">
        <v>1391</v>
      </c>
      <c r="B603" s="8" t="s">
        <v>52</v>
      </c>
      <c r="C603" s="9" t="s">
        <v>69</v>
      </c>
      <c r="D603" s="9" t="s">
        <v>34</v>
      </c>
      <c r="E603" s="9" t="s">
        <v>77</v>
      </c>
      <c r="F603" s="10">
        <v>24999</v>
      </c>
      <c r="G603" s="11">
        <v>4</v>
      </c>
      <c r="H603" s="12">
        <v>0.1</v>
      </c>
      <c r="I603" s="13">
        <v>9999.6</v>
      </c>
      <c r="J603" s="13">
        <v>89996.4</v>
      </c>
      <c r="K603" s="13">
        <v>14441.91</v>
      </c>
      <c r="L603" s="8" t="s">
        <v>1392</v>
      </c>
      <c r="M603" s="19" t="s">
        <v>374</v>
      </c>
      <c r="N603" s="9" t="s">
        <v>22</v>
      </c>
      <c r="O603" s="9" t="s">
        <v>63</v>
      </c>
      <c r="P603">
        <f>DATEVALUE(OnePlusSalesData[[#This Row],[order_date]])</f>
        <v>44163</v>
      </c>
      <c r="Q603" s="28">
        <f>DATEVALUE(OnePlusSalesData[[#This Row],[delivery_date]])</f>
        <v>44168</v>
      </c>
    </row>
    <row r="604" spans="1:17" ht="16" x14ac:dyDescent="0.45">
      <c r="A604" s="2" t="s">
        <v>1393</v>
      </c>
      <c r="B604" s="2" t="s">
        <v>52</v>
      </c>
      <c r="C604" s="3" t="s">
        <v>69</v>
      </c>
      <c r="D604" s="3" t="s">
        <v>40</v>
      </c>
      <c r="E604" s="3" t="s">
        <v>98</v>
      </c>
      <c r="F604" s="4">
        <v>34999</v>
      </c>
      <c r="G604" s="5">
        <v>5</v>
      </c>
      <c r="H604" s="6">
        <v>0</v>
      </c>
      <c r="I604" s="7">
        <v>0</v>
      </c>
      <c r="J604" s="7">
        <v>174995</v>
      </c>
      <c r="K604" s="7">
        <v>29182.37</v>
      </c>
      <c r="L604" s="2" t="s">
        <v>187</v>
      </c>
      <c r="M604" s="18" t="s">
        <v>1394</v>
      </c>
      <c r="N604" s="3" t="s">
        <v>44</v>
      </c>
      <c r="O604" s="3" t="s">
        <v>23</v>
      </c>
      <c r="P604">
        <f>DATEVALUE(OnePlusSalesData[[#This Row],[order_date]])</f>
        <v>43835</v>
      </c>
      <c r="Q604" s="28">
        <f>DATEVALUE(OnePlusSalesData[[#This Row],[delivery_date]])</f>
        <v>43842</v>
      </c>
    </row>
    <row r="605" spans="1:17" ht="16" x14ac:dyDescent="0.45">
      <c r="A605" s="8" t="s">
        <v>1395</v>
      </c>
      <c r="B605" s="8" t="s">
        <v>52</v>
      </c>
      <c r="C605" s="9" t="s">
        <v>53</v>
      </c>
      <c r="D605" s="9" t="s">
        <v>40</v>
      </c>
      <c r="E605" s="9" t="s">
        <v>98</v>
      </c>
      <c r="F605" s="10">
        <v>34999</v>
      </c>
      <c r="G605" s="11">
        <v>1</v>
      </c>
      <c r="H605" s="12">
        <v>0.05</v>
      </c>
      <c r="I605" s="13">
        <v>1749.95</v>
      </c>
      <c r="J605" s="13">
        <v>33249.050000000003</v>
      </c>
      <c r="K605" s="13">
        <v>5672.66</v>
      </c>
      <c r="L605" s="8" t="s">
        <v>1237</v>
      </c>
      <c r="M605" s="19" t="s">
        <v>1396</v>
      </c>
      <c r="N605" s="9" t="s">
        <v>92</v>
      </c>
      <c r="O605" s="9" t="s">
        <v>63</v>
      </c>
      <c r="P605">
        <f>DATEVALUE(OnePlusSalesData[[#This Row],[order_date]])</f>
        <v>43997</v>
      </c>
      <c r="Q605" s="28">
        <f>DATEVALUE(OnePlusSalesData[[#This Row],[delivery_date]])</f>
        <v>43999</v>
      </c>
    </row>
    <row r="606" spans="1:17" ht="16" x14ac:dyDescent="0.45">
      <c r="A606" s="2" t="s">
        <v>1397</v>
      </c>
      <c r="B606" s="2" t="s">
        <v>25</v>
      </c>
      <c r="C606" s="3" t="s">
        <v>172</v>
      </c>
      <c r="D606" s="3" t="s">
        <v>18</v>
      </c>
      <c r="E606" s="3" t="s">
        <v>179</v>
      </c>
      <c r="F606" s="4">
        <v>1290</v>
      </c>
      <c r="G606" s="5">
        <v>1</v>
      </c>
      <c r="H606" s="6">
        <v>0.08</v>
      </c>
      <c r="I606" s="7">
        <v>103.2</v>
      </c>
      <c r="J606" s="7">
        <v>1186.8</v>
      </c>
      <c r="K606" s="7">
        <v>283.64999999999998</v>
      </c>
      <c r="L606" s="2" t="s">
        <v>232</v>
      </c>
      <c r="M606" s="18" t="s">
        <v>1398</v>
      </c>
      <c r="N606" s="3" t="s">
        <v>22</v>
      </c>
      <c r="O606" s="3" t="s">
        <v>63</v>
      </c>
      <c r="P606">
        <f>DATEVALUE(OnePlusSalesData[[#This Row],[order_date]])</f>
        <v>43877</v>
      </c>
      <c r="Q606" s="28">
        <f>DATEVALUE(OnePlusSalesData[[#This Row],[delivery_date]])</f>
        <v>43880</v>
      </c>
    </row>
    <row r="607" spans="1:17" ht="16" x14ac:dyDescent="0.45">
      <c r="A607" s="8" t="s">
        <v>1399</v>
      </c>
      <c r="B607" s="8" t="s">
        <v>58</v>
      </c>
      <c r="C607" s="9" t="s">
        <v>113</v>
      </c>
      <c r="D607" s="9" t="s">
        <v>85</v>
      </c>
      <c r="E607" s="9" t="s">
        <v>86</v>
      </c>
      <c r="F607" s="10">
        <v>1999</v>
      </c>
      <c r="G607" s="11">
        <v>1</v>
      </c>
      <c r="H607" s="12">
        <v>0.12</v>
      </c>
      <c r="I607" s="13">
        <v>239.88</v>
      </c>
      <c r="J607" s="13">
        <v>1759.12</v>
      </c>
      <c r="K607" s="13">
        <v>317.68</v>
      </c>
      <c r="L607" s="8" t="s">
        <v>1319</v>
      </c>
      <c r="M607" s="19" t="s">
        <v>343</v>
      </c>
      <c r="N607" s="9" t="s">
        <v>44</v>
      </c>
      <c r="O607" s="9" t="s">
        <v>63</v>
      </c>
      <c r="P607">
        <f>DATEVALUE(OnePlusSalesData[[#This Row],[order_date]])</f>
        <v>44108</v>
      </c>
      <c r="Q607" s="28">
        <f>DATEVALUE(OnePlusSalesData[[#This Row],[delivery_date]])</f>
        <v>44110</v>
      </c>
    </row>
    <row r="608" spans="1:17" ht="16" x14ac:dyDescent="0.45">
      <c r="A608" s="2" t="s">
        <v>1400</v>
      </c>
      <c r="B608" s="2" t="s">
        <v>52</v>
      </c>
      <c r="C608" s="3" t="s">
        <v>358</v>
      </c>
      <c r="D608" s="3" t="s">
        <v>85</v>
      </c>
      <c r="E608" s="3" t="s">
        <v>265</v>
      </c>
      <c r="F608" s="4">
        <v>4990</v>
      </c>
      <c r="G608" s="5">
        <v>2</v>
      </c>
      <c r="H608" s="6">
        <v>0.05</v>
      </c>
      <c r="I608" s="7">
        <v>499</v>
      </c>
      <c r="J608" s="7">
        <v>9481</v>
      </c>
      <c r="K608" s="7">
        <v>1392.3</v>
      </c>
      <c r="L608" s="2" t="s">
        <v>1041</v>
      </c>
      <c r="M608" s="18" t="s">
        <v>1042</v>
      </c>
      <c r="N608" s="3" t="s">
        <v>22</v>
      </c>
      <c r="O608" s="3" t="s">
        <v>23</v>
      </c>
      <c r="P608">
        <f>DATEVALUE(OnePlusSalesData[[#This Row],[order_date]])</f>
        <v>43371</v>
      </c>
      <c r="Q608" s="28">
        <f>DATEVALUE(OnePlusSalesData[[#This Row],[delivery_date]])</f>
        <v>43375</v>
      </c>
    </row>
    <row r="609" spans="1:17" ht="16" x14ac:dyDescent="0.45">
      <c r="A609" s="8" t="s">
        <v>1401</v>
      </c>
      <c r="B609" s="8" t="s">
        <v>25</v>
      </c>
      <c r="C609" s="9" t="s">
        <v>65</v>
      </c>
      <c r="D609" s="9" t="s">
        <v>18</v>
      </c>
      <c r="E609" s="9" t="s">
        <v>124</v>
      </c>
      <c r="F609" s="10">
        <v>3990</v>
      </c>
      <c r="G609" s="11">
        <v>1</v>
      </c>
      <c r="H609" s="12">
        <v>0</v>
      </c>
      <c r="I609" s="13">
        <v>0</v>
      </c>
      <c r="J609" s="13">
        <v>3990</v>
      </c>
      <c r="K609" s="13">
        <v>879.76</v>
      </c>
      <c r="L609" s="8" t="s">
        <v>469</v>
      </c>
      <c r="M609" s="19" t="s">
        <v>1337</v>
      </c>
      <c r="N609" s="9" t="s">
        <v>44</v>
      </c>
      <c r="O609" s="9" t="s">
        <v>31</v>
      </c>
      <c r="P609">
        <f>DATEVALUE(OnePlusSalesData[[#This Row],[order_date]])</f>
        <v>43458</v>
      </c>
      <c r="Q609" s="28">
        <f>DATEVALUE(OnePlusSalesData[[#This Row],[delivery_date]])</f>
        <v>43465</v>
      </c>
    </row>
    <row r="610" spans="1:17" ht="16" x14ac:dyDescent="0.45">
      <c r="A610" s="2" t="s">
        <v>1402</v>
      </c>
      <c r="B610" s="2" t="s">
        <v>16</v>
      </c>
      <c r="C610" s="3" t="s">
        <v>17</v>
      </c>
      <c r="D610" s="3" t="s">
        <v>40</v>
      </c>
      <c r="E610" s="3" t="s">
        <v>60</v>
      </c>
      <c r="F610" s="4">
        <v>54999</v>
      </c>
      <c r="G610" s="5">
        <v>3</v>
      </c>
      <c r="H610" s="6">
        <v>0.1</v>
      </c>
      <c r="I610" s="7">
        <v>16499.7</v>
      </c>
      <c r="J610" s="7">
        <v>148497.29999999999</v>
      </c>
      <c r="K610" s="7">
        <v>34333.199999999997</v>
      </c>
      <c r="L610" s="2" t="s">
        <v>1403</v>
      </c>
      <c r="M610" s="18" t="s">
        <v>573</v>
      </c>
      <c r="N610" s="3" t="s">
        <v>22</v>
      </c>
      <c r="O610" s="3" t="s">
        <v>63</v>
      </c>
      <c r="P610">
        <f>DATEVALUE(OnePlusSalesData[[#This Row],[order_date]])</f>
        <v>43888</v>
      </c>
      <c r="Q610" s="28">
        <f>DATEVALUE(OnePlusSalesData[[#This Row],[delivery_date]])</f>
        <v>43891</v>
      </c>
    </row>
    <row r="611" spans="1:17" ht="16" x14ac:dyDescent="0.45">
      <c r="A611" s="8" t="s">
        <v>1404</v>
      </c>
      <c r="B611" s="8" t="s">
        <v>16</v>
      </c>
      <c r="C611" s="9" t="s">
        <v>33</v>
      </c>
      <c r="D611" s="9" t="s">
        <v>18</v>
      </c>
      <c r="E611" s="9" t="s">
        <v>19</v>
      </c>
      <c r="F611" s="10">
        <v>1990</v>
      </c>
      <c r="G611" s="11">
        <v>2</v>
      </c>
      <c r="H611" s="12">
        <v>0.1</v>
      </c>
      <c r="I611" s="13">
        <v>398</v>
      </c>
      <c r="J611" s="13">
        <v>3582</v>
      </c>
      <c r="K611" s="13">
        <v>814.17</v>
      </c>
      <c r="L611" s="8" t="s">
        <v>1405</v>
      </c>
      <c r="M611" s="19" t="s">
        <v>600</v>
      </c>
      <c r="N611" s="9" t="s">
        <v>22</v>
      </c>
      <c r="O611" s="9" t="s">
        <v>63</v>
      </c>
      <c r="P611">
        <f>DATEVALUE(OnePlusSalesData[[#This Row],[order_date]])</f>
        <v>43986</v>
      </c>
      <c r="Q611" s="28">
        <f>DATEVALUE(OnePlusSalesData[[#This Row],[delivery_date]])</f>
        <v>43992</v>
      </c>
    </row>
    <row r="612" spans="1:17" ht="16" x14ac:dyDescent="0.45">
      <c r="A612" s="2" t="s">
        <v>1406</v>
      </c>
      <c r="B612" s="2" t="s">
        <v>52</v>
      </c>
      <c r="C612" s="3" t="s">
        <v>106</v>
      </c>
      <c r="D612" s="3" t="s">
        <v>18</v>
      </c>
      <c r="E612" s="3" t="s">
        <v>124</v>
      </c>
      <c r="F612" s="4">
        <v>3990</v>
      </c>
      <c r="G612" s="5">
        <v>1</v>
      </c>
      <c r="H612" s="6">
        <v>0.1</v>
      </c>
      <c r="I612" s="7">
        <v>399</v>
      </c>
      <c r="J612" s="7">
        <v>3591</v>
      </c>
      <c r="K612" s="7">
        <v>643.54</v>
      </c>
      <c r="L612" s="2" t="s">
        <v>859</v>
      </c>
      <c r="M612" s="18" t="s">
        <v>583</v>
      </c>
      <c r="N612" s="3" t="s">
        <v>22</v>
      </c>
      <c r="O612" s="3" t="s">
        <v>23</v>
      </c>
      <c r="P612">
        <f>DATEVALUE(OnePlusSalesData[[#This Row],[order_date]])</f>
        <v>43611</v>
      </c>
      <c r="Q612" s="28">
        <f>DATEVALUE(OnePlusSalesData[[#This Row],[delivery_date]])</f>
        <v>43615</v>
      </c>
    </row>
    <row r="613" spans="1:17" ht="16" x14ac:dyDescent="0.45">
      <c r="A613" s="8" t="s">
        <v>1407</v>
      </c>
      <c r="B613" s="8" t="s">
        <v>52</v>
      </c>
      <c r="C613" s="9" t="s">
        <v>69</v>
      </c>
      <c r="D613" s="9" t="s">
        <v>40</v>
      </c>
      <c r="E613" s="9" t="s">
        <v>60</v>
      </c>
      <c r="F613" s="10">
        <v>54999</v>
      </c>
      <c r="G613" s="11">
        <v>2</v>
      </c>
      <c r="H613" s="12">
        <v>0.08</v>
      </c>
      <c r="I613" s="13">
        <v>8799.84</v>
      </c>
      <c r="J613" s="13">
        <v>101198.16</v>
      </c>
      <c r="K613" s="13">
        <v>16667.93</v>
      </c>
      <c r="L613" s="8" t="s">
        <v>1408</v>
      </c>
      <c r="M613" s="19" t="s">
        <v>1409</v>
      </c>
      <c r="N613" s="9" t="s">
        <v>22</v>
      </c>
      <c r="O613" s="9" t="s">
        <v>23</v>
      </c>
      <c r="P613">
        <f>DATEVALUE(OnePlusSalesData[[#This Row],[order_date]])</f>
        <v>43776</v>
      </c>
      <c r="Q613" s="28">
        <f>DATEVALUE(OnePlusSalesData[[#This Row],[delivery_date]])</f>
        <v>43778</v>
      </c>
    </row>
    <row r="614" spans="1:17" ht="16" x14ac:dyDescent="0.45">
      <c r="A614" s="2" t="s">
        <v>1410</v>
      </c>
      <c r="B614" s="2" t="s">
        <v>52</v>
      </c>
      <c r="C614" s="3" t="s">
        <v>358</v>
      </c>
      <c r="D614" s="3" t="s">
        <v>40</v>
      </c>
      <c r="E614" s="3" t="s">
        <v>98</v>
      </c>
      <c r="F614" s="4">
        <v>34999</v>
      </c>
      <c r="G614" s="5">
        <v>1</v>
      </c>
      <c r="H614" s="6">
        <v>0.05</v>
      </c>
      <c r="I614" s="7">
        <v>1749.95</v>
      </c>
      <c r="J614" s="7">
        <v>33249.050000000003</v>
      </c>
      <c r="K614" s="7">
        <v>6024.6</v>
      </c>
      <c r="L614" s="2" t="s">
        <v>395</v>
      </c>
      <c r="M614" s="18" t="s">
        <v>749</v>
      </c>
      <c r="N614" s="3" t="s">
        <v>22</v>
      </c>
      <c r="O614" s="3" t="s">
        <v>63</v>
      </c>
      <c r="P614">
        <f>DATEVALUE(OnePlusSalesData[[#This Row],[order_date]])</f>
        <v>43167</v>
      </c>
      <c r="Q614" s="28">
        <f>DATEVALUE(OnePlusSalesData[[#This Row],[delivery_date]])</f>
        <v>43174</v>
      </c>
    </row>
    <row r="615" spans="1:17" ht="16" x14ac:dyDescent="0.45">
      <c r="A615" s="8" t="s">
        <v>1411</v>
      </c>
      <c r="B615" s="8" t="s">
        <v>52</v>
      </c>
      <c r="C615" s="9" t="s">
        <v>53</v>
      </c>
      <c r="D615" s="9" t="s">
        <v>18</v>
      </c>
      <c r="E615" s="9" t="s">
        <v>179</v>
      </c>
      <c r="F615" s="10">
        <v>1290</v>
      </c>
      <c r="G615" s="11">
        <v>3</v>
      </c>
      <c r="H615" s="12">
        <v>0</v>
      </c>
      <c r="I615" s="13">
        <v>0</v>
      </c>
      <c r="J615" s="13">
        <v>3870</v>
      </c>
      <c r="K615" s="13">
        <v>888.95</v>
      </c>
      <c r="L615" s="8" t="s">
        <v>1412</v>
      </c>
      <c r="M615" s="19" t="s">
        <v>1289</v>
      </c>
      <c r="N615" s="9" t="s">
        <v>22</v>
      </c>
      <c r="O615" s="9" t="s">
        <v>23</v>
      </c>
      <c r="P615">
        <f>DATEVALUE(OnePlusSalesData[[#This Row],[order_date]])</f>
        <v>43636</v>
      </c>
      <c r="Q615" s="28">
        <f>DATEVALUE(OnePlusSalesData[[#This Row],[delivery_date]])</f>
        <v>43641</v>
      </c>
    </row>
    <row r="616" spans="1:17" ht="16" x14ac:dyDescent="0.45">
      <c r="A616" s="2" t="s">
        <v>1413</v>
      </c>
      <c r="B616" s="2" t="s">
        <v>58</v>
      </c>
      <c r="C616" s="3" t="s">
        <v>59</v>
      </c>
      <c r="D616" s="3" t="s">
        <v>85</v>
      </c>
      <c r="E616" s="3" t="s">
        <v>265</v>
      </c>
      <c r="F616" s="4">
        <v>4990</v>
      </c>
      <c r="G616" s="5">
        <v>1</v>
      </c>
      <c r="H616" s="6">
        <v>0</v>
      </c>
      <c r="I616" s="7">
        <v>0</v>
      </c>
      <c r="J616" s="7">
        <v>4990</v>
      </c>
      <c r="K616" s="7">
        <v>1125.08</v>
      </c>
      <c r="L616" s="2" t="s">
        <v>386</v>
      </c>
      <c r="M616" s="18" t="s">
        <v>1414</v>
      </c>
      <c r="N616" s="3" t="s">
        <v>22</v>
      </c>
      <c r="O616" s="3" t="s">
        <v>31</v>
      </c>
      <c r="P616">
        <f>DATEVALUE(OnePlusSalesData[[#This Row],[order_date]])</f>
        <v>44082</v>
      </c>
      <c r="Q616" s="28">
        <f>DATEVALUE(OnePlusSalesData[[#This Row],[delivery_date]])</f>
        <v>44087</v>
      </c>
    </row>
    <row r="617" spans="1:17" ht="16" x14ac:dyDescent="0.45">
      <c r="A617" s="8" t="s">
        <v>1415</v>
      </c>
      <c r="B617" s="8" t="s">
        <v>25</v>
      </c>
      <c r="C617" s="9" t="s">
        <v>172</v>
      </c>
      <c r="D617" s="9" t="s">
        <v>40</v>
      </c>
      <c r="E617" s="9" t="s">
        <v>73</v>
      </c>
      <c r="F617" s="10">
        <v>32999</v>
      </c>
      <c r="G617" s="11">
        <v>5</v>
      </c>
      <c r="H617" s="12">
        <v>0</v>
      </c>
      <c r="I617" s="13">
        <v>0</v>
      </c>
      <c r="J617" s="13">
        <v>164995</v>
      </c>
      <c r="K617" s="13">
        <v>27219.67</v>
      </c>
      <c r="L617" s="8" t="s">
        <v>1416</v>
      </c>
      <c r="M617" s="19" t="s">
        <v>1417</v>
      </c>
      <c r="N617" s="9" t="s">
        <v>50</v>
      </c>
      <c r="O617" s="9" t="s">
        <v>63</v>
      </c>
      <c r="P617">
        <f>DATEVALUE(OnePlusSalesData[[#This Row],[order_date]])</f>
        <v>43343</v>
      </c>
      <c r="Q617" s="28">
        <f>DATEVALUE(OnePlusSalesData[[#This Row],[delivery_date]])</f>
        <v>43350</v>
      </c>
    </row>
    <row r="618" spans="1:17" ht="16" x14ac:dyDescent="0.45">
      <c r="A618" s="2" t="s">
        <v>1418</v>
      </c>
      <c r="B618" s="2" t="s">
        <v>16</v>
      </c>
      <c r="C618" s="3" t="s">
        <v>33</v>
      </c>
      <c r="D618" s="3" t="s">
        <v>18</v>
      </c>
      <c r="E618" s="3" t="s">
        <v>19</v>
      </c>
      <c r="F618" s="4">
        <v>1990</v>
      </c>
      <c r="G618" s="5">
        <v>1</v>
      </c>
      <c r="H618" s="6">
        <v>0.12</v>
      </c>
      <c r="I618" s="7">
        <v>238.8</v>
      </c>
      <c r="J618" s="7">
        <v>1751.2</v>
      </c>
      <c r="K618" s="7">
        <v>440.18</v>
      </c>
      <c r="L618" s="2" t="s">
        <v>1152</v>
      </c>
      <c r="M618" s="18" t="s">
        <v>1419</v>
      </c>
      <c r="N618" s="3" t="s">
        <v>22</v>
      </c>
      <c r="O618" s="3" t="s">
        <v>96</v>
      </c>
      <c r="P618">
        <f>DATEVALUE(OnePlusSalesData[[#This Row],[order_date]])</f>
        <v>43497</v>
      </c>
      <c r="Q618" s="28">
        <f>DATEVALUE(OnePlusSalesData[[#This Row],[delivery_date]])</f>
        <v>43500</v>
      </c>
    </row>
    <row r="619" spans="1:17" ht="16" x14ac:dyDescent="0.45">
      <c r="A619" s="8" t="s">
        <v>1420</v>
      </c>
      <c r="B619" s="8" t="s">
        <v>58</v>
      </c>
      <c r="C619" s="9" t="s">
        <v>113</v>
      </c>
      <c r="D619" s="9" t="s">
        <v>40</v>
      </c>
      <c r="E619" s="9" t="s">
        <v>148</v>
      </c>
      <c r="F619" s="10">
        <v>41999</v>
      </c>
      <c r="G619" s="11">
        <v>1</v>
      </c>
      <c r="H619" s="12">
        <v>0.12</v>
      </c>
      <c r="I619" s="13">
        <v>5039.88</v>
      </c>
      <c r="J619" s="13">
        <v>36959.120000000003</v>
      </c>
      <c r="K619" s="13">
        <v>6352.62</v>
      </c>
      <c r="L619" s="8" t="s">
        <v>522</v>
      </c>
      <c r="M619" s="19" t="s">
        <v>1421</v>
      </c>
      <c r="N619" s="9" t="s">
        <v>44</v>
      </c>
      <c r="O619" s="9" t="s">
        <v>23</v>
      </c>
      <c r="P619">
        <f>DATEVALUE(OnePlusSalesData[[#This Row],[order_date]])</f>
        <v>43261</v>
      </c>
      <c r="Q619" s="28">
        <f>DATEVALUE(OnePlusSalesData[[#This Row],[delivery_date]])</f>
        <v>43267</v>
      </c>
    </row>
    <row r="620" spans="1:17" ht="16" x14ac:dyDescent="0.45">
      <c r="A620" s="2" t="s">
        <v>1422</v>
      </c>
      <c r="B620" s="2" t="s">
        <v>52</v>
      </c>
      <c r="C620" s="3" t="s">
        <v>106</v>
      </c>
      <c r="D620" s="3" t="s">
        <v>27</v>
      </c>
      <c r="E620" s="3" t="s">
        <v>159</v>
      </c>
      <c r="F620" s="4">
        <v>22999</v>
      </c>
      <c r="G620" s="5">
        <v>1</v>
      </c>
      <c r="H620" s="6">
        <v>0.12</v>
      </c>
      <c r="I620" s="7">
        <v>2759.88</v>
      </c>
      <c r="J620" s="7">
        <v>20239.12</v>
      </c>
      <c r="K620" s="7">
        <v>4477.2700000000004</v>
      </c>
      <c r="L620" s="2" t="s">
        <v>1423</v>
      </c>
      <c r="M620" s="18" t="s">
        <v>1076</v>
      </c>
      <c r="N620" s="3" t="s">
        <v>22</v>
      </c>
      <c r="O620" s="3" t="s">
        <v>23</v>
      </c>
      <c r="P620">
        <f>DATEVALUE(OnePlusSalesData[[#This Row],[order_date]])</f>
        <v>44125</v>
      </c>
      <c r="Q620" s="28">
        <f>DATEVALUE(OnePlusSalesData[[#This Row],[delivery_date]])</f>
        <v>44130</v>
      </c>
    </row>
    <row r="621" spans="1:17" ht="16" x14ac:dyDescent="0.45">
      <c r="A621" s="8" t="s">
        <v>1424</v>
      </c>
      <c r="B621" s="8" t="s">
        <v>25</v>
      </c>
      <c r="C621" s="9" t="s">
        <v>133</v>
      </c>
      <c r="D621" s="9" t="s">
        <v>18</v>
      </c>
      <c r="E621" s="9" t="s">
        <v>124</v>
      </c>
      <c r="F621" s="10">
        <v>3990</v>
      </c>
      <c r="G621" s="11">
        <v>1</v>
      </c>
      <c r="H621" s="12">
        <v>0.1</v>
      </c>
      <c r="I621" s="13">
        <v>399</v>
      </c>
      <c r="J621" s="13">
        <v>3591</v>
      </c>
      <c r="K621" s="13">
        <v>563.66999999999996</v>
      </c>
      <c r="L621" s="8" t="s">
        <v>1425</v>
      </c>
      <c r="M621" s="19" t="s">
        <v>1426</v>
      </c>
      <c r="N621" s="9" t="s">
        <v>22</v>
      </c>
      <c r="O621" s="9" t="s">
        <v>23</v>
      </c>
      <c r="P621">
        <f>DATEVALUE(OnePlusSalesData[[#This Row],[order_date]])</f>
        <v>43719</v>
      </c>
      <c r="Q621" s="28">
        <f>DATEVALUE(OnePlusSalesData[[#This Row],[delivery_date]])</f>
        <v>43725</v>
      </c>
    </row>
    <row r="622" spans="1:17" ht="16" x14ac:dyDescent="0.45">
      <c r="A622" s="2" t="s">
        <v>1427</v>
      </c>
      <c r="B622" s="2" t="s">
        <v>25</v>
      </c>
      <c r="C622" s="3" t="s">
        <v>120</v>
      </c>
      <c r="D622" s="3" t="s">
        <v>27</v>
      </c>
      <c r="E622" s="3" t="s">
        <v>159</v>
      </c>
      <c r="F622" s="4">
        <v>22999</v>
      </c>
      <c r="G622" s="5">
        <v>1</v>
      </c>
      <c r="H622" s="6">
        <v>0.08</v>
      </c>
      <c r="I622" s="7">
        <v>1839.92</v>
      </c>
      <c r="J622" s="7">
        <v>21159.08</v>
      </c>
      <c r="K622" s="7">
        <v>4326.46</v>
      </c>
      <c r="L622" s="2" t="s">
        <v>1428</v>
      </c>
      <c r="M622" s="18" t="s">
        <v>434</v>
      </c>
      <c r="N622" s="3" t="s">
        <v>92</v>
      </c>
      <c r="O622" s="3" t="s">
        <v>63</v>
      </c>
      <c r="P622">
        <f>DATEVALUE(OnePlusSalesData[[#This Row],[order_date]])</f>
        <v>44145</v>
      </c>
      <c r="Q622" s="28">
        <f>DATEVALUE(OnePlusSalesData[[#This Row],[delivery_date]])</f>
        <v>44150</v>
      </c>
    </row>
    <row r="623" spans="1:17" ht="16" x14ac:dyDescent="0.45">
      <c r="A623" s="8" t="s">
        <v>1429</v>
      </c>
      <c r="B623" s="8" t="s">
        <v>25</v>
      </c>
      <c r="C623" s="9" t="s">
        <v>172</v>
      </c>
      <c r="D623" s="9" t="s">
        <v>27</v>
      </c>
      <c r="E623" s="9" t="s">
        <v>28</v>
      </c>
      <c r="F623" s="10">
        <v>12999</v>
      </c>
      <c r="G623" s="11">
        <v>1</v>
      </c>
      <c r="H623" s="12">
        <v>0.05</v>
      </c>
      <c r="I623" s="13">
        <v>649.95000000000005</v>
      </c>
      <c r="J623" s="13">
        <v>12349.05</v>
      </c>
      <c r="K623" s="13">
        <v>1937.21</v>
      </c>
      <c r="L623" s="8" t="s">
        <v>1200</v>
      </c>
      <c r="M623" s="19" t="s">
        <v>1117</v>
      </c>
      <c r="N623" s="9" t="s">
        <v>22</v>
      </c>
      <c r="O623" s="9" t="s">
        <v>23</v>
      </c>
      <c r="P623">
        <f>DATEVALUE(OnePlusSalesData[[#This Row],[order_date]])</f>
        <v>43579</v>
      </c>
      <c r="Q623" s="28">
        <f>DATEVALUE(OnePlusSalesData[[#This Row],[delivery_date]])</f>
        <v>43586</v>
      </c>
    </row>
    <row r="624" spans="1:17" ht="16" x14ac:dyDescent="0.45">
      <c r="A624" s="2" t="s">
        <v>1430</v>
      </c>
      <c r="B624" s="2" t="s">
        <v>25</v>
      </c>
      <c r="C624" s="3" t="s">
        <v>26</v>
      </c>
      <c r="D624" s="3" t="s">
        <v>40</v>
      </c>
      <c r="E624" s="3" t="s">
        <v>98</v>
      </c>
      <c r="F624" s="4">
        <v>34999</v>
      </c>
      <c r="G624" s="5">
        <v>5</v>
      </c>
      <c r="H624" s="6">
        <v>0.08</v>
      </c>
      <c r="I624" s="7">
        <v>13999.6</v>
      </c>
      <c r="J624" s="7">
        <v>160995.4</v>
      </c>
      <c r="K624" s="7">
        <v>27245.86</v>
      </c>
      <c r="L624" s="2" t="s">
        <v>865</v>
      </c>
      <c r="M624" s="18" t="s">
        <v>1431</v>
      </c>
      <c r="N624" s="3" t="s">
        <v>92</v>
      </c>
      <c r="O624" s="3" t="s">
        <v>96</v>
      </c>
      <c r="P624">
        <f>DATEVALUE(OnePlusSalesData[[#This Row],[order_date]])</f>
        <v>43855</v>
      </c>
      <c r="Q624" s="28">
        <f>DATEVALUE(OnePlusSalesData[[#This Row],[delivery_date]])</f>
        <v>43857</v>
      </c>
    </row>
    <row r="625" spans="1:17" ht="16" x14ac:dyDescent="0.45">
      <c r="A625" s="8" t="s">
        <v>1432</v>
      </c>
      <c r="B625" s="8" t="s">
        <v>16</v>
      </c>
      <c r="C625" s="9" t="s">
        <v>152</v>
      </c>
      <c r="D625" s="9" t="s">
        <v>40</v>
      </c>
      <c r="E625" s="9" t="s">
        <v>148</v>
      </c>
      <c r="F625" s="10">
        <v>41999</v>
      </c>
      <c r="G625" s="11">
        <v>1</v>
      </c>
      <c r="H625" s="12">
        <v>0</v>
      </c>
      <c r="I625" s="13">
        <v>0</v>
      </c>
      <c r="J625" s="13">
        <v>41999</v>
      </c>
      <c r="K625" s="13">
        <v>8769.89</v>
      </c>
      <c r="L625" s="8" t="s">
        <v>637</v>
      </c>
      <c r="M625" s="19" t="s">
        <v>48</v>
      </c>
      <c r="N625" s="9" t="s">
        <v>22</v>
      </c>
      <c r="O625" s="9" t="s">
        <v>96</v>
      </c>
      <c r="P625">
        <f>DATEVALUE(OnePlusSalesData[[#This Row],[order_date]])</f>
        <v>43606</v>
      </c>
      <c r="Q625" s="28">
        <f>DATEVALUE(OnePlusSalesData[[#This Row],[delivery_date]])</f>
        <v>43609</v>
      </c>
    </row>
    <row r="626" spans="1:17" ht="16" x14ac:dyDescent="0.45">
      <c r="A626" s="2" t="s">
        <v>1433</v>
      </c>
      <c r="B626" s="2" t="s">
        <v>58</v>
      </c>
      <c r="C626" s="3" t="s">
        <v>113</v>
      </c>
      <c r="D626" s="3" t="s">
        <v>34</v>
      </c>
      <c r="E626" s="3" t="s">
        <v>77</v>
      </c>
      <c r="F626" s="4">
        <v>24999</v>
      </c>
      <c r="G626" s="5">
        <v>2</v>
      </c>
      <c r="H626" s="6">
        <v>0.05</v>
      </c>
      <c r="I626" s="7">
        <v>2499.9</v>
      </c>
      <c r="J626" s="7">
        <v>47498.1</v>
      </c>
      <c r="K626" s="7">
        <v>11640.94</v>
      </c>
      <c r="L626" s="2" t="s">
        <v>1331</v>
      </c>
      <c r="M626" s="18" t="s">
        <v>219</v>
      </c>
      <c r="N626" s="3" t="s">
        <v>22</v>
      </c>
      <c r="O626" s="3" t="s">
        <v>63</v>
      </c>
      <c r="P626">
        <f>DATEVALUE(OnePlusSalesData[[#This Row],[order_date]])</f>
        <v>43797</v>
      </c>
      <c r="Q626" s="28">
        <f>DATEVALUE(OnePlusSalesData[[#This Row],[delivery_date]])</f>
        <v>43803</v>
      </c>
    </row>
    <row r="627" spans="1:17" ht="16" x14ac:dyDescent="0.45">
      <c r="A627" s="8" t="s">
        <v>1434</v>
      </c>
      <c r="B627" s="8" t="s">
        <v>25</v>
      </c>
      <c r="C627" s="9" t="s">
        <v>172</v>
      </c>
      <c r="D627" s="9" t="s">
        <v>18</v>
      </c>
      <c r="E627" s="9" t="s">
        <v>19</v>
      </c>
      <c r="F627" s="10">
        <v>1990</v>
      </c>
      <c r="G627" s="11">
        <v>1</v>
      </c>
      <c r="H627" s="12">
        <v>0.08</v>
      </c>
      <c r="I627" s="13">
        <v>159.19999999999999</v>
      </c>
      <c r="J627" s="13">
        <v>1830.8</v>
      </c>
      <c r="K627" s="13">
        <v>288.41000000000003</v>
      </c>
      <c r="L627" s="8" t="s">
        <v>841</v>
      </c>
      <c r="M627" s="19" t="s">
        <v>939</v>
      </c>
      <c r="N627" s="9" t="s">
        <v>92</v>
      </c>
      <c r="O627" s="9" t="s">
        <v>31</v>
      </c>
      <c r="P627">
        <f>DATEVALUE(OnePlusSalesData[[#This Row],[order_date]])</f>
        <v>43820</v>
      </c>
      <c r="Q627" s="28">
        <f>DATEVALUE(OnePlusSalesData[[#This Row],[delivery_date]])</f>
        <v>43824</v>
      </c>
    </row>
    <row r="628" spans="1:17" ht="16" x14ac:dyDescent="0.45">
      <c r="A628" s="2" t="s">
        <v>1435</v>
      </c>
      <c r="B628" s="2" t="s">
        <v>16</v>
      </c>
      <c r="C628" s="3" t="s">
        <v>17</v>
      </c>
      <c r="D628" s="3" t="s">
        <v>34</v>
      </c>
      <c r="E628" s="3" t="s">
        <v>35</v>
      </c>
      <c r="F628" s="4">
        <v>19999</v>
      </c>
      <c r="G628" s="5">
        <v>3</v>
      </c>
      <c r="H628" s="6">
        <v>0.05</v>
      </c>
      <c r="I628" s="7">
        <v>2999.85</v>
      </c>
      <c r="J628" s="7">
        <v>56997.15</v>
      </c>
      <c r="K628" s="7">
        <v>13585.91</v>
      </c>
      <c r="L628" s="2" t="s">
        <v>320</v>
      </c>
      <c r="M628" s="18" t="s">
        <v>1414</v>
      </c>
      <c r="N628" s="3" t="s">
        <v>22</v>
      </c>
      <c r="O628" s="3" t="s">
        <v>23</v>
      </c>
      <c r="P628">
        <f>DATEVALUE(OnePlusSalesData[[#This Row],[order_date]])</f>
        <v>44085</v>
      </c>
      <c r="Q628" s="28">
        <f>DATEVALUE(OnePlusSalesData[[#This Row],[delivery_date]])</f>
        <v>44087</v>
      </c>
    </row>
    <row r="629" spans="1:17" ht="16" x14ac:dyDescent="0.45">
      <c r="A629" s="8" t="s">
        <v>1436</v>
      </c>
      <c r="B629" s="8" t="s">
        <v>52</v>
      </c>
      <c r="C629" s="9" t="s">
        <v>106</v>
      </c>
      <c r="D629" s="9" t="s">
        <v>27</v>
      </c>
      <c r="E629" s="9" t="s">
        <v>159</v>
      </c>
      <c r="F629" s="10">
        <v>22999</v>
      </c>
      <c r="G629" s="11">
        <v>1</v>
      </c>
      <c r="H629" s="12">
        <v>0.1</v>
      </c>
      <c r="I629" s="13">
        <v>2299.9</v>
      </c>
      <c r="J629" s="13">
        <v>20699.099999999999</v>
      </c>
      <c r="K629" s="13">
        <v>3235.05</v>
      </c>
      <c r="L629" s="8" t="s">
        <v>1039</v>
      </c>
      <c r="M629" s="19" t="s">
        <v>991</v>
      </c>
      <c r="N629" s="9" t="s">
        <v>44</v>
      </c>
      <c r="O629" s="9" t="s">
        <v>23</v>
      </c>
      <c r="P629">
        <f>DATEVALUE(OnePlusSalesData[[#This Row],[order_date]])</f>
        <v>44027</v>
      </c>
      <c r="Q629" s="28">
        <f>DATEVALUE(OnePlusSalesData[[#This Row],[delivery_date]])</f>
        <v>44033</v>
      </c>
    </row>
    <row r="630" spans="1:17" ht="16" x14ac:dyDescent="0.45">
      <c r="A630" s="2" t="s">
        <v>1437</v>
      </c>
      <c r="B630" s="2" t="s">
        <v>16</v>
      </c>
      <c r="C630" s="3" t="s">
        <v>140</v>
      </c>
      <c r="D630" s="3" t="s">
        <v>85</v>
      </c>
      <c r="E630" s="3" t="s">
        <v>86</v>
      </c>
      <c r="F630" s="4">
        <v>1999</v>
      </c>
      <c r="G630" s="5">
        <v>2</v>
      </c>
      <c r="H630" s="6">
        <v>0</v>
      </c>
      <c r="I630" s="7">
        <v>0</v>
      </c>
      <c r="J630" s="7">
        <v>3998</v>
      </c>
      <c r="K630" s="7">
        <v>684.78</v>
      </c>
      <c r="L630" s="2" t="s">
        <v>1086</v>
      </c>
      <c r="M630" s="18" t="s">
        <v>1438</v>
      </c>
      <c r="N630" s="3" t="s">
        <v>22</v>
      </c>
      <c r="O630" s="3" t="s">
        <v>31</v>
      </c>
      <c r="P630">
        <f>DATEVALUE(OnePlusSalesData[[#This Row],[order_date]])</f>
        <v>44005</v>
      </c>
      <c r="Q630" s="28">
        <f>DATEVALUE(OnePlusSalesData[[#This Row],[delivery_date]])</f>
        <v>44008</v>
      </c>
    </row>
    <row r="631" spans="1:17" ht="16" x14ac:dyDescent="0.45">
      <c r="A631" s="8" t="s">
        <v>1439</v>
      </c>
      <c r="B631" s="8" t="s">
        <v>16</v>
      </c>
      <c r="C631" s="9" t="s">
        <v>39</v>
      </c>
      <c r="D631" s="9" t="s">
        <v>85</v>
      </c>
      <c r="E631" s="9" t="s">
        <v>265</v>
      </c>
      <c r="F631" s="10">
        <v>4990</v>
      </c>
      <c r="G631" s="11">
        <v>3</v>
      </c>
      <c r="H631" s="12">
        <v>0</v>
      </c>
      <c r="I631" s="13">
        <v>0</v>
      </c>
      <c r="J631" s="13">
        <v>14970</v>
      </c>
      <c r="K631" s="13">
        <v>2193.4299999999998</v>
      </c>
      <c r="L631" s="8" t="s">
        <v>892</v>
      </c>
      <c r="M631" s="19" t="s">
        <v>1276</v>
      </c>
      <c r="N631" s="9" t="s">
        <v>22</v>
      </c>
      <c r="O631" s="9" t="s">
        <v>63</v>
      </c>
      <c r="P631">
        <f>DATEVALUE(OnePlusSalesData[[#This Row],[order_date]])</f>
        <v>43909</v>
      </c>
      <c r="Q631" s="28">
        <f>DATEVALUE(OnePlusSalesData[[#This Row],[delivery_date]])</f>
        <v>43914</v>
      </c>
    </row>
    <row r="632" spans="1:17" ht="16" x14ac:dyDescent="0.45">
      <c r="A632" s="2" t="s">
        <v>1440</v>
      </c>
      <c r="B632" s="2" t="s">
        <v>58</v>
      </c>
      <c r="C632" s="3" t="s">
        <v>113</v>
      </c>
      <c r="D632" s="3" t="s">
        <v>85</v>
      </c>
      <c r="E632" s="3" t="s">
        <v>265</v>
      </c>
      <c r="F632" s="4">
        <v>4990</v>
      </c>
      <c r="G632" s="5">
        <v>3</v>
      </c>
      <c r="H632" s="6">
        <v>0.05</v>
      </c>
      <c r="I632" s="7">
        <v>748.5</v>
      </c>
      <c r="J632" s="7">
        <v>14221.5</v>
      </c>
      <c r="K632" s="7">
        <v>3200.26</v>
      </c>
      <c r="L632" s="2" t="s">
        <v>575</v>
      </c>
      <c r="M632" s="18" t="s">
        <v>765</v>
      </c>
      <c r="N632" s="3" t="s">
        <v>22</v>
      </c>
      <c r="O632" s="3" t="s">
        <v>63</v>
      </c>
      <c r="P632">
        <f>DATEVALUE(OnePlusSalesData[[#This Row],[order_date]])</f>
        <v>43868</v>
      </c>
      <c r="Q632" s="28">
        <f>DATEVALUE(OnePlusSalesData[[#This Row],[delivery_date]])</f>
        <v>43872</v>
      </c>
    </row>
    <row r="633" spans="1:17" ht="16" x14ac:dyDescent="0.45">
      <c r="A633" s="8" t="s">
        <v>1441</v>
      </c>
      <c r="B633" s="8" t="s">
        <v>16</v>
      </c>
      <c r="C633" s="9" t="s">
        <v>39</v>
      </c>
      <c r="D633" s="9" t="s">
        <v>85</v>
      </c>
      <c r="E633" s="9" t="s">
        <v>265</v>
      </c>
      <c r="F633" s="10">
        <v>4990</v>
      </c>
      <c r="G633" s="11">
        <v>1</v>
      </c>
      <c r="H633" s="12">
        <v>0.08</v>
      </c>
      <c r="I633" s="13">
        <v>399.2</v>
      </c>
      <c r="J633" s="13">
        <v>4590.8</v>
      </c>
      <c r="K633" s="13">
        <v>1115.8900000000001</v>
      </c>
      <c r="L633" s="8" t="s">
        <v>1442</v>
      </c>
      <c r="M633" s="19" t="s">
        <v>1443</v>
      </c>
      <c r="N633" s="9" t="s">
        <v>22</v>
      </c>
      <c r="O633" s="9" t="s">
        <v>146</v>
      </c>
      <c r="P633">
        <f>DATEVALUE(OnePlusSalesData[[#This Row],[order_date]])</f>
        <v>43911</v>
      </c>
      <c r="Q633" s="28">
        <f>DATEVALUE(OnePlusSalesData[[#This Row],[delivery_date]])</f>
        <v>43916</v>
      </c>
    </row>
    <row r="634" spans="1:17" ht="16" x14ac:dyDescent="0.45">
      <c r="A634" s="2" t="s">
        <v>1444</v>
      </c>
      <c r="B634" s="2" t="s">
        <v>16</v>
      </c>
      <c r="C634" s="3" t="s">
        <v>140</v>
      </c>
      <c r="D634" s="3" t="s">
        <v>85</v>
      </c>
      <c r="E634" s="3" t="s">
        <v>228</v>
      </c>
      <c r="F634" s="4">
        <v>5990</v>
      </c>
      <c r="G634" s="5">
        <v>2</v>
      </c>
      <c r="H634" s="6">
        <v>0.05</v>
      </c>
      <c r="I634" s="7">
        <v>599</v>
      </c>
      <c r="J634" s="7">
        <v>11381</v>
      </c>
      <c r="K634" s="7">
        <v>1790.43</v>
      </c>
      <c r="L634" s="2" t="s">
        <v>297</v>
      </c>
      <c r="M634" s="18" t="s">
        <v>1445</v>
      </c>
      <c r="N634" s="3" t="s">
        <v>22</v>
      </c>
      <c r="O634" s="3" t="s">
        <v>146</v>
      </c>
      <c r="P634">
        <f>DATEVALUE(OnePlusSalesData[[#This Row],[order_date]])</f>
        <v>43716</v>
      </c>
      <c r="Q634" s="28">
        <f>DATEVALUE(OnePlusSalesData[[#This Row],[delivery_date]])</f>
        <v>43721</v>
      </c>
    </row>
    <row r="635" spans="1:17" ht="16" x14ac:dyDescent="0.45">
      <c r="A635" s="8" t="s">
        <v>1446</v>
      </c>
      <c r="B635" s="8" t="s">
        <v>25</v>
      </c>
      <c r="C635" s="9" t="s">
        <v>172</v>
      </c>
      <c r="D635" s="9" t="s">
        <v>85</v>
      </c>
      <c r="E635" s="9" t="s">
        <v>228</v>
      </c>
      <c r="F635" s="10">
        <v>5990</v>
      </c>
      <c r="G635" s="11">
        <v>2</v>
      </c>
      <c r="H635" s="12">
        <v>0.05</v>
      </c>
      <c r="I635" s="13">
        <v>599</v>
      </c>
      <c r="J635" s="13">
        <v>11381</v>
      </c>
      <c r="K635" s="13">
        <v>2284.46</v>
      </c>
      <c r="L635" s="8" t="s">
        <v>1447</v>
      </c>
      <c r="M635" s="19" t="s">
        <v>914</v>
      </c>
      <c r="N635" s="9" t="s">
        <v>22</v>
      </c>
      <c r="O635" s="9" t="s">
        <v>63</v>
      </c>
      <c r="P635">
        <f>DATEVALUE(OnePlusSalesData[[#This Row],[order_date]])</f>
        <v>43925</v>
      </c>
      <c r="Q635" s="28">
        <f>DATEVALUE(OnePlusSalesData[[#This Row],[delivery_date]])</f>
        <v>43927</v>
      </c>
    </row>
    <row r="636" spans="1:17" ht="16" x14ac:dyDescent="0.45">
      <c r="A636" s="2" t="s">
        <v>1448</v>
      </c>
      <c r="B636" s="2" t="s">
        <v>52</v>
      </c>
      <c r="C636" s="3" t="s">
        <v>69</v>
      </c>
      <c r="D636" s="3" t="s">
        <v>18</v>
      </c>
      <c r="E636" s="3" t="s">
        <v>19</v>
      </c>
      <c r="F636" s="4">
        <v>1990</v>
      </c>
      <c r="G636" s="5">
        <v>1</v>
      </c>
      <c r="H636" s="6">
        <v>0.08</v>
      </c>
      <c r="I636" s="7">
        <v>159.19999999999999</v>
      </c>
      <c r="J636" s="7">
        <v>1830.8</v>
      </c>
      <c r="K636" s="7">
        <v>464.03</v>
      </c>
      <c r="L636" s="2" t="s">
        <v>1449</v>
      </c>
      <c r="M636" s="18" t="s">
        <v>1190</v>
      </c>
      <c r="N636" s="3" t="s">
        <v>22</v>
      </c>
      <c r="O636" s="3" t="s">
        <v>31</v>
      </c>
      <c r="P636">
        <f>DATEVALUE(OnePlusSalesData[[#This Row],[order_date]])</f>
        <v>43126</v>
      </c>
      <c r="Q636" s="28">
        <f>DATEVALUE(OnePlusSalesData[[#This Row],[delivery_date]])</f>
        <v>43130</v>
      </c>
    </row>
    <row r="637" spans="1:17" ht="16" x14ac:dyDescent="0.45">
      <c r="A637" s="8" t="s">
        <v>1450</v>
      </c>
      <c r="B637" s="8" t="s">
        <v>25</v>
      </c>
      <c r="C637" s="9" t="s">
        <v>120</v>
      </c>
      <c r="D637" s="9" t="s">
        <v>34</v>
      </c>
      <c r="E637" s="9" t="s">
        <v>77</v>
      </c>
      <c r="F637" s="10">
        <v>24999</v>
      </c>
      <c r="G637" s="11">
        <v>1</v>
      </c>
      <c r="H637" s="12">
        <v>0.1</v>
      </c>
      <c r="I637" s="13">
        <v>2499.9</v>
      </c>
      <c r="J637" s="13">
        <v>22499.1</v>
      </c>
      <c r="K637" s="13">
        <v>3876.66</v>
      </c>
      <c r="L637" s="8" t="s">
        <v>952</v>
      </c>
      <c r="M637" s="19" t="s">
        <v>1105</v>
      </c>
      <c r="N637" s="9" t="s">
        <v>22</v>
      </c>
      <c r="O637" s="9" t="s">
        <v>31</v>
      </c>
      <c r="P637">
        <f>DATEVALUE(OnePlusSalesData[[#This Row],[order_date]])</f>
        <v>43628</v>
      </c>
      <c r="Q637" s="28">
        <f>DATEVALUE(OnePlusSalesData[[#This Row],[delivery_date]])</f>
        <v>43631</v>
      </c>
    </row>
    <row r="638" spans="1:17" ht="16" x14ac:dyDescent="0.45">
      <c r="A638" s="2" t="s">
        <v>1451</v>
      </c>
      <c r="B638" s="2" t="s">
        <v>16</v>
      </c>
      <c r="C638" s="3" t="s">
        <v>17</v>
      </c>
      <c r="D638" s="3" t="s">
        <v>40</v>
      </c>
      <c r="E638" s="3" t="s">
        <v>41</v>
      </c>
      <c r="F638" s="4">
        <v>37999</v>
      </c>
      <c r="G638" s="5">
        <v>1</v>
      </c>
      <c r="H638" s="6">
        <v>0.08</v>
      </c>
      <c r="I638" s="7">
        <v>3039.92</v>
      </c>
      <c r="J638" s="7">
        <v>34959.08</v>
      </c>
      <c r="K638" s="7">
        <v>7994.15</v>
      </c>
      <c r="L638" s="2" t="s">
        <v>252</v>
      </c>
      <c r="M638" s="18" t="s">
        <v>1452</v>
      </c>
      <c r="N638" s="3" t="s">
        <v>22</v>
      </c>
      <c r="O638" s="3" t="s">
        <v>31</v>
      </c>
      <c r="P638">
        <f>DATEVALUE(OnePlusSalesData[[#This Row],[order_date]])</f>
        <v>43773</v>
      </c>
      <c r="Q638" s="28">
        <f>DATEVALUE(OnePlusSalesData[[#This Row],[delivery_date]])</f>
        <v>43777</v>
      </c>
    </row>
    <row r="639" spans="1:17" ht="16" x14ac:dyDescent="0.45">
      <c r="A639" s="8" t="s">
        <v>1453</v>
      </c>
      <c r="B639" s="8" t="s">
        <v>25</v>
      </c>
      <c r="C639" s="9" t="s">
        <v>172</v>
      </c>
      <c r="D639" s="9" t="s">
        <v>18</v>
      </c>
      <c r="E639" s="9" t="s">
        <v>124</v>
      </c>
      <c r="F639" s="10">
        <v>3990</v>
      </c>
      <c r="G639" s="11">
        <v>2</v>
      </c>
      <c r="H639" s="12">
        <v>0.05</v>
      </c>
      <c r="I639" s="13">
        <v>399</v>
      </c>
      <c r="J639" s="13">
        <v>7581</v>
      </c>
      <c r="K639" s="13">
        <v>1462.98</v>
      </c>
      <c r="L639" s="8" t="s">
        <v>864</v>
      </c>
      <c r="M639" s="19" t="s">
        <v>1454</v>
      </c>
      <c r="N639" s="9" t="s">
        <v>22</v>
      </c>
      <c r="O639" s="9" t="s">
        <v>146</v>
      </c>
      <c r="P639">
        <f>DATEVALUE(OnePlusSalesData[[#This Row],[order_date]])</f>
        <v>43853</v>
      </c>
      <c r="Q639" s="28">
        <f>DATEVALUE(OnePlusSalesData[[#This Row],[delivery_date]])</f>
        <v>43860</v>
      </c>
    </row>
    <row r="640" spans="1:17" ht="16" x14ac:dyDescent="0.45">
      <c r="A640" s="2" t="s">
        <v>1455</v>
      </c>
      <c r="B640" s="2" t="s">
        <v>58</v>
      </c>
      <c r="C640" s="3" t="s">
        <v>113</v>
      </c>
      <c r="D640" s="3" t="s">
        <v>18</v>
      </c>
      <c r="E640" s="3" t="s">
        <v>179</v>
      </c>
      <c r="F640" s="4">
        <v>1290</v>
      </c>
      <c r="G640" s="5">
        <v>1</v>
      </c>
      <c r="H640" s="6">
        <v>0.05</v>
      </c>
      <c r="I640" s="7">
        <v>64.5</v>
      </c>
      <c r="J640" s="7">
        <v>1225.5</v>
      </c>
      <c r="K640" s="7">
        <v>199.85</v>
      </c>
      <c r="L640" s="2" t="s">
        <v>1456</v>
      </c>
      <c r="M640" s="18" t="s">
        <v>1457</v>
      </c>
      <c r="N640" s="3" t="s">
        <v>22</v>
      </c>
      <c r="O640" s="3" t="s">
        <v>45</v>
      </c>
      <c r="P640">
        <f>DATEVALUE(OnePlusSalesData[[#This Row],[order_date]])</f>
        <v>43546</v>
      </c>
      <c r="Q640" s="28">
        <f>DATEVALUE(OnePlusSalesData[[#This Row],[delivery_date]])</f>
        <v>43552</v>
      </c>
    </row>
    <row r="641" spans="1:17" ht="16" x14ac:dyDescent="0.45">
      <c r="A641" s="8" t="s">
        <v>1458</v>
      </c>
      <c r="B641" s="8" t="s">
        <v>16</v>
      </c>
      <c r="C641" s="9" t="s">
        <v>140</v>
      </c>
      <c r="D641" s="9" t="s">
        <v>40</v>
      </c>
      <c r="E641" s="9" t="s">
        <v>148</v>
      </c>
      <c r="F641" s="10">
        <v>41999</v>
      </c>
      <c r="G641" s="11">
        <v>4</v>
      </c>
      <c r="H641" s="12">
        <v>0.08</v>
      </c>
      <c r="I641" s="13">
        <v>13439.68</v>
      </c>
      <c r="J641" s="13">
        <v>154556.32</v>
      </c>
      <c r="K641" s="13">
        <v>38305.26</v>
      </c>
      <c r="L641" s="8" t="s">
        <v>1459</v>
      </c>
      <c r="M641" s="19" t="s">
        <v>1460</v>
      </c>
      <c r="N641" s="9" t="s">
        <v>44</v>
      </c>
      <c r="O641" s="9" t="s">
        <v>31</v>
      </c>
      <c r="P641">
        <f>DATEVALUE(OnePlusSalesData[[#This Row],[order_date]])</f>
        <v>44044</v>
      </c>
      <c r="Q641" s="28">
        <f>DATEVALUE(OnePlusSalesData[[#This Row],[delivery_date]])</f>
        <v>44047</v>
      </c>
    </row>
    <row r="642" spans="1:17" ht="16" x14ac:dyDescent="0.45">
      <c r="A642" s="2" t="s">
        <v>1461</v>
      </c>
      <c r="B642" s="2" t="s">
        <v>25</v>
      </c>
      <c r="C642" s="3" t="s">
        <v>26</v>
      </c>
      <c r="D642" s="3" t="s">
        <v>34</v>
      </c>
      <c r="E642" s="3" t="s">
        <v>77</v>
      </c>
      <c r="F642" s="4">
        <v>24999</v>
      </c>
      <c r="G642" s="5">
        <v>1</v>
      </c>
      <c r="H642" s="6">
        <v>0.05</v>
      </c>
      <c r="I642" s="7">
        <v>1249.95</v>
      </c>
      <c r="J642" s="7">
        <v>23749.05</v>
      </c>
      <c r="K642" s="7">
        <v>5965.53</v>
      </c>
      <c r="L642" s="2" t="s">
        <v>1286</v>
      </c>
      <c r="M642" s="18" t="s">
        <v>1299</v>
      </c>
      <c r="N642" s="3" t="s">
        <v>22</v>
      </c>
      <c r="O642" s="3" t="s">
        <v>31</v>
      </c>
      <c r="P642">
        <f>DATEVALUE(OnePlusSalesData[[#This Row],[order_date]])</f>
        <v>44175</v>
      </c>
      <c r="Q642" s="28">
        <f>DATEVALUE(OnePlusSalesData[[#This Row],[delivery_date]])</f>
        <v>44178</v>
      </c>
    </row>
    <row r="643" spans="1:17" ht="16" x14ac:dyDescent="0.45">
      <c r="A643" s="8" t="s">
        <v>1462</v>
      </c>
      <c r="B643" s="8" t="s">
        <v>25</v>
      </c>
      <c r="C643" s="9" t="s">
        <v>26</v>
      </c>
      <c r="D643" s="9" t="s">
        <v>40</v>
      </c>
      <c r="E643" s="9" t="s">
        <v>54</v>
      </c>
      <c r="F643" s="10">
        <v>53999</v>
      </c>
      <c r="G643" s="11">
        <v>1</v>
      </c>
      <c r="H643" s="12">
        <v>0.08</v>
      </c>
      <c r="I643" s="13">
        <v>4319.92</v>
      </c>
      <c r="J643" s="13">
        <v>49679.08</v>
      </c>
      <c r="K643" s="13">
        <v>11216.93</v>
      </c>
      <c r="L643" s="8" t="s">
        <v>848</v>
      </c>
      <c r="M643" s="19" t="s">
        <v>1463</v>
      </c>
      <c r="N643" s="9" t="s">
        <v>22</v>
      </c>
      <c r="O643" s="9" t="s">
        <v>63</v>
      </c>
      <c r="P643">
        <f>DATEVALUE(OnePlusSalesData[[#This Row],[order_date]])</f>
        <v>43715</v>
      </c>
      <c r="Q643" s="28">
        <f>DATEVALUE(OnePlusSalesData[[#This Row],[delivery_date]])</f>
        <v>43717</v>
      </c>
    </row>
    <row r="644" spans="1:17" ht="16" x14ac:dyDescent="0.45">
      <c r="A644" s="2" t="s">
        <v>1464</v>
      </c>
      <c r="B644" s="2" t="s">
        <v>25</v>
      </c>
      <c r="C644" s="3" t="s">
        <v>120</v>
      </c>
      <c r="D644" s="3" t="s">
        <v>40</v>
      </c>
      <c r="E644" s="3" t="s">
        <v>41</v>
      </c>
      <c r="F644" s="4">
        <v>37999</v>
      </c>
      <c r="G644" s="5">
        <v>5</v>
      </c>
      <c r="H644" s="6">
        <v>0</v>
      </c>
      <c r="I644" s="7">
        <v>0</v>
      </c>
      <c r="J644" s="7">
        <v>189995</v>
      </c>
      <c r="K644" s="7">
        <v>36008.120000000003</v>
      </c>
      <c r="L644" s="2" t="s">
        <v>930</v>
      </c>
      <c r="M644" s="18" t="s">
        <v>1465</v>
      </c>
      <c r="N644" s="3" t="s">
        <v>22</v>
      </c>
      <c r="O644" s="3" t="s">
        <v>23</v>
      </c>
      <c r="P644">
        <f>DATEVALUE(OnePlusSalesData[[#This Row],[order_date]])</f>
        <v>43433</v>
      </c>
      <c r="Q644" s="28">
        <f>DATEVALUE(OnePlusSalesData[[#This Row],[delivery_date]])</f>
        <v>43435</v>
      </c>
    </row>
    <row r="645" spans="1:17" ht="16" x14ac:dyDescent="0.45">
      <c r="A645" s="8" t="s">
        <v>1466</v>
      </c>
      <c r="B645" s="8" t="s">
        <v>58</v>
      </c>
      <c r="C645" s="9" t="s">
        <v>221</v>
      </c>
      <c r="D645" s="9" t="s">
        <v>40</v>
      </c>
      <c r="E645" s="9" t="s">
        <v>406</v>
      </c>
      <c r="F645" s="10">
        <v>48999</v>
      </c>
      <c r="G645" s="11">
        <v>5</v>
      </c>
      <c r="H645" s="12">
        <v>0.1</v>
      </c>
      <c r="I645" s="13">
        <v>24499.5</v>
      </c>
      <c r="J645" s="13">
        <v>220495.5</v>
      </c>
      <c r="K645" s="13">
        <v>53244.6</v>
      </c>
      <c r="L645" s="8" t="s">
        <v>1057</v>
      </c>
      <c r="M645" s="19" t="s">
        <v>1058</v>
      </c>
      <c r="N645" s="9" t="s">
        <v>22</v>
      </c>
      <c r="O645" s="9" t="s">
        <v>23</v>
      </c>
      <c r="P645">
        <f>DATEVALUE(OnePlusSalesData[[#This Row],[order_date]])</f>
        <v>43596</v>
      </c>
      <c r="Q645" s="28">
        <f>DATEVALUE(OnePlusSalesData[[#This Row],[delivery_date]])</f>
        <v>43603</v>
      </c>
    </row>
    <row r="646" spans="1:17" ht="16" x14ac:dyDescent="0.45">
      <c r="A646" s="2" t="s">
        <v>1467</v>
      </c>
      <c r="B646" s="2" t="s">
        <v>58</v>
      </c>
      <c r="C646" s="3" t="s">
        <v>113</v>
      </c>
      <c r="D646" s="3" t="s">
        <v>18</v>
      </c>
      <c r="E646" s="3" t="s">
        <v>102</v>
      </c>
      <c r="F646" s="4">
        <v>1490</v>
      </c>
      <c r="G646" s="5">
        <v>4</v>
      </c>
      <c r="H646" s="6">
        <v>0.05</v>
      </c>
      <c r="I646" s="7">
        <v>298</v>
      </c>
      <c r="J646" s="7">
        <v>5662</v>
      </c>
      <c r="K646" s="7">
        <v>1022.68</v>
      </c>
      <c r="L646" s="2" t="s">
        <v>1468</v>
      </c>
      <c r="M646" s="18" t="s">
        <v>1195</v>
      </c>
      <c r="N646" s="3" t="s">
        <v>50</v>
      </c>
      <c r="O646" s="3" t="s">
        <v>31</v>
      </c>
      <c r="P646">
        <f>DATEVALUE(OnePlusSalesData[[#This Row],[order_date]])</f>
        <v>43934</v>
      </c>
      <c r="Q646" s="28">
        <f>DATEVALUE(OnePlusSalesData[[#This Row],[delivery_date]])</f>
        <v>43941</v>
      </c>
    </row>
    <row r="647" spans="1:17" ht="16" x14ac:dyDescent="0.45">
      <c r="A647" s="8" t="s">
        <v>1469</v>
      </c>
      <c r="B647" s="8" t="s">
        <v>58</v>
      </c>
      <c r="C647" s="9" t="s">
        <v>113</v>
      </c>
      <c r="D647" s="9" t="s">
        <v>85</v>
      </c>
      <c r="E647" s="9" t="s">
        <v>258</v>
      </c>
      <c r="F647" s="10">
        <v>2999</v>
      </c>
      <c r="G647" s="11">
        <v>2</v>
      </c>
      <c r="H647" s="12">
        <v>0</v>
      </c>
      <c r="I647" s="13">
        <v>0</v>
      </c>
      <c r="J647" s="13">
        <v>5998</v>
      </c>
      <c r="K647" s="13">
        <v>927.25</v>
      </c>
      <c r="L647" s="8" t="s">
        <v>1470</v>
      </c>
      <c r="M647" s="19" t="s">
        <v>1471</v>
      </c>
      <c r="N647" s="9" t="s">
        <v>22</v>
      </c>
      <c r="O647" s="9" t="s">
        <v>63</v>
      </c>
      <c r="P647">
        <f>DATEVALUE(OnePlusSalesData[[#This Row],[order_date]])</f>
        <v>43958</v>
      </c>
      <c r="Q647" s="28">
        <f>DATEVALUE(OnePlusSalesData[[#This Row],[delivery_date]])</f>
        <v>43961</v>
      </c>
    </row>
    <row r="648" spans="1:17" ht="16" x14ac:dyDescent="0.45">
      <c r="A648" s="2" t="s">
        <v>1472</v>
      </c>
      <c r="B648" s="2" t="s">
        <v>52</v>
      </c>
      <c r="C648" s="3" t="s">
        <v>358</v>
      </c>
      <c r="D648" s="3" t="s">
        <v>34</v>
      </c>
      <c r="E648" s="3" t="s">
        <v>35</v>
      </c>
      <c r="F648" s="4">
        <v>19999</v>
      </c>
      <c r="G648" s="5">
        <v>1</v>
      </c>
      <c r="H648" s="6">
        <v>0.05</v>
      </c>
      <c r="I648" s="7">
        <v>999.95</v>
      </c>
      <c r="J648" s="7">
        <v>18999.05</v>
      </c>
      <c r="K648" s="7">
        <v>2744.48</v>
      </c>
      <c r="L648" s="2" t="s">
        <v>566</v>
      </c>
      <c r="M648" s="18" t="s">
        <v>1428</v>
      </c>
      <c r="N648" s="3" t="s">
        <v>22</v>
      </c>
      <c r="O648" s="3" t="s">
        <v>96</v>
      </c>
      <c r="P648">
        <f>DATEVALUE(OnePlusSalesData[[#This Row],[order_date]])</f>
        <v>44141</v>
      </c>
      <c r="Q648" s="28">
        <f>DATEVALUE(OnePlusSalesData[[#This Row],[delivery_date]])</f>
        <v>44145</v>
      </c>
    </row>
    <row r="649" spans="1:17" ht="16" x14ac:dyDescent="0.45">
      <c r="A649" s="8" t="s">
        <v>1473</v>
      </c>
      <c r="B649" s="8" t="s">
        <v>52</v>
      </c>
      <c r="C649" s="9" t="s">
        <v>106</v>
      </c>
      <c r="D649" s="9" t="s">
        <v>40</v>
      </c>
      <c r="E649" s="9" t="s">
        <v>47</v>
      </c>
      <c r="F649" s="10">
        <v>37999</v>
      </c>
      <c r="G649" s="11">
        <v>1</v>
      </c>
      <c r="H649" s="12">
        <v>0.1</v>
      </c>
      <c r="I649" s="13">
        <v>3799.9</v>
      </c>
      <c r="J649" s="13">
        <v>34199.1</v>
      </c>
      <c r="K649" s="13">
        <v>8276.73</v>
      </c>
      <c r="L649" s="8" t="s">
        <v>1363</v>
      </c>
      <c r="M649" s="19" t="s">
        <v>1474</v>
      </c>
      <c r="N649" s="9" t="s">
        <v>44</v>
      </c>
      <c r="O649" s="9" t="s">
        <v>23</v>
      </c>
      <c r="P649">
        <f>DATEVALUE(OnePlusSalesData[[#This Row],[order_date]])</f>
        <v>43493</v>
      </c>
      <c r="Q649" s="28">
        <f>DATEVALUE(OnePlusSalesData[[#This Row],[delivery_date]])</f>
        <v>43499</v>
      </c>
    </row>
    <row r="650" spans="1:17" ht="16" x14ac:dyDescent="0.45">
      <c r="A650" s="2" t="s">
        <v>1475</v>
      </c>
      <c r="B650" s="2" t="s">
        <v>25</v>
      </c>
      <c r="C650" s="3" t="s">
        <v>133</v>
      </c>
      <c r="D650" s="3" t="s">
        <v>40</v>
      </c>
      <c r="E650" s="3" t="s">
        <v>148</v>
      </c>
      <c r="F650" s="4">
        <v>41999</v>
      </c>
      <c r="G650" s="5">
        <v>2</v>
      </c>
      <c r="H650" s="6">
        <v>0</v>
      </c>
      <c r="I650" s="7">
        <v>0</v>
      </c>
      <c r="J650" s="7">
        <v>83998</v>
      </c>
      <c r="K650" s="7">
        <v>21439.99</v>
      </c>
      <c r="L650" s="2" t="s">
        <v>1476</v>
      </c>
      <c r="M650" s="18" t="s">
        <v>203</v>
      </c>
      <c r="N650" s="3" t="s">
        <v>22</v>
      </c>
      <c r="O650" s="3" t="s">
        <v>23</v>
      </c>
      <c r="P650">
        <f>DATEVALUE(OnePlusSalesData[[#This Row],[order_date]])</f>
        <v>43131</v>
      </c>
      <c r="Q650" s="28">
        <f>DATEVALUE(OnePlusSalesData[[#This Row],[delivery_date]])</f>
        <v>43135</v>
      </c>
    </row>
    <row r="651" spans="1:17" ht="16" x14ac:dyDescent="0.45">
      <c r="A651" s="8" t="s">
        <v>1477</v>
      </c>
      <c r="B651" s="8" t="s">
        <v>16</v>
      </c>
      <c r="C651" s="9" t="s">
        <v>39</v>
      </c>
      <c r="D651" s="9" t="s">
        <v>40</v>
      </c>
      <c r="E651" s="9" t="s">
        <v>47</v>
      </c>
      <c r="F651" s="10">
        <v>37999</v>
      </c>
      <c r="G651" s="11">
        <v>2</v>
      </c>
      <c r="H651" s="12">
        <v>0.1</v>
      </c>
      <c r="I651" s="13">
        <v>7599.8</v>
      </c>
      <c r="J651" s="13">
        <v>68398.2</v>
      </c>
      <c r="K651" s="13">
        <v>9684.76</v>
      </c>
      <c r="L651" s="8" t="s">
        <v>350</v>
      </c>
      <c r="M651" s="19" t="s">
        <v>1460</v>
      </c>
      <c r="N651" s="9" t="s">
        <v>22</v>
      </c>
      <c r="O651" s="9" t="s">
        <v>31</v>
      </c>
      <c r="P651">
        <f>DATEVALUE(OnePlusSalesData[[#This Row],[order_date]])</f>
        <v>44041</v>
      </c>
      <c r="Q651" s="28">
        <f>DATEVALUE(OnePlusSalesData[[#This Row],[delivery_date]])</f>
        <v>44047</v>
      </c>
    </row>
    <row r="652" spans="1:17" ht="16" x14ac:dyDescent="0.45">
      <c r="A652" s="2" t="s">
        <v>1478</v>
      </c>
      <c r="B652" s="2" t="s">
        <v>25</v>
      </c>
      <c r="C652" s="3" t="s">
        <v>172</v>
      </c>
      <c r="D652" s="3" t="s">
        <v>40</v>
      </c>
      <c r="E652" s="3" t="s">
        <v>47</v>
      </c>
      <c r="F652" s="4">
        <v>37999</v>
      </c>
      <c r="G652" s="5">
        <v>2</v>
      </c>
      <c r="H652" s="6">
        <v>0</v>
      </c>
      <c r="I652" s="7">
        <v>0</v>
      </c>
      <c r="J652" s="7">
        <v>75998</v>
      </c>
      <c r="K652" s="7">
        <v>13589.44</v>
      </c>
      <c r="L652" s="2" t="s">
        <v>100</v>
      </c>
      <c r="M652" s="18" t="s">
        <v>1479</v>
      </c>
      <c r="N652" s="3" t="s">
        <v>22</v>
      </c>
      <c r="O652" s="3" t="s">
        <v>146</v>
      </c>
      <c r="P652">
        <f>DATEVALUE(OnePlusSalesData[[#This Row],[order_date]])</f>
        <v>43837</v>
      </c>
      <c r="Q652" s="28">
        <f>DATEVALUE(OnePlusSalesData[[#This Row],[delivery_date]])</f>
        <v>43839</v>
      </c>
    </row>
    <row r="653" spans="1:17" ht="16" x14ac:dyDescent="0.45">
      <c r="A653" s="8" t="s">
        <v>1480</v>
      </c>
      <c r="B653" s="8" t="s">
        <v>52</v>
      </c>
      <c r="C653" s="9" t="s">
        <v>192</v>
      </c>
      <c r="D653" s="9" t="s">
        <v>27</v>
      </c>
      <c r="E653" s="9" t="s">
        <v>176</v>
      </c>
      <c r="F653" s="10">
        <v>69900</v>
      </c>
      <c r="G653" s="11">
        <v>2</v>
      </c>
      <c r="H653" s="12">
        <v>0.1</v>
      </c>
      <c r="I653" s="13">
        <v>13980</v>
      </c>
      <c r="J653" s="13">
        <v>125820</v>
      </c>
      <c r="K653" s="13">
        <v>26446.32</v>
      </c>
      <c r="L653" s="8" t="s">
        <v>1331</v>
      </c>
      <c r="M653" s="19" t="s">
        <v>166</v>
      </c>
      <c r="N653" s="9" t="s">
        <v>50</v>
      </c>
      <c r="O653" s="9" t="s">
        <v>96</v>
      </c>
      <c r="P653">
        <f>DATEVALUE(OnePlusSalesData[[#This Row],[order_date]])</f>
        <v>43797</v>
      </c>
      <c r="Q653" s="28">
        <f>DATEVALUE(OnePlusSalesData[[#This Row],[delivery_date]])</f>
        <v>43804</v>
      </c>
    </row>
    <row r="654" spans="1:17" ht="16" x14ac:dyDescent="0.45">
      <c r="A654" s="2" t="s">
        <v>1481</v>
      </c>
      <c r="B654" s="2" t="s">
        <v>16</v>
      </c>
      <c r="C654" s="3" t="s">
        <v>33</v>
      </c>
      <c r="D654" s="3" t="s">
        <v>40</v>
      </c>
      <c r="E654" s="3" t="s">
        <v>60</v>
      </c>
      <c r="F654" s="4">
        <v>54999</v>
      </c>
      <c r="G654" s="5">
        <v>1</v>
      </c>
      <c r="H654" s="6">
        <v>0.08</v>
      </c>
      <c r="I654" s="7">
        <v>4399.92</v>
      </c>
      <c r="J654" s="7">
        <v>50599.08</v>
      </c>
      <c r="K654" s="7">
        <v>12032.55</v>
      </c>
      <c r="L654" s="2" t="s">
        <v>115</v>
      </c>
      <c r="M654" s="18" t="s">
        <v>398</v>
      </c>
      <c r="N654" s="3" t="s">
        <v>22</v>
      </c>
      <c r="O654" s="3" t="s">
        <v>23</v>
      </c>
      <c r="P654">
        <f>DATEVALUE(OnePlusSalesData[[#This Row],[order_date]])</f>
        <v>43984</v>
      </c>
      <c r="Q654" s="28">
        <f>DATEVALUE(OnePlusSalesData[[#This Row],[delivery_date]])</f>
        <v>43989</v>
      </c>
    </row>
    <row r="655" spans="1:17" ht="16" x14ac:dyDescent="0.45">
      <c r="A655" s="8" t="s">
        <v>1482</v>
      </c>
      <c r="B655" s="8" t="s">
        <v>58</v>
      </c>
      <c r="C655" s="9" t="s">
        <v>59</v>
      </c>
      <c r="D655" s="9" t="s">
        <v>34</v>
      </c>
      <c r="E655" s="9" t="s">
        <v>77</v>
      </c>
      <c r="F655" s="10">
        <v>24999</v>
      </c>
      <c r="G655" s="11">
        <v>1</v>
      </c>
      <c r="H655" s="12">
        <v>0</v>
      </c>
      <c r="I655" s="13">
        <v>0</v>
      </c>
      <c r="J655" s="13">
        <v>24999</v>
      </c>
      <c r="K655" s="13">
        <v>5348.33</v>
      </c>
      <c r="L655" s="8" t="s">
        <v>1483</v>
      </c>
      <c r="M655" s="19" t="s">
        <v>166</v>
      </c>
      <c r="N655" s="9" t="s">
        <v>50</v>
      </c>
      <c r="O655" s="9" t="s">
        <v>63</v>
      </c>
      <c r="P655">
        <f>DATEVALUE(OnePlusSalesData[[#This Row],[order_date]])</f>
        <v>43800</v>
      </c>
      <c r="Q655" s="28">
        <f>DATEVALUE(OnePlusSalesData[[#This Row],[delivery_date]])</f>
        <v>43804</v>
      </c>
    </row>
    <row r="656" spans="1:17" ht="16" x14ac:dyDescent="0.45">
      <c r="A656" s="2" t="s">
        <v>1484</v>
      </c>
      <c r="B656" s="2" t="s">
        <v>25</v>
      </c>
      <c r="C656" s="3" t="s">
        <v>65</v>
      </c>
      <c r="D656" s="3" t="s">
        <v>18</v>
      </c>
      <c r="E656" s="3" t="s">
        <v>124</v>
      </c>
      <c r="F656" s="4">
        <v>3990</v>
      </c>
      <c r="G656" s="5">
        <v>2</v>
      </c>
      <c r="H656" s="6">
        <v>0.1</v>
      </c>
      <c r="I656" s="7">
        <v>798</v>
      </c>
      <c r="J656" s="7">
        <v>7182</v>
      </c>
      <c r="K656" s="7">
        <v>1114.76</v>
      </c>
      <c r="L656" s="2" t="s">
        <v>177</v>
      </c>
      <c r="M656" s="18" t="s">
        <v>150</v>
      </c>
      <c r="N656" s="3" t="s">
        <v>22</v>
      </c>
      <c r="O656" s="3" t="s">
        <v>23</v>
      </c>
      <c r="P656">
        <f>DATEVALUE(OnePlusSalesData[[#This Row],[order_date]])</f>
        <v>43616</v>
      </c>
      <c r="Q656" s="28">
        <f>DATEVALUE(OnePlusSalesData[[#This Row],[delivery_date]])</f>
        <v>43619</v>
      </c>
    </row>
    <row r="657" spans="1:17" ht="16" x14ac:dyDescent="0.45">
      <c r="A657" s="8" t="s">
        <v>1485</v>
      </c>
      <c r="B657" s="8" t="s">
        <v>16</v>
      </c>
      <c r="C657" s="9" t="s">
        <v>140</v>
      </c>
      <c r="D657" s="9" t="s">
        <v>18</v>
      </c>
      <c r="E657" s="9" t="s">
        <v>179</v>
      </c>
      <c r="F657" s="10">
        <v>1290</v>
      </c>
      <c r="G657" s="11">
        <v>1</v>
      </c>
      <c r="H657" s="12">
        <v>0.1</v>
      </c>
      <c r="I657" s="13">
        <v>129</v>
      </c>
      <c r="J657" s="13">
        <v>1161</v>
      </c>
      <c r="K657" s="13">
        <v>243.53</v>
      </c>
      <c r="L657" s="8" t="s">
        <v>427</v>
      </c>
      <c r="M657" s="19" t="s">
        <v>107</v>
      </c>
      <c r="N657" s="9" t="s">
        <v>22</v>
      </c>
      <c r="O657" s="9" t="s">
        <v>31</v>
      </c>
      <c r="P657">
        <f>DATEVALUE(OnePlusSalesData[[#This Row],[order_date]])</f>
        <v>43501</v>
      </c>
      <c r="Q657" s="28">
        <f>DATEVALUE(OnePlusSalesData[[#This Row],[delivery_date]])</f>
        <v>43503</v>
      </c>
    </row>
    <row r="658" spans="1:17" ht="16" x14ac:dyDescent="0.45">
      <c r="A658" s="2" t="s">
        <v>1486</v>
      </c>
      <c r="B658" s="2" t="s">
        <v>16</v>
      </c>
      <c r="C658" s="3" t="s">
        <v>39</v>
      </c>
      <c r="D658" s="3" t="s">
        <v>27</v>
      </c>
      <c r="E658" s="3" t="s">
        <v>28</v>
      </c>
      <c r="F658" s="4">
        <v>12999</v>
      </c>
      <c r="G658" s="5">
        <v>1</v>
      </c>
      <c r="H658" s="6">
        <v>0.05</v>
      </c>
      <c r="I658" s="7">
        <v>649.95000000000005</v>
      </c>
      <c r="J658" s="7">
        <v>12349.05</v>
      </c>
      <c r="K658" s="7">
        <v>2455.4499999999998</v>
      </c>
      <c r="L658" s="2" t="s">
        <v>1073</v>
      </c>
      <c r="M658" s="18" t="s">
        <v>1487</v>
      </c>
      <c r="N658" s="3" t="s">
        <v>22</v>
      </c>
      <c r="O658" s="3" t="s">
        <v>96</v>
      </c>
      <c r="P658">
        <f>DATEVALUE(OnePlusSalesData[[#This Row],[order_date]])</f>
        <v>43901</v>
      </c>
      <c r="Q658" s="28">
        <f>DATEVALUE(OnePlusSalesData[[#This Row],[delivery_date]])</f>
        <v>43904</v>
      </c>
    </row>
    <row r="659" spans="1:17" ht="16" x14ac:dyDescent="0.45">
      <c r="A659" s="8" t="s">
        <v>1488</v>
      </c>
      <c r="B659" s="8" t="s">
        <v>52</v>
      </c>
      <c r="C659" s="9" t="s">
        <v>69</v>
      </c>
      <c r="D659" s="9" t="s">
        <v>40</v>
      </c>
      <c r="E659" s="9" t="s">
        <v>54</v>
      </c>
      <c r="F659" s="10">
        <v>53999</v>
      </c>
      <c r="G659" s="11">
        <v>2</v>
      </c>
      <c r="H659" s="12">
        <v>0.05</v>
      </c>
      <c r="I659" s="13">
        <v>5399.9</v>
      </c>
      <c r="J659" s="13">
        <v>102598.1</v>
      </c>
      <c r="K659" s="13">
        <v>18476.43</v>
      </c>
      <c r="L659" s="8" t="s">
        <v>658</v>
      </c>
      <c r="M659" s="19" t="s">
        <v>1489</v>
      </c>
      <c r="N659" s="9" t="s">
        <v>92</v>
      </c>
      <c r="O659" s="9" t="s">
        <v>23</v>
      </c>
      <c r="P659">
        <f>DATEVALUE(OnePlusSalesData[[#This Row],[order_date]])</f>
        <v>43942</v>
      </c>
      <c r="Q659" s="28">
        <f>DATEVALUE(OnePlusSalesData[[#This Row],[delivery_date]])</f>
        <v>43945</v>
      </c>
    </row>
    <row r="660" spans="1:17" ht="16" x14ac:dyDescent="0.45">
      <c r="A660" s="2" t="s">
        <v>1490</v>
      </c>
      <c r="B660" s="2" t="s">
        <v>52</v>
      </c>
      <c r="C660" s="3" t="s">
        <v>358</v>
      </c>
      <c r="D660" s="3" t="s">
        <v>18</v>
      </c>
      <c r="E660" s="3" t="s">
        <v>102</v>
      </c>
      <c r="F660" s="4">
        <v>1490</v>
      </c>
      <c r="G660" s="5">
        <v>1</v>
      </c>
      <c r="H660" s="6">
        <v>0.05</v>
      </c>
      <c r="I660" s="7">
        <v>74.5</v>
      </c>
      <c r="J660" s="7">
        <v>1415.5</v>
      </c>
      <c r="K660" s="7">
        <v>290.58999999999997</v>
      </c>
      <c r="L660" s="2" t="s">
        <v>1491</v>
      </c>
      <c r="M660" s="18" t="s">
        <v>952</v>
      </c>
      <c r="N660" s="3" t="s">
        <v>22</v>
      </c>
      <c r="O660" s="3" t="s">
        <v>96</v>
      </c>
      <c r="P660">
        <f>DATEVALUE(OnePlusSalesData[[#This Row],[order_date]])</f>
        <v>43624</v>
      </c>
      <c r="Q660" s="28">
        <f>DATEVALUE(OnePlusSalesData[[#This Row],[delivery_date]])</f>
        <v>43628</v>
      </c>
    </row>
    <row r="661" spans="1:17" ht="16" x14ac:dyDescent="0.45">
      <c r="A661" s="8" t="s">
        <v>1492</v>
      </c>
      <c r="B661" s="8" t="s">
        <v>16</v>
      </c>
      <c r="C661" s="9" t="s">
        <v>33</v>
      </c>
      <c r="D661" s="9" t="s">
        <v>34</v>
      </c>
      <c r="E661" s="9" t="s">
        <v>77</v>
      </c>
      <c r="F661" s="10">
        <v>24999</v>
      </c>
      <c r="G661" s="11">
        <v>1</v>
      </c>
      <c r="H661" s="12">
        <v>0.05</v>
      </c>
      <c r="I661" s="13">
        <v>1249.95</v>
      </c>
      <c r="J661" s="13">
        <v>23749.05</v>
      </c>
      <c r="K661" s="13">
        <v>5408.16</v>
      </c>
      <c r="L661" s="8" t="s">
        <v>1493</v>
      </c>
      <c r="M661" s="19" t="s">
        <v>709</v>
      </c>
      <c r="N661" s="9" t="s">
        <v>22</v>
      </c>
      <c r="O661" s="9" t="s">
        <v>31</v>
      </c>
      <c r="P661">
        <f>DATEVALUE(OnePlusSalesData[[#This Row],[order_date]])</f>
        <v>43537</v>
      </c>
      <c r="Q661" s="28">
        <f>DATEVALUE(OnePlusSalesData[[#This Row],[delivery_date]])</f>
        <v>43543</v>
      </c>
    </row>
    <row r="662" spans="1:17" ht="16" x14ac:dyDescent="0.45">
      <c r="A662" s="2" t="s">
        <v>1494</v>
      </c>
      <c r="B662" s="2" t="s">
        <v>16</v>
      </c>
      <c r="C662" s="3" t="s">
        <v>33</v>
      </c>
      <c r="D662" s="3" t="s">
        <v>40</v>
      </c>
      <c r="E662" s="3" t="s">
        <v>41</v>
      </c>
      <c r="F662" s="4">
        <v>37999</v>
      </c>
      <c r="G662" s="5">
        <v>1</v>
      </c>
      <c r="H662" s="6">
        <v>0.08</v>
      </c>
      <c r="I662" s="7">
        <v>3039.92</v>
      </c>
      <c r="J662" s="7">
        <v>34959.08</v>
      </c>
      <c r="K662" s="7">
        <v>5113.59</v>
      </c>
      <c r="L662" s="2" t="s">
        <v>434</v>
      </c>
      <c r="M662" s="18" t="s">
        <v>666</v>
      </c>
      <c r="N662" s="3" t="s">
        <v>22</v>
      </c>
      <c r="O662" s="3" t="s">
        <v>146</v>
      </c>
      <c r="P662">
        <f>DATEVALUE(OnePlusSalesData[[#This Row],[order_date]])</f>
        <v>44150</v>
      </c>
      <c r="Q662" s="28">
        <f>DATEVALUE(OnePlusSalesData[[#This Row],[delivery_date]])</f>
        <v>44152</v>
      </c>
    </row>
    <row r="663" spans="1:17" ht="16" x14ac:dyDescent="0.45">
      <c r="A663" s="8" t="s">
        <v>1495</v>
      </c>
      <c r="B663" s="8" t="s">
        <v>16</v>
      </c>
      <c r="C663" s="9" t="s">
        <v>140</v>
      </c>
      <c r="D663" s="9" t="s">
        <v>34</v>
      </c>
      <c r="E663" s="9" t="s">
        <v>35</v>
      </c>
      <c r="F663" s="10">
        <v>19999</v>
      </c>
      <c r="G663" s="11">
        <v>1</v>
      </c>
      <c r="H663" s="12">
        <v>0.05</v>
      </c>
      <c r="I663" s="13">
        <v>999.95</v>
      </c>
      <c r="J663" s="13">
        <v>18999.05</v>
      </c>
      <c r="K663" s="13">
        <v>3194.2</v>
      </c>
      <c r="L663" s="8" t="s">
        <v>1057</v>
      </c>
      <c r="M663" s="19" t="s">
        <v>606</v>
      </c>
      <c r="N663" s="9" t="s">
        <v>22</v>
      </c>
      <c r="O663" s="9" t="s">
        <v>63</v>
      </c>
      <c r="P663">
        <f>DATEVALUE(OnePlusSalesData[[#This Row],[order_date]])</f>
        <v>43596</v>
      </c>
      <c r="Q663" s="28">
        <f>DATEVALUE(OnePlusSalesData[[#This Row],[delivery_date]])</f>
        <v>43602</v>
      </c>
    </row>
    <row r="664" spans="1:17" ht="16" x14ac:dyDescent="0.45">
      <c r="A664" s="2" t="s">
        <v>1496</v>
      </c>
      <c r="B664" s="2" t="s">
        <v>16</v>
      </c>
      <c r="C664" s="3" t="s">
        <v>152</v>
      </c>
      <c r="D664" s="3" t="s">
        <v>18</v>
      </c>
      <c r="E664" s="3" t="s">
        <v>179</v>
      </c>
      <c r="F664" s="4">
        <v>1290</v>
      </c>
      <c r="G664" s="5">
        <v>1</v>
      </c>
      <c r="H664" s="6">
        <v>0.12</v>
      </c>
      <c r="I664" s="7">
        <v>154.80000000000001</v>
      </c>
      <c r="J664" s="7">
        <v>1135.2</v>
      </c>
      <c r="K664" s="7">
        <v>226.16</v>
      </c>
      <c r="L664" s="2" t="s">
        <v>804</v>
      </c>
      <c r="M664" s="18" t="s">
        <v>805</v>
      </c>
      <c r="N664" s="3" t="s">
        <v>92</v>
      </c>
      <c r="O664" s="3" t="s">
        <v>31</v>
      </c>
      <c r="P664">
        <f>DATEVALUE(OnePlusSalesData[[#This Row],[order_date]])</f>
        <v>43327</v>
      </c>
      <c r="Q664" s="28">
        <f>DATEVALUE(OnePlusSalesData[[#This Row],[delivery_date]])</f>
        <v>43332</v>
      </c>
    </row>
    <row r="665" spans="1:17" ht="16" x14ac:dyDescent="0.45">
      <c r="A665" s="8" t="s">
        <v>1497</v>
      </c>
      <c r="B665" s="8" t="s">
        <v>25</v>
      </c>
      <c r="C665" s="9" t="s">
        <v>120</v>
      </c>
      <c r="D665" s="9" t="s">
        <v>40</v>
      </c>
      <c r="E665" s="9" t="s">
        <v>73</v>
      </c>
      <c r="F665" s="10">
        <v>32999</v>
      </c>
      <c r="G665" s="11">
        <v>1</v>
      </c>
      <c r="H665" s="12">
        <v>0.1</v>
      </c>
      <c r="I665" s="13">
        <v>3299.9</v>
      </c>
      <c r="J665" s="13">
        <v>29699.1</v>
      </c>
      <c r="K665" s="13">
        <v>7241.69</v>
      </c>
      <c r="L665" s="8" t="s">
        <v>157</v>
      </c>
      <c r="M665" s="19" t="s">
        <v>1498</v>
      </c>
      <c r="N665" s="9" t="s">
        <v>92</v>
      </c>
      <c r="O665" s="9" t="s">
        <v>23</v>
      </c>
      <c r="P665">
        <f>DATEVALUE(OnePlusSalesData[[#This Row],[order_date]])</f>
        <v>44099</v>
      </c>
      <c r="Q665" s="28">
        <f>DATEVALUE(OnePlusSalesData[[#This Row],[delivery_date]])</f>
        <v>44104</v>
      </c>
    </row>
    <row r="666" spans="1:17" ht="16" x14ac:dyDescent="0.45">
      <c r="A666" s="2" t="s">
        <v>1499</v>
      </c>
      <c r="B666" s="2" t="s">
        <v>16</v>
      </c>
      <c r="C666" s="3" t="s">
        <v>39</v>
      </c>
      <c r="D666" s="3" t="s">
        <v>40</v>
      </c>
      <c r="E666" s="3" t="s">
        <v>41</v>
      </c>
      <c r="F666" s="4">
        <v>37999</v>
      </c>
      <c r="G666" s="5">
        <v>1</v>
      </c>
      <c r="H666" s="6">
        <v>0.1</v>
      </c>
      <c r="I666" s="7">
        <v>3799.9</v>
      </c>
      <c r="J666" s="7">
        <v>34199.1</v>
      </c>
      <c r="K666" s="7">
        <v>5588.12</v>
      </c>
      <c r="L666" s="2" t="s">
        <v>1500</v>
      </c>
      <c r="M666" s="18" t="s">
        <v>920</v>
      </c>
      <c r="N666" s="3" t="s">
        <v>22</v>
      </c>
      <c r="O666" s="3" t="s">
        <v>96</v>
      </c>
      <c r="P666">
        <f>DATEVALUE(OnePlusSalesData[[#This Row],[order_date]])</f>
        <v>43184</v>
      </c>
      <c r="Q666" s="28">
        <f>DATEVALUE(OnePlusSalesData[[#This Row],[delivery_date]])</f>
        <v>43189</v>
      </c>
    </row>
    <row r="667" spans="1:17" ht="16" x14ac:dyDescent="0.45">
      <c r="A667" s="8" t="s">
        <v>1501</v>
      </c>
      <c r="B667" s="8" t="s">
        <v>52</v>
      </c>
      <c r="C667" s="9" t="s">
        <v>53</v>
      </c>
      <c r="D667" s="9" t="s">
        <v>27</v>
      </c>
      <c r="E667" s="9" t="s">
        <v>176</v>
      </c>
      <c r="F667" s="10">
        <v>69900</v>
      </c>
      <c r="G667" s="11">
        <v>1</v>
      </c>
      <c r="H667" s="12">
        <v>0.05</v>
      </c>
      <c r="I667" s="13">
        <v>3495</v>
      </c>
      <c r="J667" s="13">
        <v>66405</v>
      </c>
      <c r="K667" s="13">
        <v>10160.5</v>
      </c>
      <c r="L667" s="8" t="s">
        <v>1502</v>
      </c>
      <c r="M667" s="19" t="s">
        <v>1456</v>
      </c>
      <c r="N667" s="9" t="s">
        <v>22</v>
      </c>
      <c r="O667" s="9" t="s">
        <v>31</v>
      </c>
      <c r="P667">
        <f>DATEVALUE(OnePlusSalesData[[#This Row],[order_date]])</f>
        <v>43539</v>
      </c>
      <c r="Q667" s="28">
        <f>DATEVALUE(OnePlusSalesData[[#This Row],[delivery_date]])</f>
        <v>43546</v>
      </c>
    </row>
    <row r="668" spans="1:17" ht="16" x14ac:dyDescent="0.45">
      <c r="A668" s="2" t="s">
        <v>1503</v>
      </c>
      <c r="B668" s="2" t="s">
        <v>52</v>
      </c>
      <c r="C668" s="3" t="s">
        <v>69</v>
      </c>
      <c r="D668" s="3" t="s">
        <v>85</v>
      </c>
      <c r="E668" s="3" t="s">
        <v>228</v>
      </c>
      <c r="F668" s="4">
        <v>5990</v>
      </c>
      <c r="G668" s="5">
        <v>1</v>
      </c>
      <c r="H668" s="6">
        <v>0.05</v>
      </c>
      <c r="I668" s="7">
        <v>299.5</v>
      </c>
      <c r="J668" s="7">
        <v>5690.5</v>
      </c>
      <c r="K668" s="7">
        <v>831.03</v>
      </c>
      <c r="L668" s="2" t="s">
        <v>94</v>
      </c>
      <c r="M668" s="18" t="s">
        <v>1504</v>
      </c>
      <c r="N668" s="3" t="s">
        <v>92</v>
      </c>
      <c r="O668" s="3" t="s">
        <v>23</v>
      </c>
      <c r="P668">
        <f>DATEVALUE(OnePlusSalesData[[#This Row],[order_date]])</f>
        <v>44052</v>
      </c>
      <c r="Q668" s="28">
        <f>DATEVALUE(OnePlusSalesData[[#This Row],[delivery_date]])</f>
        <v>44057</v>
      </c>
    </row>
    <row r="669" spans="1:17" ht="16" x14ac:dyDescent="0.45">
      <c r="A669" s="8" t="s">
        <v>1505</v>
      </c>
      <c r="B669" s="8" t="s">
        <v>52</v>
      </c>
      <c r="C669" s="9" t="s">
        <v>69</v>
      </c>
      <c r="D669" s="9" t="s">
        <v>18</v>
      </c>
      <c r="E669" s="9" t="s">
        <v>124</v>
      </c>
      <c r="F669" s="10">
        <v>3990</v>
      </c>
      <c r="G669" s="11">
        <v>3</v>
      </c>
      <c r="H669" s="12">
        <v>0</v>
      </c>
      <c r="I669" s="13">
        <v>0</v>
      </c>
      <c r="J669" s="13">
        <v>11970</v>
      </c>
      <c r="K669" s="13">
        <v>2108.41</v>
      </c>
      <c r="L669" s="8" t="s">
        <v>1506</v>
      </c>
      <c r="M669" s="19" t="s">
        <v>845</v>
      </c>
      <c r="N669" s="9" t="s">
        <v>50</v>
      </c>
      <c r="O669" s="9" t="s">
        <v>23</v>
      </c>
      <c r="P669">
        <f>DATEVALUE(OnePlusSalesData[[#This Row],[order_date]])</f>
        <v>43918</v>
      </c>
      <c r="Q669" s="28">
        <f>DATEVALUE(OnePlusSalesData[[#This Row],[delivery_date]])</f>
        <v>43924</v>
      </c>
    </row>
    <row r="670" spans="1:17" ht="16" x14ac:dyDescent="0.45">
      <c r="A670" s="2" t="s">
        <v>1507</v>
      </c>
      <c r="B670" s="2" t="s">
        <v>16</v>
      </c>
      <c r="C670" s="3" t="s">
        <v>33</v>
      </c>
      <c r="D670" s="3" t="s">
        <v>27</v>
      </c>
      <c r="E670" s="3" t="s">
        <v>176</v>
      </c>
      <c r="F670" s="4">
        <v>69900</v>
      </c>
      <c r="G670" s="5">
        <v>1</v>
      </c>
      <c r="H670" s="6">
        <v>0.08</v>
      </c>
      <c r="I670" s="7">
        <v>5592</v>
      </c>
      <c r="J670" s="7">
        <v>64308</v>
      </c>
      <c r="K670" s="7">
        <v>11338.45</v>
      </c>
      <c r="L670" s="2" t="s">
        <v>687</v>
      </c>
      <c r="M670" s="18" t="s">
        <v>688</v>
      </c>
      <c r="N670" s="3" t="s">
        <v>22</v>
      </c>
      <c r="O670" s="3" t="s">
        <v>31</v>
      </c>
      <c r="P670">
        <f>DATEVALUE(OnePlusSalesData[[#This Row],[order_date]])</f>
        <v>44068</v>
      </c>
      <c r="Q670" s="28">
        <f>DATEVALUE(OnePlusSalesData[[#This Row],[delivery_date]])</f>
        <v>44072</v>
      </c>
    </row>
    <row r="671" spans="1:17" ht="16" x14ac:dyDescent="0.45">
      <c r="A671" s="8" t="s">
        <v>1508</v>
      </c>
      <c r="B671" s="8" t="s">
        <v>25</v>
      </c>
      <c r="C671" s="9" t="s">
        <v>26</v>
      </c>
      <c r="D671" s="9" t="s">
        <v>85</v>
      </c>
      <c r="E671" s="9" t="s">
        <v>86</v>
      </c>
      <c r="F671" s="10">
        <v>1999</v>
      </c>
      <c r="G671" s="11">
        <v>1</v>
      </c>
      <c r="H671" s="12">
        <v>0</v>
      </c>
      <c r="I671" s="13">
        <v>0</v>
      </c>
      <c r="J671" s="13">
        <v>1999</v>
      </c>
      <c r="K671" s="13">
        <v>356.34</v>
      </c>
      <c r="L671" s="8" t="s">
        <v>763</v>
      </c>
      <c r="M671" s="19" t="s">
        <v>1509</v>
      </c>
      <c r="N671" s="9" t="s">
        <v>22</v>
      </c>
      <c r="O671" s="9" t="s">
        <v>23</v>
      </c>
      <c r="P671">
        <f>DATEVALUE(OnePlusSalesData[[#This Row],[order_date]])</f>
        <v>43507</v>
      </c>
      <c r="Q671" s="28">
        <f>DATEVALUE(OnePlusSalesData[[#This Row],[delivery_date]])</f>
        <v>43513</v>
      </c>
    </row>
    <row r="672" spans="1:17" ht="16" x14ac:dyDescent="0.45">
      <c r="A672" s="2" t="s">
        <v>1510</v>
      </c>
      <c r="B672" s="2" t="s">
        <v>58</v>
      </c>
      <c r="C672" s="3" t="s">
        <v>59</v>
      </c>
      <c r="D672" s="3" t="s">
        <v>18</v>
      </c>
      <c r="E672" s="3" t="s">
        <v>102</v>
      </c>
      <c r="F672" s="4">
        <v>1490</v>
      </c>
      <c r="G672" s="5">
        <v>1</v>
      </c>
      <c r="H672" s="6">
        <v>0.05</v>
      </c>
      <c r="I672" s="7">
        <v>74.5</v>
      </c>
      <c r="J672" s="7">
        <v>1415.5</v>
      </c>
      <c r="K672" s="7">
        <v>213.43</v>
      </c>
      <c r="L672" s="2" t="s">
        <v>310</v>
      </c>
      <c r="M672" s="18" t="s">
        <v>694</v>
      </c>
      <c r="N672" s="3" t="s">
        <v>22</v>
      </c>
      <c r="O672" s="3" t="s">
        <v>23</v>
      </c>
      <c r="P672">
        <f>DATEVALUE(OnePlusSalesData[[#This Row],[order_date]])</f>
        <v>43950</v>
      </c>
      <c r="Q672" s="28">
        <f>DATEVALUE(OnePlusSalesData[[#This Row],[delivery_date]])</f>
        <v>43956</v>
      </c>
    </row>
    <row r="673" spans="1:17" ht="16" x14ac:dyDescent="0.45">
      <c r="A673" s="8" t="s">
        <v>1511</v>
      </c>
      <c r="B673" s="8" t="s">
        <v>58</v>
      </c>
      <c r="C673" s="9" t="s">
        <v>221</v>
      </c>
      <c r="D673" s="9" t="s">
        <v>40</v>
      </c>
      <c r="E673" s="9" t="s">
        <v>98</v>
      </c>
      <c r="F673" s="10">
        <v>34999</v>
      </c>
      <c r="G673" s="11">
        <v>4</v>
      </c>
      <c r="H673" s="12">
        <v>0</v>
      </c>
      <c r="I673" s="13">
        <v>0</v>
      </c>
      <c r="J673" s="13">
        <v>139996</v>
      </c>
      <c r="K673" s="13">
        <v>35644.04</v>
      </c>
      <c r="L673" s="8" t="s">
        <v>384</v>
      </c>
      <c r="M673" s="19" t="s">
        <v>1119</v>
      </c>
      <c r="N673" s="9" t="s">
        <v>22</v>
      </c>
      <c r="O673" s="9" t="s">
        <v>146</v>
      </c>
      <c r="P673">
        <f>DATEVALUE(OnePlusSalesData[[#This Row],[order_date]])</f>
        <v>44100</v>
      </c>
      <c r="Q673" s="28">
        <f>DATEVALUE(OnePlusSalesData[[#This Row],[delivery_date]])</f>
        <v>44105</v>
      </c>
    </row>
    <row r="674" spans="1:17" ht="16" x14ac:dyDescent="0.45">
      <c r="A674" s="2" t="s">
        <v>1512</v>
      </c>
      <c r="B674" s="2" t="s">
        <v>16</v>
      </c>
      <c r="C674" s="3" t="s">
        <v>140</v>
      </c>
      <c r="D674" s="3" t="s">
        <v>40</v>
      </c>
      <c r="E674" s="3" t="s">
        <v>73</v>
      </c>
      <c r="F674" s="4">
        <v>32999</v>
      </c>
      <c r="G674" s="5">
        <v>2</v>
      </c>
      <c r="H674" s="6">
        <v>0.12</v>
      </c>
      <c r="I674" s="7">
        <v>7919.76</v>
      </c>
      <c r="J674" s="7">
        <v>58078.239999999998</v>
      </c>
      <c r="K674" s="7">
        <v>11501.98</v>
      </c>
      <c r="L674" s="2" t="s">
        <v>1513</v>
      </c>
      <c r="M674" s="18" t="s">
        <v>21</v>
      </c>
      <c r="N674" s="3" t="s">
        <v>22</v>
      </c>
      <c r="O674" s="3" t="s">
        <v>31</v>
      </c>
      <c r="P674">
        <f>DATEVALUE(OnePlusSalesData[[#This Row],[order_date]])</f>
        <v>43566</v>
      </c>
      <c r="Q674" s="28">
        <f>DATEVALUE(OnePlusSalesData[[#This Row],[delivery_date]])</f>
        <v>43571</v>
      </c>
    </row>
    <row r="675" spans="1:17" ht="16" x14ac:dyDescent="0.45">
      <c r="A675" s="8" t="s">
        <v>1514</v>
      </c>
      <c r="B675" s="8" t="s">
        <v>25</v>
      </c>
      <c r="C675" s="9" t="s">
        <v>120</v>
      </c>
      <c r="D675" s="9" t="s">
        <v>40</v>
      </c>
      <c r="E675" s="9" t="s">
        <v>406</v>
      </c>
      <c r="F675" s="10">
        <v>48999</v>
      </c>
      <c r="G675" s="11">
        <v>2</v>
      </c>
      <c r="H675" s="12">
        <v>0.1</v>
      </c>
      <c r="I675" s="13">
        <v>9799.7999999999993</v>
      </c>
      <c r="J675" s="13">
        <v>88198.2</v>
      </c>
      <c r="K675" s="13">
        <v>13971.44</v>
      </c>
      <c r="L675" s="8" t="s">
        <v>910</v>
      </c>
      <c r="M675" s="19" t="s">
        <v>1515</v>
      </c>
      <c r="N675" s="9" t="s">
        <v>22</v>
      </c>
      <c r="O675" s="9" t="s">
        <v>63</v>
      </c>
      <c r="P675">
        <f>DATEVALUE(OnePlusSalesData[[#This Row],[order_date]])</f>
        <v>43163</v>
      </c>
      <c r="Q675" s="28">
        <f>DATEVALUE(OnePlusSalesData[[#This Row],[delivery_date]])</f>
        <v>43166</v>
      </c>
    </row>
    <row r="676" spans="1:17" ht="16" x14ac:dyDescent="0.45">
      <c r="A676" s="2" t="s">
        <v>1516</v>
      </c>
      <c r="B676" s="2" t="s">
        <v>52</v>
      </c>
      <c r="C676" s="3" t="s">
        <v>106</v>
      </c>
      <c r="D676" s="3" t="s">
        <v>40</v>
      </c>
      <c r="E676" s="3" t="s">
        <v>148</v>
      </c>
      <c r="F676" s="4">
        <v>41999</v>
      </c>
      <c r="G676" s="5">
        <v>1</v>
      </c>
      <c r="H676" s="6">
        <v>0</v>
      </c>
      <c r="I676" s="7">
        <v>0</v>
      </c>
      <c r="J676" s="7">
        <v>41999</v>
      </c>
      <c r="K676" s="7">
        <v>9045.9500000000007</v>
      </c>
      <c r="L676" s="2" t="s">
        <v>1333</v>
      </c>
      <c r="M676" s="18" t="s">
        <v>1517</v>
      </c>
      <c r="N676" s="3" t="s">
        <v>44</v>
      </c>
      <c r="O676" s="3" t="s">
        <v>63</v>
      </c>
      <c r="P676">
        <f>DATEVALUE(OnePlusSalesData[[#This Row],[order_date]])</f>
        <v>43854</v>
      </c>
      <c r="Q676" s="28">
        <f>DATEVALUE(OnePlusSalesData[[#This Row],[delivery_date]])</f>
        <v>43861</v>
      </c>
    </row>
    <row r="677" spans="1:17" ht="16" x14ac:dyDescent="0.45">
      <c r="A677" s="8" t="s">
        <v>1518</v>
      </c>
      <c r="B677" s="8" t="s">
        <v>16</v>
      </c>
      <c r="C677" s="9" t="s">
        <v>152</v>
      </c>
      <c r="D677" s="9" t="s">
        <v>40</v>
      </c>
      <c r="E677" s="9" t="s">
        <v>41</v>
      </c>
      <c r="F677" s="10">
        <v>37999</v>
      </c>
      <c r="G677" s="11">
        <v>1</v>
      </c>
      <c r="H677" s="12">
        <v>0</v>
      </c>
      <c r="I677" s="13">
        <v>0</v>
      </c>
      <c r="J677" s="13">
        <v>37999</v>
      </c>
      <c r="K677" s="13">
        <v>7046.7</v>
      </c>
      <c r="L677" s="8" t="s">
        <v>292</v>
      </c>
      <c r="M677" s="19" t="s">
        <v>1519</v>
      </c>
      <c r="N677" s="9" t="s">
        <v>22</v>
      </c>
      <c r="O677" s="9" t="s">
        <v>31</v>
      </c>
      <c r="P677">
        <f>DATEVALUE(OnePlusSalesData[[#This Row],[order_date]])</f>
        <v>43480</v>
      </c>
      <c r="Q677" s="28">
        <f>DATEVALUE(OnePlusSalesData[[#This Row],[delivery_date]])</f>
        <v>43484</v>
      </c>
    </row>
    <row r="678" spans="1:17" ht="16" x14ac:dyDescent="0.45">
      <c r="A678" s="2" t="s">
        <v>1520</v>
      </c>
      <c r="B678" s="2" t="s">
        <v>52</v>
      </c>
      <c r="C678" s="3" t="s">
        <v>53</v>
      </c>
      <c r="D678" s="3" t="s">
        <v>34</v>
      </c>
      <c r="E678" s="3" t="s">
        <v>35</v>
      </c>
      <c r="F678" s="4">
        <v>19999</v>
      </c>
      <c r="G678" s="5">
        <v>2</v>
      </c>
      <c r="H678" s="6">
        <v>0.05</v>
      </c>
      <c r="I678" s="7">
        <v>1999.9</v>
      </c>
      <c r="J678" s="7">
        <v>37998.1</v>
      </c>
      <c r="K678" s="7">
        <v>7212.75</v>
      </c>
      <c r="L678" s="2" t="s">
        <v>1521</v>
      </c>
      <c r="M678" s="18" t="s">
        <v>169</v>
      </c>
      <c r="N678" s="3" t="s">
        <v>92</v>
      </c>
      <c r="O678" s="3" t="s">
        <v>63</v>
      </c>
      <c r="P678">
        <f>DATEVALUE(OnePlusSalesData[[#This Row],[order_date]])</f>
        <v>44165</v>
      </c>
      <c r="Q678" s="28">
        <f>DATEVALUE(OnePlusSalesData[[#This Row],[delivery_date]])</f>
        <v>44171</v>
      </c>
    </row>
    <row r="679" spans="1:17" ht="16" x14ac:dyDescent="0.45">
      <c r="A679" s="8" t="s">
        <v>1522</v>
      </c>
      <c r="B679" s="8" t="s">
        <v>25</v>
      </c>
      <c r="C679" s="9" t="s">
        <v>26</v>
      </c>
      <c r="D679" s="9" t="s">
        <v>40</v>
      </c>
      <c r="E679" s="9" t="s">
        <v>148</v>
      </c>
      <c r="F679" s="10">
        <v>41999</v>
      </c>
      <c r="G679" s="11">
        <v>1</v>
      </c>
      <c r="H679" s="12">
        <v>0.05</v>
      </c>
      <c r="I679" s="13">
        <v>2099.9499999999998</v>
      </c>
      <c r="J679" s="13">
        <v>39899.050000000003</v>
      </c>
      <c r="K679" s="13">
        <v>5672.44</v>
      </c>
      <c r="L679" s="8" t="s">
        <v>91</v>
      </c>
      <c r="M679" s="19" t="s">
        <v>1372</v>
      </c>
      <c r="N679" s="9" t="s">
        <v>22</v>
      </c>
      <c r="O679" s="9" t="s">
        <v>96</v>
      </c>
      <c r="P679">
        <f>DATEVALUE(OnePlusSalesData[[#This Row],[order_date]])</f>
        <v>43424</v>
      </c>
      <c r="Q679" s="28">
        <f>DATEVALUE(OnePlusSalesData[[#This Row],[delivery_date]])</f>
        <v>43428</v>
      </c>
    </row>
    <row r="680" spans="1:17" ht="16" x14ac:dyDescent="0.45">
      <c r="A680" s="2" t="s">
        <v>1523</v>
      </c>
      <c r="B680" s="2" t="s">
        <v>52</v>
      </c>
      <c r="C680" s="3" t="s">
        <v>192</v>
      </c>
      <c r="D680" s="3" t="s">
        <v>18</v>
      </c>
      <c r="E680" s="3" t="s">
        <v>124</v>
      </c>
      <c r="F680" s="4">
        <v>3990</v>
      </c>
      <c r="G680" s="5">
        <v>1</v>
      </c>
      <c r="H680" s="6">
        <v>0.1</v>
      </c>
      <c r="I680" s="7">
        <v>399</v>
      </c>
      <c r="J680" s="7">
        <v>3591</v>
      </c>
      <c r="K680" s="7">
        <v>570.23</v>
      </c>
      <c r="L680" s="2" t="s">
        <v>1524</v>
      </c>
      <c r="M680" s="18" t="s">
        <v>301</v>
      </c>
      <c r="N680" s="3" t="s">
        <v>50</v>
      </c>
      <c r="O680" s="3" t="s">
        <v>31</v>
      </c>
      <c r="P680">
        <f>DATEVALUE(OnePlusSalesData[[#This Row],[order_date]])</f>
        <v>43205</v>
      </c>
      <c r="Q680" s="28">
        <f>DATEVALUE(OnePlusSalesData[[#This Row],[delivery_date]])</f>
        <v>43208</v>
      </c>
    </row>
    <row r="681" spans="1:17" ht="16" x14ac:dyDescent="0.45">
      <c r="A681" s="8" t="s">
        <v>1525</v>
      </c>
      <c r="B681" s="8" t="s">
        <v>58</v>
      </c>
      <c r="C681" s="9" t="s">
        <v>221</v>
      </c>
      <c r="D681" s="9" t="s">
        <v>40</v>
      </c>
      <c r="E681" s="9" t="s">
        <v>60</v>
      </c>
      <c r="F681" s="10">
        <v>54999</v>
      </c>
      <c r="G681" s="11">
        <v>3</v>
      </c>
      <c r="H681" s="12">
        <v>0.12</v>
      </c>
      <c r="I681" s="13">
        <v>19799.64</v>
      </c>
      <c r="J681" s="13">
        <v>145197.35999999999</v>
      </c>
      <c r="K681" s="13">
        <v>32016.57</v>
      </c>
      <c r="L681" s="8" t="s">
        <v>457</v>
      </c>
      <c r="M681" s="19" t="s">
        <v>1169</v>
      </c>
      <c r="N681" s="9" t="s">
        <v>22</v>
      </c>
      <c r="O681" s="9" t="s">
        <v>63</v>
      </c>
      <c r="P681">
        <f>DATEVALUE(OnePlusSalesData[[#This Row],[order_date]])</f>
        <v>43325</v>
      </c>
      <c r="Q681" s="28">
        <f>DATEVALUE(OnePlusSalesData[[#This Row],[delivery_date]])</f>
        <v>43328</v>
      </c>
    </row>
    <row r="682" spans="1:17" ht="16" x14ac:dyDescent="0.45">
      <c r="A682" s="2" t="s">
        <v>1526</v>
      </c>
      <c r="B682" s="2" t="s">
        <v>25</v>
      </c>
      <c r="C682" s="3" t="s">
        <v>120</v>
      </c>
      <c r="D682" s="3" t="s">
        <v>40</v>
      </c>
      <c r="E682" s="3" t="s">
        <v>98</v>
      </c>
      <c r="F682" s="4">
        <v>34999</v>
      </c>
      <c r="G682" s="5">
        <v>3</v>
      </c>
      <c r="H682" s="6">
        <v>0</v>
      </c>
      <c r="I682" s="7">
        <v>0</v>
      </c>
      <c r="J682" s="7">
        <v>104997</v>
      </c>
      <c r="K682" s="7">
        <v>25117.82</v>
      </c>
      <c r="L682" s="2" t="s">
        <v>472</v>
      </c>
      <c r="M682" s="18" t="s">
        <v>1527</v>
      </c>
      <c r="N682" s="3" t="s">
        <v>92</v>
      </c>
      <c r="O682" s="3" t="s">
        <v>23</v>
      </c>
      <c r="P682">
        <f>DATEVALUE(OnePlusSalesData[[#This Row],[order_date]])</f>
        <v>43255</v>
      </c>
      <c r="Q682" s="28">
        <f>DATEVALUE(OnePlusSalesData[[#This Row],[delivery_date]])</f>
        <v>43257</v>
      </c>
    </row>
    <row r="683" spans="1:17" ht="16" x14ac:dyDescent="0.45">
      <c r="A683" s="8" t="s">
        <v>1528</v>
      </c>
      <c r="B683" s="8" t="s">
        <v>16</v>
      </c>
      <c r="C683" s="9" t="s">
        <v>17</v>
      </c>
      <c r="D683" s="9" t="s">
        <v>18</v>
      </c>
      <c r="E683" s="9" t="s">
        <v>102</v>
      </c>
      <c r="F683" s="10">
        <v>1490</v>
      </c>
      <c r="G683" s="11">
        <v>1</v>
      </c>
      <c r="H683" s="12">
        <v>0.12</v>
      </c>
      <c r="I683" s="13">
        <v>178.8</v>
      </c>
      <c r="J683" s="13">
        <v>1311.2</v>
      </c>
      <c r="K683" s="13">
        <v>254.72</v>
      </c>
      <c r="L683" s="8" t="s">
        <v>291</v>
      </c>
      <c r="M683" s="19" t="s">
        <v>292</v>
      </c>
      <c r="N683" s="9" t="s">
        <v>44</v>
      </c>
      <c r="O683" s="9" t="s">
        <v>63</v>
      </c>
      <c r="P683">
        <f>DATEVALUE(OnePlusSalesData[[#This Row],[order_date]])</f>
        <v>43476</v>
      </c>
      <c r="Q683" s="28">
        <f>DATEVALUE(OnePlusSalesData[[#This Row],[delivery_date]])</f>
        <v>43480</v>
      </c>
    </row>
    <row r="684" spans="1:17" ht="16" x14ac:dyDescent="0.45">
      <c r="A684" s="2" t="s">
        <v>1529</v>
      </c>
      <c r="B684" s="2" t="s">
        <v>58</v>
      </c>
      <c r="C684" s="3" t="s">
        <v>113</v>
      </c>
      <c r="D684" s="3" t="s">
        <v>40</v>
      </c>
      <c r="E684" s="3" t="s">
        <v>73</v>
      </c>
      <c r="F684" s="4">
        <v>32999</v>
      </c>
      <c r="G684" s="5">
        <v>1</v>
      </c>
      <c r="H684" s="6">
        <v>0</v>
      </c>
      <c r="I684" s="7">
        <v>0</v>
      </c>
      <c r="J684" s="7">
        <v>32999</v>
      </c>
      <c r="K684" s="7">
        <v>7489.02</v>
      </c>
      <c r="L684" s="2" t="s">
        <v>340</v>
      </c>
      <c r="M684" s="18" t="s">
        <v>565</v>
      </c>
      <c r="N684" s="3" t="s">
        <v>22</v>
      </c>
      <c r="O684" s="3" t="s">
        <v>23</v>
      </c>
      <c r="P684">
        <f>DATEVALUE(OnePlusSalesData[[#This Row],[order_date]])</f>
        <v>44132</v>
      </c>
      <c r="Q684" s="28">
        <f>DATEVALUE(OnePlusSalesData[[#This Row],[delivery_date]])</f>
        <v>44136</v>
      </c>
    </row>
    <row r="685" spans="1:17" ht="16" x14ac:dyDescent="0.45">
      <c r="A685" s="8" t="s">
        <v>1530</v>
      </c>
      <c r="B685" s="8" t="s">
        <v>16</v>
      </c>
      <c r="C685" s="9" t="s">
        <v>17</v>
      </c>
      <c r="D685" s="9" t="s">
        <v>40</v>
      </c>
      <c r="E685" s="9" t="s">
        <v>60</v>
      </c>
      <c r="F685" s="10">
        <v>54999</v>
      </c>
      <c r="G685" s="11">
        <v>1</v>
      </c>
      <c r="H685" s="12">
        <v>0.08</v>
      </c>
      <c r="I685" s="13">
        <v>4399.92</v>
      </c>
      <c r="J685" s="13">
        <v>50599.08</v>
      </c>
      <c r="K685" s="13">
        <v>12236.52</v>
      </c>
      <c r="L685" s="8" t="s">
        <v>497</v>
      </c>
      <c r="M685" s="19" t="s">
        <v>275</v>
      </c>
      <c r="N685" s="9" t="s">
        <v>22</v>
      </c>
      <c r="O685" s="9" t="s">
        <v>23</v>
      </c>
      <c r="P685">
        <f>DATEVALUE(OnePlusSalesData[[#This Row],[order_date]])</f>
        <v>43408</v>
      </c>
      <c r="Q685" s="28">
        <f>DATEVALUE(OnePlusSalesData[[#This Row],[delivery_date]])</f>
        <v>43415</v>
      </c>
    </row>
    <row r="686" spans="1:17" ht="16" x14ac:dyDescent="0.45">
      <c r="A686" s="2" t="s">
        <v>1531</v>
      </c>
      <c r="B686" s="2" t="s">
        <v>58</v>
      </c>
      <c r="C686" s="3" t="s">
        <v>81</v>
      </c>
      <c r="D686" s="3" t="s">
        <v>85</v>
      </c>
      <c r="E686" s="3" t="s">
        <v>265</v>
      </c>
      <c r="F686" s="4">
        <v>4990</v>
      </c>
      <c r="G686" s="5">
        <v>1</v>
      </c>
      <c r="H686" s="6">
        <v>0.08</v>
      </c>
      <c r="I686" s="7">
        <v>399.2</v>
      </c>
      <c r="J686" s="7">
        <v>4590.8</v>
      </c>
      <c r="K686" s="7">
        <v>658.85</v>
      </c>
      <c r="L686" s="2" t="s">
        <v>1246</v>
      </c>
      <c r="M686" s="18" t="s">
        <v>322</v>
      </c>
      <c r="N686" s="3" t="s">
        <v>22</v>
      </c>
      <c r="O686" s="3" t="s">
        <v>23</v>
      </c>
      <c r="P686">
        <f>DATEVALUE(OnePlusSalesData[[#This Row],[order_date]])</f>
        <v>43215</v>
      </c>
      <c r="Q686" s="28">
        <f>DATEVALUE(OnePlusSalesData[[#This Row],[delivery_date]])</f>
        <v>43217</v>
      </c>
    </row>
    <row r="687" spans="1:17" ht="16" x14ac:dyDescent="0.45">
      <c r="A687" s="8" t="s">
        <v>1532</v>
      </c>
      <c r="B687" s="8" t="s">
        <v>16</v>
      </c>
      <c r="C687" s="9" t="s">
        <v>140</v>
      </c>
      <c r="D687" s="9" t="s">
        <v>34</v>
      </c>
      <c r="E687" s="9" t="s">
        <v>77</v>
      </c>
      <c r="F687" s="10">
        <v>24999</v>
      </c>
      <c r="G687" s="11">
        <v>4</v>
      </c>
      <c r="H687" s="12">
        <v>0.05</v>
      </c>
      <c r="I687" s="13">
        <v>4999.8</v>
      </c>
      <c r="J687" s="13">
        <v>94996.2</v>
      </c>
      <c r="K687" s="13">
        <v>18619.439999999999</v>
      </c>
      <c r="L687" s="8" t="s">
        <v>1533</v>
      </c>
      <c r="M687" s="19" t="s">
        <v>970</v>
      </c>
      <c r="N687" s="9" t="s">
        <v>22</v>
      </c>
      <c r="O687" s="9" t="s">
        <v>63</v>
      </c>
      <c r="P687">
        <f>DATEVALUE(OnePlusSalesData[[#This Row],[order_date]])</f>
        <v>44021</v>
      </c>
      <c r="Q687" s="28">
        <f>DATEVALUE(OnePlusSalesData[[#This Row],[delivery_date]])</f>
        <v>44023</v>
      </c>
    </row>
    <row r="688" spans="1:17" ht="16" x14ac:dyDescent="0.45">
      <c r="A688" s="2" t="s">
        <v>1534</v>
      </c>
      <c r="B688" s="2" t="s">
        <v>16</v>
      </c>
      <c r="C688" s="3" t="s">
        <v>17</v>
      </c>
      <c r="D688" s="3" t="s">
        <v>85</v>
      </c>
      <c r="E688" s="3" t="s">
        <v>258</v>
      </c>
      <c r="F688" s="4">
        <v>2999</v>
      </c>
      <c r="G688" s="5">
        <v>2</v>
      </c>
      <c r="H688" s="6">
        <v>0</v>
      </c>
      <c r="I688" s="7">
        <v>0</v>
      </c>
      <c r="J688" s="7">
        <v>5998</v>
      </c>
      <c r="K688" s="7">
        <v>976.43</v>
      </c>
      <c r="L688" s="2" t="s">
        <v>459</v>
      </c>
      <c r="M688" s="18" t="s">
        <v>1535</v>
      </c>
      <c r="N688" s="3" t="s">
        <v>22</v>
      </c>
      <c r="O688" s="3" t="s">
        <v>23</v>
      </c>
      <c r="P688">
        <f>DATEVALUE(OnePlusSalesData[[#This Row],[order_date]])</f>
        <v>44000</v>
      </c>
      <c r="Q688" s="28">
        <f>DATEVALUE(OnePlusSalesData[[#This Row],[delivery_date]])</f>
        <v>44006</v>
      </c>
    </row>
    <row r="689" spans="1:17" ht="16" x14ac:dyDescent="0.45">
      <c r="A689" s="8" t="s">
        <v>1536</v>
      </c>
      <c r="B689" s="8" t="s">
        <v>52</v>
      </c>
      <c r="C689" s="9" t="s">
        <v>69</v>
      </c>
      <c r="D689" s="9" t="s">
        <v>40</v>
      </c>
      <c r="E689" s="9" t="s">
        <v>406</v>
      </c>
      <c r="F689" s="10">
        <v>48999</v>
      </c>
      <c r="G689" s="11">
        <v>3</v>
      </c>
      <c r="H689" s="12">
        <v>0.1</v>
      </c>
      <c r="I689" s="13">
        <v>14699.7</v>
      </c>
      <c r="J689" s="13">
        <v>132297.29999999999</v>
      </c>
      <c r="K689" s="13">
        <v>25096.240000000002</v>
      </c>
      <c r="L689" s="8" t="s">
        <v>88</v>
      </c>
      <c r="M689" s="19" t="s">
        <v>1356</v>
      </c>
      <c r="N689" s="9" t="s">
        <v>22</v>
      </c>
      <c r="O689" s="9" t="s">
        <v>23</v>
      </c>
      <c r="P689">
        <f>DATEVALUE(OnePlusSalesData[[#This Row],[order_date]])</f>
        <v>43292</v>
      </c>
      <c r="Q689" s="28">
        <f>DATEVALUE(OnePlusSalesData[[#This Row],[delivery_date]])</f>
        <v>43296</v>
      </c>
    </row>
    <row r="690" spans="1:17" ht="16" x14ac:dyDescent="0.45">
      <c r="A690" s="2" t="s">
        <v>1537</v>
      </c>
      <c r="B690" s="2" t="s">
        <v>25</v>
      </c>
      <c r="C690" s="3" t="s">
        <v>172</v>
      </c>
      <c r="D690" s="3" t="s">
        <v>18</v>
      </c>
      <c r="E690" s="3" t="s">
        <v>124</v>
      </c>
      <c r="F690" s="4">
        <v>3990</v>
      </c>
      <c r="G690" s="5">
        <v>1</v>
      </c>
      <c r="H690" s="6">
        <v>0.12</v>
      </c>
      <c r="I690" s="7">
        <v>478.8</v>
      </c>
      <c r="J690" s="7">
        <v>3511.2</v>
      </c>
      <c r="K690" s="7">
        <v>879.05</v>
      </c>
      <c r="L690" s="2" t="s">
        <v>1502</v>
      </c>
      <c r="M690" s="18" t="s">
        <v>1538</v>
      </c>
      <c r="N690" s="3" t="s">
        <v>50</v>
      </c>
      <c r="O690" s="3" t="s">
        <v>96</v>
      </c>
      <c r="P690">
        <f>DATEVALUE(OnePlusSalesData[[#This Row],[order_date]])</f>
        <v>43539</v>
      </c>
      <c r="Q690" s="28">
        <f>DATEVALUE(OnePlusSalesData[[#This Row],[delivery_date]])</f>
        <v>43544</v>
      </c>
    </row>
    <row r="691" spans="1:17" ht="16" x14ac:dyDescent="0.45">
      <c r="A691" s="8" t="s">
        <v>1539</v>
      </c>
      <c r="B691" s="8" t="s">
        <v>16</v>
      </c>
      <c r="C691" s="9" t="s">
        <v>17</v>
      </c>
      <c r="D691" s="9" t="s">
        <v>18</v>
      </c>
      <c r="E691" s="9" t="s">
        <v>179</v>
      </c>
      <c r="F691" s="10">
        <v>1290</v>
      </c>
      <c r="G691" s="11">
        <v>1</v>
      </c>
      <c r="H691" s="12">
        <v>0.05</v>
      </c>
      <c r="I691" s="13">
        <v>64.5</v>
      </c>
      <c r="J691" s="13">
        <v>1225.5</v>
      </c>
      <c r="K691" s="13">
        <v>195.73</v>
      </c>
      <c r="L691" s="8" t="s">
        <v>967</v>
      </c>
      <c r="M691" s="19" t="s">
        <v>483</v>
      </c>
      <c r="N691" s="9" t="s">
        <v>50</v>
      </c>
      <c r="O691" s="9" t="s">
        <v>63</v>
      </c>
      <c r="P691">
        <f>DATEVALUE(OnePlusSalesData[[#This Row],[order_date]])</f>
        <v>43563</v>
      </c>
      <c r="Q691" s="28">
        <f>DATEVALUE(OnePlusSalesData[[#This Row],[delivery_date]])</f>
        <v>43565</v>
      </c>
    </row>
    <row r="692" spans="1:17" ht="16" x14ac:dyDescent="0.45">
      <c r="A692" s="2" t="s">
        <v>1540</v>
      </c>
      <c r="B692" s="2" t="s">
        <v>16</v>
      </c>
      <c r="C692" s="3" t="s">
        <v>39</v>
      </c>
      <c r="D692" s="3" t="s">
        <v>85</v>
      </c>
      <c r="E692" s="3" t="s">
        <v>265</v>
      </c>
      <c r="F692" s="4">
        <v>4990</v>
      </c>
      <c r="G692" s="5">
        <v>2</v>
      </c>
      <c r="H692" s="6">
        <v>0.08</v>
      </c>
      <c r="I692" s="7">
        <v>798.4</v>
      </c>
      <c r="J692" s="7">
        <v>9181.6</v>
      </c>
      <c r="K692" s="7">
        <v>2329.67</v>
      </c>
      <c r="L692" s="2" t="s">
        <v>743</v>
      </c>
      <c r="M692" s="18" t="s">
        <v>1338</v>
      </c>
      <c r="N692" s="3" t="s">
        <v>22</v>
      </c>
      <c r="O692" s="3" t="s">
        <v>31</v>
      </c>
      <c r="P692">
        <f>DATEVALUE(OnePlusSalesData[[#This Row],[order_date]])</f>
        <v>43463</v>
      </c>
      <c r="Q692" s="28">
        <f>DATEVALUE(OnePlusSalesData[[#This Row],[delivery_date]])</f>
        <v>43470</v>
      </c>
    </row>
    <row r="693" spans="1:17" ht="16" x14ac:dyDescent="0.45">
      <c r="A693" s="8" t="s">
        <v>1541</v>
      </c>
      <c r="B693" s="8" t="s">
        <v>25</v>
      </c>
      <c r="C693" s="9" t="s">
        <v>26</v>
      </c>
      <c r="D693" s="9" t="s">
        <v>18</v>
      </c>
      <c r="E693" s="9" t="s">
        <v>19</v>
      </c>
      <c r="F693" s="10">
        <v>1990</v>
      </c>
      <c r="G693" s="11">
        <v>1</v>
      </c>
      <c r="H693" s="12">
        <v>0.08</v>
      </c>
      <c r="I693" s="13">
        <v>159.19999999999999</v>
      </c>
      <c r="J693" s="13">
        <v>1830.8</v>
      </c>
      <c r="K693" s="13">
        <v>378.74</v>
      </c>
      <c r="L693" s="8" t="s">
        <v>343</v>
      </c>
      <c r="M693" s="19" t="s">
        <v>503</v>
      </c>
      <c r="N693" s="9" t="s">
        <v>22</v>
      </c>
      <c r="O693" s="9" t="s">
        <v>31</v>
      </c>
      <c r="P693">
        <f>DATEVALUE(OnePlusSalesData[[#This Row],[order_date]])</f>
        <v>44110</v>
      </c>
      <c r="Q693" s="28">
        <f>DATEVALUE(OnePlusSalesData[[#This Row],[delivery_date]])</f>
        <v>44117</v>
      </c>
    </row>
    <row r="694" spans="1:17" ht="16" x14ac:dyDescent="0.45">
      <c r="A694" s="2" t="s">
        <v>1542</v>
      </c>
      <c r="B694" s="2" t="s">
        <v>52</v>
      </c>
      <c r="C694" s="3" t="s">
        <v>192</v>
      </c>
      <c r="D694" s="3" t="s">
        <v>34</v>
      </c>
      <c r="E694" s="3" t="s">
        <v>35</v>
      </c>
      <c r="F694" s="4">
        <v>19999</v>
      </c>
      <c r="G694" s="5">
        <v>1</v>
      </c>
      <c r="H694" s="6">
        <v>0.08</v>
      </c>
      <c r="I694" s="7">
        <v>1599.92</v>
      </c>
      <c r="J694" s="7">
        <v>18399.080000000002</v>
      </c>
      <c r="K694" s="7">
        <v>4450.47</v>
      </c>
      <c r="L694" s="2" t="s">
        <v>114</v>
      </c>
      <c r="M694" s="18" t="s">
        <v>397</v>
      </c>
      <c r="N694" s="3" t="s">
        <v>92</v>
      </c>
      <c r="O694" s="3" t="s">
        <v>63</v>
      </c>
      <c r="P694">
        <f>DATEVALUE(OnePlusSalesData[[#This Row],[order_date]])</f>
        <v>43981</v>
      </c>
      <c r="Q694" s="28">
        <f>DATEVALUE(OnePlusSalesData[[#This Row],[delivery_date]])</f>
        <v>43985</v>
      </c>
    </row>
    <row r="695" spans="1:17" ht="16" x14ac:dyDescent="0.45">
      <c r="A695" s="8" t="s">
        <v>1543</v>
      </c>
      <c r="B695" s="8" t="s">
        <v>58</v>
      </c>
      <c r="C695" s="9" t="s">
        <v>221</v>
      </c>
      <c r="D695" s="9" t="s">
        <v>40</v>
      </c>
      <c r="E695" s="9" t="s">
        <v>60</v>
      </c>
      <c r="F695" s="10">
        <v>54999</v>
      </c>
      <c r="G695" s="11">
        <v>1</v>
      </c>
      <c r="H695" s="12">
        <v>0.05</v>
      </c>
      <c r="I695" s="13">
        <v>2749.95</v>
      </c>
      <c r="J695" s="13">
        <v>52249.05</v>
      </c>
      <c r="K695" s="13">
        <v>13212.89</v>
      </c>
      <c r="L695" s="8" t="s">
        <v>1058</v>
      </c>
      <c r="M695" s="19" t="s">
        <v>210</v>
      </c>
      <c r="N695" s="9" t="s">
        <v>22</v>
      </c>
      <c r="O695" s="9" t="s">
        <v>23</v>
      </c>
      <c r="P695">
        <f>DATEVALUE(OnePlusSalesData[[#This Row],[order_date]])</f>
        <v>43603</v>
      </c>
      <c r="Q695" s="28">
        <f>DATEVALUE(OnePlusSalesData[[#This Row],[delivery_date]])</f>
        <v>43605</v>
      </c>
    </row>
    <row r="696" spans="1:17" ht="16" x14ac:dyDescent="0.45">
      <c r="A696" s="2" t="s">
        <v>1544</v>
      </c>
      <c r="B696" s="2" t="s">
        <v>58</v>
      </c>
      <c r="C696" s="3" t="s">
        <v>257</v>
      </c>
      <c r="D696" s="3" t="s">
        <v>40</v>
      </c>
      <c r="E696" s="3" t="s">
        <v>148</v>
      </c>
      <c r="F696" s="4">
        <v>41999</v>
      </c>
      <c r="G696" s="5">
        <v>2</v>
      </c>
      <c r="H696" s="6">
        <v>0.05</v>
      </c>
      <c r="I696" s="7">
        <v>4199.8999999999996</v>
      </c>
      <c r="J696" s="7">
        <v>79798.100000000006</v>
      </c>
      <c r="K696" s="7">
        <v>20636.150000000001</v>
      </c>
      <c r="L696" s="2" t="s">
        <v>993</v>
      </c>
      <c r="M696" s="18" t="s">
        <v>323</v>
      </c>
      <c r="N696" s="3" t="s">
        <v>22</v>
      </c>
      <c r="O696" s="3" t="s">
        <v>63</v>
      </c>
      <c r="P696">
        <f>DATEVALUE(OnePlusSalesData[[#This Row],[order_date]])</f>
        <v>43216</v>
      </c>
      <c r="Q696" s="28">
        <f>DATEVALUE(OnePlusSalesData[[#This Row],[delivery_date]])</f>
        <v>43220</v>
      </c>
    </row>
    <row r="697" spans="1:17" ht="16" x14ac:dyDescent="0.45">
      <c r="A697" s="8" t="s">
        <v>1545</v>
      </c>
      <c r="B697" s="8" t="s">
        <v>25</v>
      </c>
      <c r="C697" s="9" t="s">
        <v>65</v>
      </c>
      <c r="D697" s="9" t="s">
        <v>18</v>
      </c>
      <c r="E697" s="9" t="s">
        <v>179</v>
      </c>
      <c r="F697" s="10">
        <v>1290</v>
      </c>
      <c r="G697" s="11">
        <v>1</v>
      </c>
      <c r="H697" s="12">
        <v>0.1</v>
      </c>
      <c r="I697" s="13">
        <v>129</v>
      </c>
      <c r="J697" s="13">
        <v>1161</v>
      </c>
      <c r="K697" s="13">
        <v>231.21</v>
      </c>
      <c r="L697" s="8" t="s">
        <v>200</v>
      </c>
      <c r="M697" s="19" t="s">
        <v>429</v>
      </c>
      <c r="N697" s="9" t="s">
        <v>92</v>
      </c>
      <c r="O697" s="9" t="s">
        <v>23</v>
      </c>
      <c r="P697">
        <f>DATEVALUE(OnePlusSalesData[[#This Row],[order_date]])</f>
        <v>43856</v>
      </c>
      <c r="Q697" s="28">
        <f>DATEVALUE(OnePlusSalesData[[#This Row],[delivery_date]])</f>
        <v>43863</v>
      </c>
    </row>
    <row r="698" spans="1:17" ht="16" x14ac:dyDescent="0.45">
      <c r="A698" s="2" t="s">
        <v>1546</v>
      </c>
      <c r="B698" s="2" t="s">
        <v>16</v>
      </c>
      <c r="C698" s="3" t="s">
        <v>17</v>
      </c>
      <c r="D698" s="3" t="s">
        <v>40</v>
      </c>
      <c r="E698" s="3" t="s">
        <v>54</v>
      </c>
      <c r="F698" s="4">
        <v>53999</v>
      </c>
      <c r="G698" s="5">
        <v>1</v>
      </c>
      <c r="H698" s="6">
        <v>0.08</v>
      </c>
      <c r="I698" s="7">
        <v>4319.92</v>
      </c>
      <c r="J698" s="7">
        <v>49679.08</v>
      </c>
      <c r="K698" s="7">
        <v>7639.1</v>
      </c>
      <c r="L698" s="2" t="s">
        <v>1547</v>
      </c>
      <c r="M698" s="18" t="s">
        <v>1169</v>
      </c>
      <c r="N698" s="3" t="s">
        <v>22</v>
      </c>
      <c r="O698" s="3" t="s">
        <v>23</v>
      </c>
      <c r="P698">
        <f>DATEVALUE(OnePlusSalesData[[#This Row],[order_date]])</f>
        <v>43321</v>
      </c>
      <c r="Q698" s="28">
        <f>DATEVALUE(OnePlusSalesData[[#This Row],[delivery_date]])</f>
        <v>43328</v>
      </c>
    </row>
    <row r="699" spans="1:17" ht="16" x14ac:dyDescent="0.45">
      <c r="A699" s="8" t="s">
        <v>1548</v>
      </c>
      <c r="B699" s="8" t="s">
        <v>52</v>
      </c>
      <c r="C699" s="9" t="s">
        <v>69</v>
      </c>
      <c r="D699" s="9" t="s">
        <v>85</v>
      </c>
      <c r="E699" s="9" t="s">
        <v>258</v>
      </c>
      <c r="F699" s="10">
        <v>2999</v>
      </c>
      <c r="G699" s="11">
        <v>1</v>
      </c>
      <c r="H699" s="12">
        <v>0.05</v>
      </c>
      <c r="I699" s="13">
        <v>149.94999999999999</v>
      </c>
      <c r="J699" s="13">
        <v>2849.05</v>
      </c>
      <c r="K699" s="13">
        <v>730.09</v>
      </c>
      <c r="L699" s="8" t="s">
        <v>522</v>
      </c>
      <c r="M699" s="19" t="s">
        <v>649</v>
      </c>
      <c r="N699" s="9" t="s">
        <v>22</v>
      </c>
      <c r="O699" s="9" t="s">
        <v>45</v>
      </c>
      <c r="P699">
        <f>DATEVALUE(OnePlusSalesData[[#This Row],[order_date]])</f>
        <v>43261</v>
      </c>
      <c r="Q699" s="28">
        <f>DATEVALUE(OnePlusSalesData[[#This Row],[delivery_date]])</f>
        <v>43265</v>
      </c>
    </row>
    <row r="700" spans="1:17" ht="16" x14ac:dyDescent="0.45">
      <c r="A700" s="2" t="s">
        <v>1549</v>
      </c>
      <c r="B700" s="2" t="s">
        <v>58</v>
      </c>
      <c r="C700" s="3" t="s">
        <v>257</v>
      </c>
      <c r="D700" s="3" t="s">
        <v>85</v>
      </c>
      <c r="E700" s="3" t="s">
        <v>258</v>
      </c>
      <c r="F700" s="4">
        <v>2999</v>
      </c>
      <c r="G700" s="5">
        <v>2</v>
      </c>
      <c r="H700" s="6">
        <v>0</v>
      </c>
      <c r="I700" s="7">
        <v>0</v>
      </c>
      <c r="J700" s="7">
        <v>5998</v>
      </c>
      <c r="K700" s="7">
        <v>1358.83</v>
      </c>
      <c r="L700" s="2" t="s">
        <v>706</v>
      </c>
      <c r="M700" s="18" t="s">
        <v>1550</v>
      </c>
      <c r="N700" s="3" t="s">
        <v>92</v>
      </c>
      <c r="O700" s="3" t="s">
        <v>96</v>
      </c>
      <c r="P700">
        <f>DATEVALUE(OnePlusSalesData[[#This Row],[order_date]])</f>
        <v>44119</v>
      </c>
      <c r="Q700" s="28">
        <f>DATEVALUE(OnePlusSalesData[[#This Row],[delivery_date]])</f>
        <v>44126</v>
      </c>
    </row>
    <row r="701" spans="1:17" ht="16" x14ac:dyDescent="0.45">
      <c r="A701" s="8" t="s">
        <v>1551</v>
      </c>
      <c r="B701" s="8" t="s">
        <v>52</v>
      </c>
      <c r="C701" s="9" t="s">
        <v>192</v>
      </c>
      <c r="D701" s="9" t="s">
        <v>34</v>
      </c>
      <c r="E701" s="9" t="s">
        <v>35</v>
      </c>
      <c r="F701" s="10">
        <v>19999</v>
      </c>
      <c r="G701" s="11">
        <v>1</v>
      </c>
      <c r="H701" s="12">
        <v>0.08</v>
      </c>
      <c r="I701" s="13">
        <v>1599.92</v>
      </c>
      <c r="J701" s="13">
        <v>18399.080000000002</v>
      </c>
      <c r="K701" s="13">
        <v>4456.93</v>
      </c>
      <c r="L701" s="8" t="s">
        <v>889</v>
      </c>
      <c r="M701" s="19" t="s">
        <v>456</v>
      </c>
      <c r="N701" s="9" t="s">
        <v>22</v>
      </c>
      <c r="O701" s="9" t="s">
        <v>96</v>
      </c>
      <c r="P701">
        <f>DATEVALUE(OnePlusSalesData[[#This Row],[order_date]])</f>
        <v>43319</v>
      </c>
      <c r="Q701" s="28">
        <f>DATEVALUE(OnePlusSalesData[[#This Row],[delivery_date]])</f>
        <v>43323</v>
      </c>
    </row>
    <row r="702" spans="1:17" ht="16" x14ac:dyDescent="0.45">
      <c r="A702" s="2" t="s">
        <v>1552</v>
      </c>
      <c r="B702" s="2" t="s">
        <v>52</v>
      </c>
      <c r="C702" s="3" t="s">
        <v>53</v>
      </c>
      <c r="D702" s="3" t="s">
        <v>85</v>
      </c>
      <c r="E702" s="3" t="s">
        <v>228</v>
      </c>
      <c r="F702" s="4">
        <v>5990</v>
      </c>
      <c r="G702" s="5">
        <v>2</v>
      </c>
      <c r="H702" s="6">
        <v>0.12</v>
      </c>
      <c r="I702" s="7">
        <v>1437.6</v>
      </c>
      <c r="J702" s="7">
        <v>10542.4</v>
      </c>
      <c r="K702" s="7">
        <v>2379.16</v>
      </c>
      <c r="L702" s="2" t="s">
        <v>530</v>
      </c>
      <c r="M702" s="18" t="s">
        <v>1553</v>
      </c>
      <c r="N702" s="3" t="s">
        <v>22</v>
      </c>
      <c r="O702" s="3" t="s">
        <v>31</v>
      </c>
      <c r="P702">
        <f>DATEVALUE(OnePlusSalesData[[#This Row],[order_date]])</f>
        <v>44096</v>
      </c>
      <c r="Q702" s="28">
        <f>DATEVALUE(OnePlusSalesData[[#This Row],[delivery_date]])</f>
        <v>44102</v>
      </c>
    </row>
    <row r="703" spans="1:17" ht="16" x14ac:dyDescent="0.45">
      <c r="A703" s="8" t="s">
        <v>1554</v>
      </c>
      <c r="B703" s="8" t="s">
        <v>52</v>
      </c>
      <c r="C703" s="9" t="s">
        <v>69</v>
      </c>
      <c r="D703" s="9" t="s">
        <v>40</v>
      </c>
      <c r="E703" s="9" t="s">
        <v>73</v>
      </c>
      <c r="F703" s="10">
        <v>32999</v>
      </c>
      <c r="G703" s="11">
        <v>1</v>
      </c>
      <c r="H703" s="12">
        <v>0.08</v>
      </c>
      <c r="I703" s="13">
        <v>2639.92</v>
      </c>
      <c r="J703" s="13">
        <v>30359.08</v>
      </c>
      <c r="K703" s="13">
        <v>4286.87</v>
      </c>
      <c r="L703" s="8" t="s">
        <v>555</v>
      </c>
      <c r="M703" s="19" t="s">
        <v>1555</v>
      </c>
      <c r="N703" s="9" t="s">
        <v>22</v>
      </c>
      <c r="O703" s="9" t="s">
        <v>45</v>
      </c>
      <c r="P703">
        <f>DATEVALUE(OnePlusSalesData[[#This Row],[order_date]])</f>
        <v>43362</v>
      </c>
      <c r="Q703" s="28">
        <f>DATEVALUE(OnePlusSalesData[[#This Row],[delivery_date]])</f>
        <v>43365</v>
      </c>
    </row>
    <row r="704" spans="1:17" ht="16" x14ac:dyDescent="0.45">
      <c r="A704" s="2" t="s">
        <v>1556</v>
      </c>
      <c r="B704" s="2" t="s">
        <v>25</v>
      </c>
      <c r="C704" s="3" t="s">
        <v>133</v>
      </c>
      <c r="D704" s="3" t="s">
        <v>85</v>
      </c>
      <c r="E704" s="3" t="s">
        <v>86</v>
      </c>
      <c r="F704" s="4">
        <v>1999</v>
      </c>
      <c r="G704" s="5">
        <v>1</v>
      </c>
      <c r="H704" s="6">
        <v>0.08</v>
      </c>
      <c r="I704" s="7">
        <v>159.91999999999999</v>
      </c>
      <c r="J704" s="7">
        <v>1839.08</v>
      </c>
      <c r="K704" s="7">
        <v>310.04000000000002</v>
      </c>
      <c r="L704" s="2" t="s">
        <v>260</v>
      </c>
      <c r="M704" s="18" t="s">
        <v>400</v>
      </c>
      <c r="N704" s="3" t="s">
        <v>22</v>
      </c>
      <c r="O704" s="3" t="s">
        <v>146</v>
      </c>
      <c r="P704">
        <f>DATEVALUE(OnePlusSalesData[[#This Row],[order_date]])</f>
        <v>43149</v>
      </c>
      <c r="Q704" s="28">
        <f>DATEVALUE(OnePlusSalesData[[#This Row],[delivery_date]])</f>
        <v>43154</v>
      </c>
    </row>
    <row r="705" spans="1:17" ht="16" x14ac:dyDescent="0.45">
      <c r="A705" s="8" t="s">
        <v>1557</v>
      </c>
      <c r="B705" s="8" t="s">
        <v>16</v>
      </c>
      <c r="C705" s="9" t="s">
        <v>140</v>
      </c>
      <c r="D705" s="9" t="s">
        <v>18</v>
      </c>
      <c r="E705" s="9" t="s">
        <v>102</v>
      </c>
      <c r="F705" s="10">
        <v>1490</v>
      </c>
      <c r="G705" s="11">
        <v>4</v>
      </c>
      <c r="H705" s="12">
        <v>0.08</v>
      </c>
      <c r="I705" s="13">
        <v>476.8</v>
      </c>
      <c r="J705" s="13">
        <v>5483.2</v>
      </c>
      <c r="K705" s="13">
        <v>1414.7</v>
      </c>
      <c r="L705" s="8" t="s">
        <v>1316</v>
      </c>
      <c r="M705" s="19" t="s">
        <v>1264</v>
      </c>
      <c r="N705" s="9" t="s">
        <v>22</v>
      </c>
      <c r="O705" s="9" t="s">
        <v>45</v>
      </c>
      <c r="P705">
        <f>DATEVALUE(OnePlusSalesData[[#This Row],[order_date]])</f>
        <v>43111</v>
      </c>
      <c r="Q705" s="28">
        <f>DATEVALUE(OnePlusSalesData[[#This Row],[delivery_date]])</f>
        <v>43113</v>
      </c>
    </row>
    <row r="706" spans="1:17" ht="16" x14ac:dyDescent="0.45">
      <c r="A706" s="2" t="s">
        <v>1558</v>
      </c>
      <c r="B706" s="2" t="s">
        <v>52</v>
      </c>
      <c r="C706" s="3" t="s">
        <v>192</v>
      </c>
      <c r="D706" s="3" t="s">
        <v>85</v>
      </c>
      <c r="E706" s="3" t="s">
        <v>265</v>
      </c>
      <c r="F706" s="4">
        <v>4990</v>
      </c>
      <c r="G706" s="5">
        <v>3</v>
      </c>
      <c r="H706" s="6">
        <v>0.08</v>
      </c>
      <c r="I706" s="7">
        <v>1197.5999999999999</v>
      </c>
      <c r="J706" s="7">
        <v>13772.4</v>
      </c>
      <c r="K706" s="7">
        <v>2014.63</v>
      </c>
      <c r="L706" s="2" t="s">
        <v>409</v>
      </c>
      <c r="M706" s="18" t="s">
        <v>530</v>
      </c>
      <c r="N706" s="3" t="s">
        <v>50</v>
      </c>
      <c r="O706" s="3" t="s">
        <v>63</v>
      </c>
      <c r="P706">
        <f>DATEVALUE(OnePlusSalesData[[#This Row],[order_date]])</f>
        <v>44089</v>
      </c>
      <c r="Q706" s="28">
        <f>DATEVALUE(OnePlusSalesData[[#This Row],[delivery_date]])</f>
        <v>44096</v>
      </c>
    </row>
    <row r="707" spans="1:17" ht="16" x14ac:dyDescent="0.45">
      <c r="A707" s="8" t="s">
        <v>1559</v>
      </c>
      <c r="B707" s="8" t="s">
        <v>58</v>
      </c>
      <c r="C707" s="9" t="s">
        <v>221</v>
      </c>
      <c r="D707" s="9" t="s">
        <v>40</v>
      </c>
      <c r="E707" s="9" t="s">
        <v>47</v>
      </c>
      <c r="F707" s="10">
        <v>37999</v>
      </c>
      <c r="G707" s="11">
        <v>1</v>
      </c>
      <c r="H707" s="12">
        <v>0</v>
      </c>
      <c r="I707" s="13">
        <v>0</v>
      </c>
      <c r="J707" s="13">
        <v>37999</v>
      </c>
      <c r="K707" s="13">
        <v>8933.75</v>
      </c>
      <c r="L707" s="8" t="s">
        <v>818</v>
      </c>
      <c r="M707" s="19" t="s">
        <v>1560</v>
      </c>
      <c r="N707" s="9" t="s">
        <v>50</v>
      </c>
      <c r="O707" s="9" t="s">
        <v>63</v>
      </c>
      <c r="P707">
        <f>DATEVALUE(OnePlusSalesData[[#This Row],[order_date]])</f>
        <v>43116</v>
      </c>
      <c r="Q707" s="28">
        <f>DATEVALUE(OnePlusSalesData[[#This Row],[delivery_date]])</f>
        <v>43122</v>
      </c>
    </row>
    <row r="708" spans="1:17" ht="16" x14ac:dyDescent="0.45">
      <c r="A708" s="2" t="s">
        <v>1561</v>
      </c>
      <c r="B708" s="2" t="s">
        <v>52</v>
      </c>
      <c r="C708" s="3" t="s">
        <v>358</v>
      </c>
      <c r="D708" s="3" t="s">
        <v>40</v>
      </c>
      <c r="E708" s="3" t="s">
        <v>41</v>
      </c>
      <c r="F708" s="4">
        <v>37999</v>
      </c>
      <c r="G708" s="5">
        <v>1</v>
      </c>
      <c r="H708" s="6">
        <v>0.12</v>
      </c>
      <c r="I708" s="7">
        <v>4559.88</v>
      </c>
      <c r="J708" s="7">
        <v>33439.120000000003</v>
      </c>
      <c r="K708" s="7">
        <v>8398.01</v>
      </c>
      <c r="L708" s="2" t="s">
        <v>655</v>
      </c>
      <c r="M708" s="18" t="s">
        <v>656</v>
      </c>
      <c r="N708" s="3" t="s">
        <v>22</v>
      </c>
      <c r="O708" s="3" t="s">
        <v>23</v>
      </c>
      <c r="P708">
        <f>DATEVALUE(OnePlusSalesData[[#This Row],[order_date]])</f>
        <v>43673</v>
      </c>
      <c r="Q708" s="28">
        <f>DATEVALUE(OnePlusSalesData[[#This Row],[delivery_date]])</f>
        <v>43676</v>
      </c>
    </row>
    <row r="709" spans="1:17" ht="16" x14ac:dyDescent="0.45">
      <c r="A709" s="8" t="s">
        <v>1562</v>
      </c>
      <c r="B709" s="8" t="s">
        <v>52</v>
      </c>
      <c r="C709" s="9" t="s">
        <v>358</v>
      </c>
      <c r="D709" s="9" t="s">
        <v>85</v>
      </c>
      <c r="E709" s="9" t="s">
        <v>228</v>
      </c>
      <c r="F709" s="10">
        <v>5990</v>
      </c>
      <c r="G709" s="11">
        <v>1</v>
      </c>
      <c r="H709" s="12">
        <v>0.08</v>
      </c>
      <c r="I709" s="13">
        <v>479.2</v>
      </c>
      <c r="J709" s="13">
        <v>5510.8</v>
      </c>
      <c r="K709" s="13">
        <v>896.17</v>
      </c>
      <c r="L709" s="8" t="s">
        <v>649</v>
      </c>
      <c r="M709" s="19" t="s">
        <v>1070</v>
      </c>
      <c r="N709" s="9" t="s">
        <v>22</v>
      </c>
      <c r="O709" s="9" t="s">
        <v>31</v>
      </c>
      <c r="P709">
        <f>DATEVALUE(OnePlusSalesData[[#This Row],[order_date]])</f>
        <v>43265</v>
      </c>
      <c r="Q709" s="28">
        <f>DATEVALUE(OnePlusSalesData[[#This Row],[delivery_date]])</f>
        <v>43271</v>
      </c>
    </row>
    <row r="710" spans="1:17" ht="16" x14ac:dyDescent="0.45">
      <c r="A710" s="2" t="s">
        <v>1563</v>
      </c>
      <c r="B710" s="2" t="s">
        <v>25</v>
      </c>
      <c r="C710" s="3" t="s">
        <v>133</v>
      </c>
      <c r="D710" s="3" t="s">
        <v>27</v>
      </c>
      <c r="E710" s="3" t="s">
        <v>176</v>
      </c>
      <c r="F710" s="4">
        <v>69900</v>
      </c>
      <c r="G710" s="5">
        <v>1</v>
      </c>
      <c r="H710" s="6">
        <v>0.08</v>
      </c>
      <c r="I710" s="7">
        <v>5592</v>
      </c>
      <c r="J710" s="7">
        <v>64308</v>
      </c>
      <c r="K710" s="7">
        <v>14792.94</v>
      </c>
      <c r="L710" s="2" t="s">
        <v>768</v>
      </c>
      <c r="M710" s="18" t="s">
        <v>1564</v>
      </c>
      <c r="N710" s="3" t="s">
        <v>22</v>
      </c>
      <c r="O710" s="3" t="s">
        <v>23</v>
      </c>
      <c r="P710">
        <f>DATEVALUE(OnePlusSalesData[[#This Row],[order_date]])</f>
        <v>43549</v>
      </c>
      <c r="Q710" s="28">
        <f>DATEVALUE(OnePlusSalesData[[#This Row],[delivery_date]])</f>
        <v>43555</v>
      </c>
    </row>
    <row r="711" spans="1:17" ht="16" x14ac:dyDescent="0.45">
      <c r="A711" s="8" t="s">
        <v>1565</v>
      </c>
      <c r="B711" s="8" t="s">
        <v>25</v>
      </c>
      <c r="C711" s="9" t="s">
        <v>133</v>
      </c>
      <c r="D711" s="9" t="s">
        <v>85</v>
      </c>
      <c r="E711" s="9" t="s">
        <v>258</v>
      </c>
      <c r="F711" s="10">
        <v>2999</v>
      </c>
      <c r="G711" s="11">
        <v>1</v>
      </c>
      <c r="H711" s="12">
        <v>0.08</v>
      </c>
      <c r="I711" s="13">
        <v>239.92</v>
      </c>
      <c r="J711" s="13">
        <v>2759.08</v>
      </c>
      <c r="K711" s="13">
        <v>386.8</v>
      </c>
      <c r="L711" s="8" t="s">
        <v>1566</v>
      </c>
      <c r="M711" s="19" t="s">
        <v>699</v>
      </c>
      <c r="N711" s="9" t="s">
        <v>50</v>
      </c>
      <c r="O711" s="9" t="s">
        <v>63</v>
      </c>
      <c r="P711">
        <f>DATEVALUE(OnePlusSalesData[[#This Row],[order_date]])</f>
        <v>44032</v>
      </c>
      <c r="Q711" s="28">
        <f>DATEVALUE(OnePlusSalesData[[#This Row],[delivery_date]])</f>
        <v>44038</v>
      </c>
    </row>
    <row r="712" spans="1:17" ht="16" x14ac:dyDescent="0.45">
      <c r="A712" s="2" t="s">
        <v>1567</v>
      </c>
      <c r="B712" s="2" t="s">
        <v>52</v>
      </c>
      <c r="C712" s="3" t="s">
        <v>53</v>
      </c>
      <c r="D712" s="3" t="s">
        <v>40</v>
      </c>
      <c r="E712" s="3" t="s">
        <v>41</v>
      </c>
      <c r="F712" s="4">
        <v>37999</v>
      </c>
      <c r="G712" s="5">
        <v>1</v>
      </c>
      <c r="H712" s="6">
        <v>0.1</v>
      </c>
      <c r="I712" s="7">
        <v>3799.9</v>
      </c>
      <c r="J712" s="7">
        <v>34199.1</v>
      </c>
      <c r="K712" s="7">
        <v>5266.75</v>
      </c>
      <c r="L712" s="2" t="s">
        <v>668</v>
      </c>
      <c r="M712" s="18" t="s">
        <v>1568</v>
      </c>
      <c r="N712" s="3" t="s">
        <v>22</v>
      </c>
      <c r="O712" s="3" t="s">
        <v>23</v>
      </c>
      <c r="P712">
        <f>DATEVALUE(OnePlusSalesData[[#This Row],[order_date]])</f>
        <v>43701</v>
      </c>
      <c r="Q712" s="28">
        <f>DATEVALUE(OnePlusSalesData[[#This Row],[delivery_date]])</f>
        <v>43704</v>
      </c>
    </row>
    <row r="713" spans="1:17" ht="16" x14ac:dyDescent="0.45">
      <c r="A713" s="8" t="s">
        <v>1569</v>
      </c>
      <c r="B713" s="8" t="s">
        <v>25</v>
      </c>
      <c r="C713" s="9" t="s">
        <v>120</v>
      </c>
      <c r="D713" s="9" t="s">
        <v>18</v>
      </c>
      <c r="E713" s="9" t="s">
        <v>102</v>
      </c>
      <c r="F713" s="10">
        <v>1490</v>
      </c>
      <c r="G713" s="11">
        <v>1</v>
      </c>
      <c r="H713" s="12">
        <v>0.08</v>
      </c>
      <c r="I713" s="13">
        <v>119.2</v>
      </c>
      <c r="J713" s="13">
        <v>1370.8</v>
      </c>
      <c r="K713" s="13">
        <v>343.25</v>
      </c>
      <c r="L713" s="8" t="s">
        <v>1509</v>
      </c>
      <c r="M713" s="19" t="s">
        <v>1570</v>
      </c>
      <c r="N713" s="9" t="s">
        <v>44</v>
      </c>
      <c r="O713" s="9" t="s">
        <v>31</v>
      </c>
      <c r="P713">
        <f>DATEVALUE(OnePlusSalesData[[#This Row],[order_date]])</f>
        <v>43513</v>
      </c>
      <c r="Q713" s="28">
        <f>DATEVALUE(OnePlusSalesData[[#This Row],[delivery_date]])</f>
        <v>43518</v>
      </c>
    </row>
    <row r="714" spans="1:17" ht="16" x14ac:dyDescent="0.45">
      <c r="A714" s="2" t="s">
        <v>1571</v>
      </c>
      <c r="B714" s="2" t="s">
        <v>52</v>
      </c>
      <c r="C714" s="3" t="s">
        <v>53</v>
      </c>
      <c r="D714" s="3" t="s">
        <v>18</v>
      </c>
      <c r="E714" s="3" t="s">
        <v>19</v>
      </c>
      <c r="F714" s="4">
        <v>1990</v>
      </c>
      <c r="G714" s="5">
        <v>3</v>
      </c>
      <c r="H714" s="6">
        <v>0.05</v>
      </c>
      <c r="I714" s="7">
        <v>298.5</v>
      </c>
      <c r="J714" s="7">
        <v>5671.5</v>
      </c>
      <c r="K714" s="7">
        <v>1091.8599999999999</v>
      </c>
      <c r="L714" s="2" t="s">
        <v>249</v>
      </c>
      <c r="M714" s="18" t="s">
        <v>322</v>
      </c>
      <c r="N714" s="3" t="s">
        <v>92</v>
      </c>
      <c r="O714" s="3" t="s">
        <v>23</v>
      </c>
      <c r="P714">
        <f>DATEVALUE(OnePlusSalesData[[#This Row],[order_date]])</f>
        <v>43213</v>
      </c>
      <c r="Q714" s="28">
        <f>DATEVALUE(OnePlusSalesData[[#This Row],[delivery_date]])</f>
        <v>43217</v>
      </c>
    </row>
    <row r="715" spans="1:17" ht="16" x14ac:dyDescent="0.45">
      <c r="A715" s="8" t="s">
        <v>1572</v>
      </c>
      <c r="B715" s="8" t="s">
        <v>25</v>
      </c>
      <c r="C715" s="9" t="s">
        <v>133</v>
      </c>
      <c r="D715" s="9" t="s">
        <v>85</v>
      </c>
      <c r="E715" s="9" t="s">
        <v>258</v>
      </c>
      <c r="F715" s="10">
        <v>2999</v>
      </c>
      <c r="G715" s="11">
        <v>1</v>
      </c>
      <c r="H715" s="12">
        <v>0.05</v>
      </c>
      <c r="I715" s="13">
        <v>149.94999999999999</v>
      </c>
      <c r="J715" s="13">
        <v>2849.05</v>
      </c>
      <c r="K715" s="13">
        <v>690.97</v>
      </c>
      <c r="L715" s="8" t="s">
        <v>383</v>
      </c>
      <c r="M715" s="19" t="s">
        <v>1553</v>
      </c>
      <c r="N715" s="9" t="s">
        <v>22</v>
      </c>
      <c r="O715" s="9" t="s">
        <v>63</v>
      </c>
      <c r="P715">
        <f>DATEVALUE(OnePlusSalesData[[#This Row],[order_date]])</f>
        <v>44095</v>
      </c>
      <c r="Q715" s="28">
        <f>DATEVALUE(OnePlusSalesData[[#This Row],[delivery_date]])</f>
        <v>44102</v>
      </c>
    </row>
    <row r="716" spans="1:17" ht="16" x14ac:dyDescent="0.45">
      <c r="A716" s="2" t="s">
        <v>1573</v>
      </c>
      <c r="B716" s="2" t="s">
        <v>58</v>
      </c>
      <c r="C716" s="3" t="s">
        <v>257</v>
      </c>
      <c r="D716" s="3" t="s">
        <v>27</v>
      </c>
      <c r="E716" s="3" t="s">
        <v>28</v>
      </c>
      <c r="F716" s="4">
        <v>12999</v>
      </c>
      <c r="G716" s="5">
        <v>1</v>
      </c>
      <c r="H716" s="6">
        <v>0.05</v>
      </c>
      <c r="I716" s="7">
        <v>649.95000000000005</v>
      </c>
      <c r="J716" s="7">
        <v>12349.05</v>
      </c>
      <c r="K716" s="7">
        <v>2924.91</v>
      </c>
      <c r="L716" s="2" t="s">
        <v>345</v>
      </c>
      <c r="M716" s="18" t="s">
        <v>1574</v>
      </c>
      <c r="N716" s="3" t="s">
        <v>22</v>
      </c>
      <c r="O716" s="3" t="s">
        <v>45</v>
      </c>
      <c r="P716">
        <f>DATEVALUE(OnePlusSalesData[[#This Row],[order_date]])</f>
        <v>43838</v>
      </c>
      <c r="Q716" s="28">
        <f>DATEVALUE(OnePlusSalesData[[#This Row],[delivery_date]])</f>
        <v>43841</v>
      </c>
    </row>
    <row r="717" spans="1:17" ht="16" x14ac:dyDescent="0.45">
      <c r="A717" s="8" t="s">
        <v>1575</v>
      </c>
      <c r="B717" s="8" t="s">
        <v>58</v>
      </c>
      <c r="C717" s="9" t="s">
        <v>59</v>
      </c>
      <c r="D717" s="9" t="s">
        <v>85</v>
      </c>
      <c r="E717" s="9" t="s">
        <v>228</v>
      </c>
      <c r="F717" s="10">
        <v>5990</v>
      </c>
      <c r="G717" s="11">
        <v>1</v>
      </c>
      <c r="H717" s="12">
        <v>0</v>
      </c>
      <c r="I717" s="13">
        <v>0</v>
      </c>
      <c r="J717" s="13">
        <v>5990</v>
      </c>
      <c r="K717" s="13">
        <v>1273.79</v>
      </c>
      <c r="L717" s="8" t="s">
        <v>1576</v>
      </c>
      <c r="M717" s="19" t="s">
        <v>1068</v>
      </c>
      <c r="N717" s="9" t="s">
        <v>92</v>
      </c>
      <c r="O717" s="9" t="s">
        <v>31</v>
      </c>
      <c r="P717">
        <f>DATEVALUE(OnePlusSalesData[[#This Row],[order_date]])</f>
        <v>43905</v>
      </c>
      <c r="Q717" s="28">
        <f>DATEVALUE(OnePlusSalesData[[#This Row],[delivery_date]])</f>
        <v>43912</v>
      </c>
    </row>
    <row r="718" spans="1:17" ht="16" x14ac:dyDescent="0.45">
      <c r="A718" s="2" t="s">
        <v>1577</v>
      </c>
      <c r="B718" s="2" t="s">
        <v>52</v>
      </c>
      <c r="C718" s="3" t="s">
        <v>192</v>
      </c>
      <c r="D718" s="3" t="s">
        <v>18</v>
      </c>
      <c r="E718" s="3" t="s">
        <v>19</v>
      </c>
      <c r="F718" s="4">
        <v>1990</v>
      </c>
      <c r="G718" s="5">
        <v>1</v>
      </c>
      <c r="H718" s="6">
        <v>0.08</v>
      </c>
      <c r="I718" s="7">
        <v>159.19999999999999</v>
      </c>
      <c r="J718" s="7">
        <v>1830.8</v>
      </c>
      <c r="K718" s="7">
        <v>281.19</v>
      </c>
      <c r="L718" s="2" t="s">
        <v>579</v>
      </c>
      <c r="M718" s="18" t="s">
        <v>1578</v>
      </c>
      <c r="N718" s="3" t="s">
        <v>22</v>
      </c>
      <c r="O718" s="3" t="s">
        <v>31</v>
      </c>
      <c r="P718">
        <f>DATEVALUE(OnePlusSalesData[[#This Row],[order_date]])</f>
        <v>43353</v>
      </c>
      <c r="Q718" s="28">
        <f>DATEVALUE(OnePlusSalesData[[#This Row],[delivery_date]])</f>
        <v>43360</v>
      </c>
    </row>
    <row r="719" spans="1:17" ht="16" x14ac:dyDescent="0.45">
      <c r="A719" s="8" t="s">
        <v>1579</v>
      </c>
      <c r="B719" s="8" t="s">
        <v>52</v>
      </c>
      <c r="C719" s="9" t="s">
        <v>106</v>
      </c>
      <c r="D719" s="9" t="s">
        <v>85</v>
      </c>
      <c r="E719" s="9" t="s">
        <v>86</v>
      </c>
      <c r="F719" s="10">
        <v>1999</v>
      </c>
      <c r="G719" s="11">
        <v>1</v>
      </c>
      <c r="H719" s="12">
        <v>0.05</v>
      </c>
      <c r="I719" s="13">
        <v>99.95</v>
      </c>
      <c r="J719" s="13">
        <v>1899.05</v>
      </c>
      <c r="K719" s="13">
        <v>435.25</v>
      </c>
      <c r="L719" s="8" t="s">
        <v>500</v>
      </c>
      <c r="M719" s="19" t="s">
        <v>1580</v>
      </c>
      <c r="N719" s="9" t="s">
        <v>50</v>
      </c>
      <c r="O719" s="9" t="s">
        <v>63</v>
      </c>
      <c r="P719">
        <f>DATEVALUE(OnePlusSalesData[[#This Row],[order_date]])</f>
        <v>43414</v>
      </c>
      <c r="Q719" s="28">
        <f>DATEVALUE(OnePlusSalesData[[#This Row],[delivery_date]])</f>
        <v>43416</v>
      </c>
    </row>
    <row r="720" spans="1:17" ht="16" x14ac:dyDescent="0.45">
      <c r="A720" s="2" t="s">
        <v>1581</v>
      </c>
      <c r="B720" s="2" t="s">
        <v>25</v>
      </c>
      <c r="C720" s="3" t="s">
        <v>120</v>
      </c>
      <c r="D720" s="3" t="s">
        <v>40</v>
      </c>
      <c r="E720" s="3" t="s">
        <v>47</v>
      </c>
      <c r="F720" s="4">
        <v>37999</v>
      </c>
      <c r="G720" s="5">
        <v>2</v>
      </c>
      <c r="H720" s="6">
        <v>0.1</v>
      </c>
      <c r="I720" s="7">
        <v>7599.8</v>
      </c>
      <c r="J720" s="7">
        <v>68398.2</v>
      </c>
      <c r="K720" s="7">
        <v>13635.29</v>
      </c>
      <c r="L720" s="2" t="s">
        <v>1582</v>
      </c>
      <c r="M720" s="18" t="s">
        <v>438</v>
      </c>
      <c r="N720" s="3" t="s">
        <v>22</v>
      </c>
      <c r="O720" s="3" t="s">
        <v>146</v>
      </c>
      <c r="P720">
        <f>DATEVALUE(OnePlusSalesData[[#This Row],[order_date]])</f>
        <v>44180</v>
      </c>
      <c r="Q720" s="28">
        <f>DATEVALUE(OnePlusSalesData[[#This Row],[delivery_date]])</f>
        <v>44184</v>
      </c>
    </row>
    <row r="721" spans="1:17" ht="16" x14ac:dyDescent="0.45">
      <c r="A721" s="8" t="s">
        <v>1583</v>
      </c>
      <c r="B721" s="8" t="s">
        <v>58</v>
      </c>
      <c r="C721" s="9" t="s">
        <v>257</v>
      </c>
      <c r="D721" s="9" t="s">
        <v>18</v>
      </c>
      <c r="E721" s="9" t="s">
        <v>179</v>
      </c>
      <c r="F721" s="10">
        <v>1290</v>
      </c>
      <c r="G721" s="11">
        <v>1</v>
      </c>
      <c r="H721" s="12">
        <v>0</v>
      </c>
      <c r="I721" s="13">
        <v>0</v>
      </c>
      <c r="J721" s="13">
        <v>1290</v>
      </c>
      <c r="K721" s="13">
        <v>248.41</v>
      </c>
      <c r="L721" s="8" t="s">
        <v>1233</v>
      </c>
      <c r="M721" s="19" t="s">
        <v>1584</v>
      </c>
      <c r="N721" s="9" t="s">
        <v>22</v>
      </c>
      <c r="O721" s="9" t="s">
        <v>31</v>
      </c>
      <c r="P721">
        <f>DATEVALUE(OnePlusSalesData[[#This Row],[order_date]])</f>
        <v>43700</v>
      </c>
      <c r="Q721" s="28">
        <f>DATEVALUE(OnePlusSalesData[[#This Row],[delivery_date]])</f>
        <v>43703</v>
      </c>
    </row>
    <row r="722" spans="1:17" ht="16" x14ac:dyDescent="0.45">
      <c r="A722" s="2" t="s">
        <v>1585</v>
      </c>
      <c r="B722" s="2" t="s">
        <v>25</v>
      </c>
      <c r="C722" s="3" t="s">
        <v>172</v>
      </c>
      <c r="D722" s="3" t="s">
        <v>40</v>
      </c>
      <c r="E722" s="3" t="s">
        <v>41</v>
      </c>
      <c r="F722" s="4">
        <v>37999</v>
      </c>
      <c r="G722" s="5">
        <v>1</v>
      </c>
      <c r="H722" s="6">
        <v>0.08</v>
      </c>
      <c r="I722" s="7">
        <v>3039.92</v>
      </c>
      <c r="J722" s="7">
        <v>34959.08</v>
      </c>
      <c r="K722" s="7">
        <v>6747.89</v>
      </c>
      <c r="L722" s="2" t="s">
        <v>21</v>
      </c>
      <c r="M722" s="18" t="s">
        <v>128</v>
      </c>
      <c r="N722" s="3" t="s">
        <v>92</v>
      </c>
      <c r="O722" s="3" t="s">
        <v>23</v>
      </c>
      <c r="P722">
        <f>DATEVALUE(OnePlusSalesData[[#This Row],[order_date]])</f>
        <v>43571</v>
      </c>
      <c r="Q722" s="28">
        <f>DATEVALUE(OnePlusSalesData[[#This Row],[delivery_date]])</f>
        <v>43577</v>
      </c>
    </row>
    <row r="723" spans="1:17" ht="16" x14ac:dyDescent="0.45">
      <c r="A723" s="8" t="s">
        <v>1586</v>
      </c>
      <c r="B723" s="8" t="s">
        <v>52</v>
      </c>
      <c r="C723" s="9" t="s">
        <v>53</v>
      </c>
      <c r="D723" s="9" t="s">
        <v>40</v>
      </c>
      <c r="E723" s="9" t="s">
        <v>98</v>
      </c>
      <c r="F723" s="10">
        <v>34999</v>
      </c>
      <c r="G723" s="11">
        <v>1</v>
      </c>
      <c r="H723" s="12">
        <v>0.05</v>
      </c>
      <c r="I723" s="13">
        <v>1749.95</v>
      </c>
      <c r="J723" s="13">
        <v>33249.050000000003</v>
      </c>
      <c r="K723" s="13">
        <v>7877.51</v>
      </c>
      <c r="L723" s="8" t="s">
        <v>721</v>
      </c>
      <c r="M723" s="19" t="s">
        <v>202</v>
      </c>
      <c r="N723" s="9" t="s">
        <v>22</v>
      </c>
      <c r="O723" s="9" t="s">
        <v>146</v>
      </c>
      <c r="P723">
        <f>DATEVALUE(OnePlusSalesData[[#This Row],[order_date]])</f>
        <v>43124</v>
      </c>
      <c r="Q723" s="28">
        <f>DATEVALUE(OnePlusSalesData[[#This Row],[delivery_date]])</f>
        <v>43129</v>
      </c>
    </row>
    <row r="724" spans="1:17" ht="16" x14ac:dyDescent="0.45">
      <c r="A724" s="2" t="s">
        <v>1587</v>
      </c>
      <c r="B724" s="2" t="s">
        <v>52</v>
      </c>
      <c r="C724" s="3" t="s">
        <v>53</v>
      </c>
      <c r="D724" s="3" t="s">
        <v>40</v>
      </c>
      <c r="E724" s="3" t="s">
        <v>47</v>
      </c>
      <c r="F724" s="4">
        <v>37999</v>
      </c>
      <c r="G724" s="5">
        <v>1</v>
      </c>
      <c r="H724" s="6">
        <v>0.08</v>
      </c>
      <c r="I724" s="7">
        <v>3039.92</v>
      </c>
      <c r="J724" s="7">
        <v>34959.08</v>
      </c>
      <c r="K724" s="7">
        <v>5872.51</v>
      </c>
      <c r="L724" s="2" t="s">
        <v>1460</v>
      </c>
      <c r="M724" s="18" t="s">
        <v>1588</v>
      </c>
      <c r="N724" s="3" t="s">
        <v>22</v>
      </c>
      <c r="O724" s="3" t="s">
        <v>63</v>
      </c>
      <c r="P724">
        <f>DATEVALUE(OnePlusSalesData[[#This Row],[order_date]])</f>
        <v>44047</v>
      </c>
      <c r="Q724" s="28">
        <f>DATEVALUE(OnePlusSalesData[[#This Row],[delivery_date]])</f>
        <v>44051</v>
      </c>
    </row>
    <row r="725" spans="1:17" ht="16" x14ac:dyDescent="0.45">
      <c r="A725" s="8" t="s">
        <v>1589</v>
      </c>
      <c r="B725" s="8" t="s">
        <v>25</v>
      </c>
      <c r="C725" s="9" t="s">
        <v>172</v>
      </c>
      <c r="D725" s="9" t="s">
        <v>85</v>
      </c>
      <c r="E725" s="9" t="s">
        <v>228</v>
      </c>
      <c r="F725" s="10">
        <v>5990</v>
      </c>
      <c r="G725" s="11">
        <v>1</v>
      </c>
      <c r="H725" s="12">
        <v>0.1</v>
      </c>
      <c r="I725" s="13">
        <v>599</v>
      </c>
      <c r="J725" s="13">
        <v>5391</v>
      </c>
      <c r="K725" s="13">
        <v>1274.24</v>
      </c>
      <c r="L725" s="8" t="s">
        <v>270</v>
      </c>
      <c r="M725" s="19" t="s">
        <v>262</v>
      </c>
      <c r="N725" s="9" t="s">
        <v>50</v>
      </c>
      <c r="O725" s="9" t="s">
        <v>63</v>
      </c>
      <c r="P725">
        <f>DATEVALUE(OnePlusSalesData[[#This Row],[order_date]])</f>
        <v>43816</v>
      </c>
      <c r="Q725" s="28">
        <f>DATEVALUE(OnePlusSalesData[[#This Row],[delivery_date]])</f>
        <v>43819</v>
      </c>
    </row>
    <row r="726" spans="1:17" ht="16" x14ac:dyDescent="0.45">
      <c r="A726" s="2" t="s">
        <v>1590</v>
      </c>
      <c r="B726" s="2" t="s">
        <v>52</v>
      </c>
      <c r="C726" s="3" t="s">
        <v>69</v>
      </c>
      <c r="D726" s="3" t="s">
        <v>40</v>
      </c>
      <c r="E726" s="3" t="s">
        <v>98</v>
      </c>
      <c r="F726" s="4">
        <v>34999</v>
      </c>
      <c r="G726" s="5">
        <v>1</v>
      </c>
      <c r="H726" s="6">
        <v>0.1</v>
      </c>
      <c r="I726" s="7">
        <v>3499.9</v>
      </c>
      <c r="J726" s="7">
        <v>31499.1</v>
      </c>
      <c r="K726" s="7">
        <v>5523.81</v>
      </c>
      <c r="L726" s="2" t="s">
        <v>512</v>
      </c>
      <c r="M726" s="18" t="s">
        <v>1591</v>
      </c>
      <c r="N726" s="3" t="s">
        <v>22</v>
      </c>
      <c r="O726" s="3" t="s">
        <v>31</v>
      </c>
      <c r="P726">
        <f>DATEVALUE(OnePlusSalesData[[#This Row],[order_date]])</f>
        <v>43770</v>
      </c>
      <c r="Q726" s="28">
        <f>DATEVALUE(OnePlusSalesData[[#This Row],[delivery_date]])</f>
        <v>43775</v>
      </c>
    </row>
    <row r="727" spans="1:17" ht="16" x14ac:dyDescent="0.45">
      <c r="A727" s="8" t="s">
        <v>1592</v>
      </c>
      <c r="B727" s="8" t="s">
        <v>58</v>
      </c>
      <c r="C727" s="9" t="s">
        <v>257</v>
      </c>
      <c r="D727" s="9" t="s">
        <v>34</v>
      </c>
      <c r="E727" s="9" t="s">
        <v>77</v>
      </c>
      <c r="F727" s="10">
        <v>24999</v>
      </c>
      <c r="G727" s="11">
        <v>1</v>
      </c>
      <c r="H727" s="12">
        <v>0</v>
      </c>
      <c r="I727" s="13">
        <v>0</v>
      </c>
      <c r="J727" s="13">
        <v>24999</v>
      </c>
      <c r="K727" s="13">
        <v>4181.8</v>
      </c>
      <c r="L727" s="8" t="s">
        <v>1593</v>
      </c>
      <c r="M727" s="19" t="s">
        <v>1594</v>
      </c>
      <c r="N727" s="9" t="s">
        <v>22</v>
      </c>
      <c r="O727" s="9" t="s">
        <v>31</v>
      </c>
      <c r="P727">
        <f>DATEVALUE(OnePlusSalesData[[#This Row],[order_date]])</f>
        <v>43657</v>
      </c>
      <c r="Q727" s="28">
        <f>DATEVALUE(OnePlusSalesData[[#This Row],[delivery_date]])</f>
        <v>43662</v>
      </c>
    </row>
    <row r="728" spans="1:17" ht="16" x14ac:dyDescent="0.45">
      <c r="A728" s="2" t="s">
        <v>1595</v>
      </c>
      <c r="B728" s="2" t="s">
        <v>25</v>
      </c>
      <c r="C728" s="3" t="s">
        <v>172</v>
      </c>
      <c r="D728" s="3" t="s">
        <v>85</v>
      </c>
      <c r="E728" s="3" t="s">
        <v>228</v>
      </c>
      <c r="F728" s="4">
        <v>5990</v>
      </c>
      <c r="G728" s="5">
        <v>1</v>
      </c>
      <c r="H728" s="6">
        <v>0</v>
      </c>
      <c r="I728" s="7">
        <v>0</v>
      </c>
      <c r="J728" s="7">
        <v>5990</v>
      </c>
      <c r="K728" s="7">
        <v>1345.61</v>
      </c>
      <c r="L728" s="2" t="s">
        <v>273</v>
      </c>
      <c r="M728" s="18" t="s">
        <v>588</v>
      </c>
      <c r="N728" s="3" t="s">
        <v>22</v>
      </c>
      <c r="O728" s="3" t="s">
        <v>146</v>
      </c>
      <c r="P728">
        <f>DATEVALUE(OnePlusSalesData[[#This Row],[order_date]])</f>
        <v>43339</v>
      </c>
      <c r="Q728" s="28">
        <f>DATEVALUE(OnePlusSalesData[[#This Row],[delivery_date]])</f>
        <v>43345</v>
      </c>
    </row>
    <row r="729" spans="1:17" ht="16" x14ac:dyDescent="0.45">
      <c r="A729" s="8" t="s">
        <v>1596</v>
      </c>
      <c r="B729" s="8" t="s">
        <v>58</v>
      </c>
      <c r="C729" s="9" t="s">
        <v>81</v>
      </c>
      <c r="D729" s="9" t="s">
        <v>18</v>
      </c>
      <c r="E729" s="9" t="s">
        <v>102</v>
      </c>
      <c r="F729" s="10">
        <v>1490</v>
      </c>
      <c r="G729" s="11">
        <v>1</v>
      </c>
      <c r="H729" s="12">
        <v>0.1</v>
      </c>
      <c r="I729" s="13">
        <v>149</v>
      </c>
      <c r="J729" s="13">
        <v>1341</v>
      </c>
      <c r="K729" s="13">
        <v>190.52</v>
      </c>
      <c r="L729" s="8" t="s">
        <v>480</v>
      </c>
      <c r="M729" s="19" t="s">
        <v>1597</v>
      </c>
      <c r="N729" s="9" t="s">
        <v>50</v>
      </c>
      <c r="O729" s="9" t="s">
        <v>31</v>
      </c>
      <c r="P729">
        <f>DATEVALUE(OnePlusSalesData[[#This Row],[order_date]])</f>
        <v>43481</v>
      </c>
      <c r="Q729" s="28">
        <f>DATEVALUE(OnePlusSalesData[[#This Row],[delivery_date]])</f>
        <v>43483</v>
      </c>
    </row>
    <row r="730" spans="1:17" ht="16" x14ac:dyDescent="0.45">
      <c r="A730" s="2" t="s">
        <v>1598</v>
      </c>
      <c r="B730" s="2" t="s">
        <v>25</v>
      </c>
      <c r="C730" s="3" t="s">
        <v>26</v>
      </c>
      <c r="D730" s="3" t="s">
        <v>34</v>
      </c>
      <c r="E730" s="3" t="s">
        <v>35</v>
      </c>
      <c r="F730" s="4">
        <v>19999</v>
      </c>
      <c r="G730" s="5">
        <v>1</v>
      </c>
      <c r="H730" s="6">
        <v>0</v>
      </c>
      <c r="I730" s="7">
        <v>0</v>
      </c>
      <c r="J730" s="7">
        <v>19999</v>
      </c>
      <c r="K730" s="7">
        <v>4151.3900000000003</v>
      </c>
      <c r="L730" s="2" t="s">
        <v>389</v>
      </c>
      <c r="M730" s="18" t="s">
        <v>1599</v>
      </c>
      <c r="N730" s="3" t="s">
        <v>22</v>
      </c>
      <c r="O730" s="3" t="s">
        <v>23</v>
      </c>
      <c r="P730">
        <f>DATEVALUE(OnePlusSalesData[[#This Row],[order_date]])</f>
        <v>43865</v>
      </c>
      <c r="Q730" s="28">
        <f>DATEVALUE(OnePlusSalesData[[#This Row],[delivery_date]])</f>
        <v>43869</v>
      </c>
    </row>
    <row r="731" spans="1:17" ht="16" x14ac:dyDescent="0.45">
      <c r="A731" s="8" t="s">
        <v>1600</v>
      </c>
      <c r="B731" s="8" t="s">
        <v>52</v>
      </c>
      <c r="C731" s="9" t="s">
        <v>192</v>
      </c>
      <c r="D731" s="9" t="s">
        <v>40</v>
      </c>
      <c r="E731" s="9" t="s">
        <v>73</v>
      </c>
      <c r="F731" s="10">
        <v>32999</v>
      </c>
      <c r="G731" s="11">
        <v>3</v>
      </c>
      <c r="H731" s="12">
        <v>0.05</v>
      </c>
      <c r="I731" s="13">
        <v>4949.8500000000004</v>
      </c>
      <c r="J731" s="13">
        <v>94047.15</v>
      </c>
      <c r="K731" s="13">
        <v>24390.91</v>
      </c>
      <c r="L731" s="8" t="s">
        <v>1166</v>
      </c>
      <c r="M731" s="19" t="s">
        <v>1080</v>
      </c>
      <c r="N731" s="9" t="s">
        <v>22</v>
      </c>
      <c r="O731" s="9" t="s">
        <v>96</v>
      </c>
      <c r="P731">
        <f>DATEVALUE(OnePlusSalesData[[#This Row],[order_date]])</f>
        <v>43697</v>
      </c>
      <c r="Q731" s="28">
        <f>DATEVALUE(OnePlusSalesData[[#This Row],[delivery_date]])</f>
        <v>43699</v>
      </c>
    </row>
    <row r="732" spans="1:17" ht="16" x14ac:dyDescent="0.45">
      <c r="A732" s="2" t="s">
        <v>1601</v>
      </c>
      <c r="B732" s="2" t="s">
        <v>16</v>
      </c>
      <c r="C732" s="3" t="s">
        <v>33</v>
      </c>
      <c r="D732" s="3" t="s">
        <v>34</v>
      </c>
      <c r="E732" s="3" t="s">
        <v>77</v>
      </c>
      <c r="F732" s="4">
        <v>24999</v>
      </c>
      <c r="G732" s="5">
        <v>1</v>
      </c>
      <c r="H732" s="6">
        <v>0</v>
      </c>
      <c r="I732" s="7">
        <v>0</v>
      </c>
      <c r="J732" s="7">
        <v>24999</v>
      </c>
      <c r="K732" s="7">
        <v>6388.42</v>
      </c>
      <c r="L732" s="2" t="s">
        <v>1414</v>
      </c>
      <c r="M732" s="18" t="s">
        <v>409</v>
      </c>
      <c r="N732" s="3" t="s">
        <v>22</v>
      </c>
      <c r="O732" s="3" t="s">
        <v>96</v>
      </c>
      <c r="P732">
        <f>DATEVALUE(OnePlusSalesData[[#This Row],[order_date]])</f>
        <v>44087</v>
      </c>
      <c r="Q732" s="28">
        <f>DATEVALUE(OnePlusSalesData[[#This Row],[delivery_date]])</f>
        <v>44089</v>
      </c>
    </row>
    <row r="733" spans="1:17" ht="16" x14ac:dyDescent="0.45">
      <c r="A733" s="8" t="s">
        <v>1602</v>
      </c>
      <c r="B733" s="8" t="s">
        <v>16</v>
      </c>
      <c r="C733" s="9" t="s">
        <v>17</v>
      </c>
      <c r="D733" s="9" t="s">
        <v>18</v>
      </c>
      <c r="E733" s="9" t="s">
        <v>102</v>
      </c>
      <c r="F733" s="10">
        <v>1490</v>
      </c>
      <c r="G733" s="11">
        <v>1</v>
      </c>
      <c r="H733" s="12">
        <v>0.08</v>
      </c>
      <c r="I733" s="13">
        <v>119.2</v>
      </c>
      <c r="J733" s="13">
        <v>1370.8</v>
      </c>
      <c r="K733" s="13">
        <v>202.52</v>
      </c>
      <c r="L733" s="8" t="s">
        <v>1603</v>
      </c>
      <c r="M733" s="19" t="s">
        <v>530</v>
      </c>
      <c r="N733" s="9" t="s">
        <v>22</v>
      </c>
      <c r="O733" s="9" t="s">
        <v>63</v>
      </c>
      <c r="P733">
        <f>DATEVALUE(OnePlusSalesData[[#This Row],[order_date]])</f>
        <v>44094</v>
      </c>
      <c r="Q733" s="28">
        <f>DATEVALUE(OnePlusSalesData[[#This Row],[delivery_date]])</f>
        <v>44096</v>
      </c>
    </row>
    <row r="734" spans="1:17" ht="16" x14ac:dyDescent="0.45">
      <c r="A734" s="2" t="s">
        <v>1604</v>
      </c>
      <c r="B734" s="2" t="s">
        <v>16</v>
      </c>
      <c r="C734" s="3" t="s">
        <v>17</v>
      </c>
      <c r="D734" s="3" t="s">
        <v>18</v>
      </c>
      <c r="E734" s="3" t="s">
        <v>19</v>
      </c>
      <c r="F734" s="4">
        <v>1990</v>
      </c>
      <c r="G734" s="5">
        <v>1</v>
      </c>
      <c r="H734" s="6">
        <v>0.05</v>
      </c>
      <c r="I734" s="7">
        <v>99.5</v>
      </c>
      <c r="J734" s="7">
        <v>1890.5</v>
      </c>
      <c r="K734" s="7">
        <v>380.67</v>
      </c>
      <c r="L734" s="2" t="s">
        <v>1456</v>
      </c>
      <c r="M734" s="18" t="s">
        <v>130</v>
      </c>
      <c r="N734" s="3" t="s">
        <v>22</v>
      </c>
      <c r="O734" s="3" t="s">
        <v>45</v>
      </c>
      <c r="P734">
        <f>DATEVALUE(OnePlusSalesData[[#This Row],[order_date]])</f>
        <v>43546</v>
      </c>
      <c r="Q734" s="28">
        <f>DATEVALUE(OnePlusSalesData[[#This Row],[delivery_date]])</f>
        <v>43553</v>
      </c>
    </row>
    <row r="735" spans="1:17" ht="16" x14ac:dyDescent="0.45">
      <c r="A735" s="8" t="s">
        <v>1605</v>
      </c>
      <c r="B735" s="8" t="s">
        <v>25</v>
      </c>
      <c r="C735" s="9" t="s">
        <v>65</v>
      </c>
      <c r="D735" s="9" t="s">
        <v>18</v>
      </c>
      <c r="E735" s="9" t="s">
        <v>179</v>
      </c>
      <c r="F735" s="10">
        <v>1290</v>
      </c>
      <c r="G735" s="11">
        <v>1</v>
      </c>
      <c r="H735" s="12">
        <v>0</v>
      </c>
      <c r="I735" s="13">
        <v>0</v>
      </c>
      <c r="J735" s="13">
        <v>1290</v>
      </c>
      <c r="K735" s="13">
        <v>246.56</v>
      </c>
      <c r="L735" s="8" t="s">
        <v>29</v>
      </c>
      <c r="M735" s="19" t="s">
        <v>30</v>
      </c>
      <c r="N735" s="9" t="s">
        <v>22</v>
      </c>
      <c r="O735" s="9" t="s">
        <v>23</v>
      </c>
      <c r="P735">
        <f>DATEVALUE(OnePlusSalesData[[#This Row],[order_date]])</f>
        <v>43377</v>
      </c>
      <c r="Q735" s="28">
        <f>DATEVALUE(OnePlusSalesData[[#This Row],[delivery_date]])</f>
        <v>43379</v>
      </c>
    </row>
    <row r="736" spans="1:17" ht="16" x14ac:dyDescent="0.45">
      <c r="A736" s="2" t="s">
        <v>1606</v>
      </c>
      <c r="B736" s="2" t="s">
        <v>16</v>
      </c>
      <c r="C736" s="3" t="s">
        <v>33</v>
      </c>
      <c r="D736" s="3" t="s">
        <v>40</v>
      </c>
      <c r="E736" s="3" t="s">
        <v>47</v>
      </c>
      <c r="F736" s="4">
        <v>37999</v>
      </c>
      <c r="G736" s="5">
        <v>2</v>
      </c>
      <c r="H736" s="6">
        <v>0.1</v>
      </c>
      <c r="I736" s="7">
        <v>7599.8</v>
      </c>
      <c r="J736" s="7">
        <v>68398.2</v>
      </c>
      <c r="K736" s="7">
        <v>14094.5</v>
      </c>
      <c r="L736" s="2" t="s">
        <v>1184</v>
      </c>
      <c r="M736" s="18" t="s">
        <v>1353</v>
      </c>
      <c r="N736" s="3" t="s">
        <v>22</v>
      </c>
      <c r="O736" s="3" t="s">
        <v>31</v>
      </c>
      <c r="P736">
        <f>DATEVALUE(OnePlusSalesData[[#This Row],[order_date]])</f>
        <v>43417</v>
      </c>
      <c r="Q736" s="28">
        <f>DATEVALUE(OnePlusSalesData[[#This Row],[delivery_date]])</f>
        <v>43420</v>
      </c>
    </row>
    <row r="737" spans="1:17" ht="16" x14ac:dyDescent="0.45">
      <c r="A737" s="8" t="s">
        <v>1607</v>
      </c>
      <c r="B737" s="8" t="s">
        <v>16</v>
      </c>
      <c r="C737" s="9" t="s">
        <v>33</v>
      </c>
      <c r="D737" s="9" t="s">
        <v>18</v>
      </c>
      <c r="E737" s="9" t="s">
        <v>124</v>
      </c>
      <c r="F737" s="10">
        <v>3990</v>
      </c>
      <c r="G737" s="11">
        <v>1</v>
      </c>
      <c r="H737" s="12">
        <v>0</v>
      </c>
      <c r="I737" s="13">
        <v>0</v>
      </c>
      <c r="J737" s="13">
        <v>3990</v>
      </c>
      <c r="K737" s="13">
        <v>605.85</v>
      </c>
      <c r="L737" s="8" t="s">
        <v>533</v>
      </c>
      <c r="M737" s="19" t="s">
        <v>530</v>
      </c>
      <c r="N737" s="9" t="s">
        <v>22</v>
      </c>
      <c r="O737" s="9" t="s">
        <v>63</v>
      </c>
      <c r="P737">
        <f>DATEVALUE(OnePlusSalesData[[#This Row],[order_date]])</f>
        <v>44092</v>
      </c>
      <c r="Q737" s="28">
        <f>DATEVALUE(OnePlusSalesData[[#This Row],[delivery_date]])</f>
        <v>44096</v>
      </c>
    </row>
    <row r="738" spans="1:17" ht="16" x14ac:dyDescent="0.45">
      <c r="A738" s="2" t="s">
        <v>1608</v>
      </c>
      <c r="B738" s="2" t="s">
        <v>52</v>
      </c>
      <c r="C738" s="3" t="s">
        <v>192</v>
      </c>
      <c r="D738" s="3" t="s">
        <v>34</v>
      </c>
      <c r="E738" s="3" t="s">
        <v>35</v>
      </c>
      <c r="F738" s="4">
        <v>19999</v>
      </c>
      <c r="G738" s="5">
        <v>3</v>
      </c>
      <c r="H738" s="6">
        <v>0.08</v>
      </c>
      <c r="I738" s="7">
        <v>4799.76</v>
      </c>
      <c r="J738" s="7">
        <v>55197.24</v>
      </c>
      <c r="K738" s="7">
        <v>8917.6</v>
      </c>
      <c r="L738" s="2" t="s">
        <v>167</v>
      </c>
      <c r="M738" s="18" t="s">
        <v>1051</v>
      </c>
      <c r="N738" s="3" t="s">
        <v>22</v>
      </c>
      <c r="O738" s="3" t="s">
        <v>63</v>
      </c>
      <c r="P738">
        <f>DATEVALUE(OnePlusSalesData[[#This Row],[order_date]])</f>
        <v>43810</v>
      </c>
      <c r="Q738" s="28">
        <f>DATEVALUE(OnePlusSalesData[[#This Row],[delivery_date]])</f>
        <v>43817</v>
      </c>
    </row>
    <row r="739" spans="1:17" ht="16" x14ac:dyDescent="0.45">
      <c r="A739" s="8" t="s">
        <v>1609</v>
      </c>
      <c r="B739" s="8" t="s">
        <v>52</v>
      </c>
      <c r="C739" s="9" t="s">
        <v>53</v>
      </c>
      <c r="D739" s="9" t="s">
        <v>40</v>
      </c>
      <c r="E739" s="9" t="s">
        <v>41</v>
      </c>
      <c r="F739" s="10">
        <v>37999</v>
      </c>
      <c r="G739" s="11">
        <v>1</v>
      </c>
      <c r="H739" s="12">
        <v>0.05</v>
      </c>
      <c r="I739" s="13">
        <v>1899.95</v>
      </c>
      <c r="J739" s="13">
        <v>36099.050000000003</v>
      </c>
      <c r="K739" s="13">
        <v>9107.43</v>
      </c>
      <c r="L739" s="8" t="s">
        <v>1555</v>
      </c>
      <c r="M739" s="19" t="s">
        <v>730</v>
      </c>
      <c r="N739" s="9" t="s">
        <v>22</v>
      </c>
      <c r="O739" s="9" t="s">
        <v>31</v>
      </c>
      <c r="P739">
        <f>DATEVALUE(OnePlusSalesData[[#This Row],[order_date]])</f>
        <v>43365</v>
      </c>
      <c r="Q739" s="28">
        <f>DATEVALUE(OnePlusSalesData[[#This Row],[delivery_date]])</f>
        <v>43372</v>
      </c>
    </row>
    <row r="740" spans="1:17" ht="16" x14ac:dyDescent="0.45">
      <c r="A740" s="2" t="s">
        <v>1610</v>
      </c>
      <c r="B740" s="2" t="s">
        <v>58</v>
      </c>
      <c r="C740" s="3" t="s">
        <v>113</v>
      </c>
      <c r="D740" s="3" t="s">
        <v>40</v>
      </c>
      <c r="E740" s="3" t="s">
        <v>47</v>
      </c>
      <c r="F740" s="4">
        <v>37999</v>
      </c>
      <c r="G740" s="5">
        <v>1</v>
      </c>
      <c r="H740" s="6">
        <v>0.05</v>
      </c>
      <c r="I740" s="7">
        <v>1899.95</v>
      </c>
      <c r="J740" s="7">
        <v>36099.050000000003</v>
      </c>
      <c r="K740" s="7">
        <v>5592.9</v>
      </c>
      <c r="L740" s="2" t="s">
        <v>1611</v>
      </c>
      <c r="M740" s="18" t="s">
        <v>404</v>
      </c>
      <c r="N740" s="3" t="s">
        <v>22</v>
      </c>
      <c r="O740" s="3" t="s">
        <v>146</v>
      </c>
      <c r="P740">
        <f>DATEVALUE(OnePlusSalesData[[#This Row],[order_date]])</f>
        <v>43101</v>
      </c>
      <c r="Q740" s="28">
        <f>DATEVALUE(OnePlusSalesData[[#This Row],[delivery_date]])</f>
        <v>43107</v>
      </c>
    </row>
    <row r="741" spans="1:17" ht="16" x14ac:dyDescent="0.45">
      <c r="A741" s="8" t="s">
        <v>1612</v>
      </c>
      <c r="B741" s="8" t="s">
        <v>16</v>
      </c>
      <c r="C741" s="9" t="s">
        <v>152</v>
      </c>
      <c r="D741" s="9" t="s">
        <v>40</v>
      </c>
      <c r="E741" s="9" t="s">
        <v>60</v>
      </c>
      <c r="F741" s="10">
        <v>54999</v>
      </c>
      <c r="G741" s="11">
        <v>4</v>
      </c>
      <c r="H741" s="12">
        <v>0.05</v>
      </c>
      <c r="I741" s="13">
        <v>10999.8</v>
      </c>
      <c r="J741" s="13">
        <v>208996.2</v>
      </c>
      <c r="K741" s="13">
        <v>39047.71</v>
      </c>
      <c r="L741" s="8" t="s">
        <v>796</v>
      </c>
      <c r="M741" s="19" t="s">
        <v>987</v>
      </c>
      <c r="N741" s="9" t="s">
        <v>44</v>
      </c>
      <c r="O741" s="9" t="s">
        <v>96</v>
      </c>
      <c r="P741">
        <f>DATEVALUE(OnePlusSalesData[[#This Row],[order_date]])</f>
        <v>43729</v>
      </c>
      <c r="Q741" s="28">
        <f>DATEVALUE(OnePlusSalesData[[#This Row],[delivery_date]])</f>
        <v>43733</v>
      </c>
    </row>
    <row r="742" spans="1:17" ht="16" x14ac:dyDescent="0.45">
      <c r="A742" s="2" t="s">
        <v>1613</v>
      </c>
      <c r="B742" s="2" t="s">
        <v>25</v>
      </c>
      <c r="C742" s="3" t="s">
        <v>172</v>
      </c>
      <c r="D742" s="3" t="s">
        <v>40</v>
      </c>
      <c r="E742" s="3" t="s">
        <v>47</v>
      </c>
      <c r="F742" s="4">
        <v>37999</v>
      </c>
      <c r="G742" s="5">
        <v>1</v>
      </c>
      <c r="H742" s="6">
        <v>0.12</v>
      </c>
      <c r="I742" s="7">
        <v>4559.88</v>
      </c>
      <c r="J742" s="7">
        <v>33439.120000000003</v>
      </c>
      <c r="K742" s="7">
        <v>5458.43</v>
      </c>
      <c r="L742" s="2" t="s">
        <v>144</v>
      </c>
      <c r="M742" s="18" t="s">
        <v>751</v>
      </c>
      <c r="N742" s="3" t="s">
        <v>22</v>
      </c>
      <c r="O742" s="3" t="s">
        <v>31</v>
      </c>
      <c r="P742">
        <f>DATEVALUE(OnePlusSalesData[[#This Row],[order_date]])</f>
        <v>43859</v>
      </c>
      <c r="Q742" s="28">
        <f>DATEVALUE(OnePlusSalesData[[#This Row],[delivery_date]])</f>
        <v>43864</v>
      </c>
    </row>
    <row r="743" spans="1:17" ht="16" x14ac:dyDescent="0.45">
      <c r="A743" s="8" t="s">
        <v>1614</v>
      </c>
      <c r="B743" s="8" t="s">
        <v>58</v>
      </c>
      <c r="C743" s="9" t="s">
        <v>257</v>
      </c>
      <c r="D743" s="9" t="s">
        <v>27</v>
      </c>
      <c r="E743" s="9" t="s">
        <v>176</v>
      </c>
      <c r="F743" s="10">
        <v>69900</v>
      </c>
      <c r="G743" s="11">
        <v>2</v>
      </c>
      <c r="H743" s="12">
        <v>0</v>
      </c>
      <c r="I743" s="13">
        <v>0</v>
      </c>
      <c r="J743" s="13">
        <v>139800</v>
      </c>
      <c r="K743" s="13">
        <v>25057.87</v>
      </c>
      <c r="L743" s="8" t="s">
        <v>1615</v>
      </c>
      <c r="M743" s="19" t="s">
        <v>252</v>
      </c>
      <c r="N743" s="9" t="s">
        <v>50</v>
      </c>
      <c r="O743" s="9" t="s">
        <v>45</v>
      </c>
      <c r="P743">
        <f>DATEVALUE(OnePlusSalesData[[#This Row],[order_date]])</f>
        <v>43766</v>
      </c>
      <c r="Q743" s="28">
        <f>DATEVALUE(OnePlusSalesData[[#This Row],[delivery_date]])</f>
        <v>43773</v>
      </c>
    </row>
    <row r="744" spans="1:17" ht="16" x14ac:dyDescent="0.45">
      <c r="A744" s="2" t="s">
        <v>1616</v>
      </c>
      <c r="B744" s="2" t="s">
        <v>25</v>
      </c>
      <c r="C744" s="3" t="s">
        <v>120</v>
      </c>
      <c r="D744" s="3" t="s">
        <v>18</v>
      </c>
      <c r="E744" s="3" t="s">
        <v>19</v>
      </c>
      <c r="F744" s="4">
        <v>1990</v>
      </c>
      <c r="G744" s="5">
        <v>1</v>
      </c>
      <c r="H744" s="6">
        <v>0</v>
      </c>
      <c r="I744" s="7">
        <v>0</v>
      </c>
      <c r="J744" s="7">
        <v>1990</v>
      </c>
      <c r="K744" s="7">
        <v>416.64</v>
      </c>
      <c r="L744" s="2" t="s">
        <v>1617</v>
      </c>
      <c r="M744" s="18" t="s">
        <v>1054</v>
      </c>
      <c r="N744" s="3" t="s">
        <v>22</v>
      </c>
      <c r="O744" s="3" t="s">
        <v>23</v>
      </c>
      <c r="P744">
        <f>DATEVALUE(OnePlusSalesData[[#This Row],[order_date]])</f>
        <v>43768</v>
      </c>
      <c r="Q744" s="28">
        <f>DATEVALUE(OnePlusSalesData[[#This Row],[delivery_date]])</f>
        <v>43774</v>
      </c>
    </row>
    <row r="745" spans="1:17" ht="16" x14ac:dyDescent="0.45">
      <c r="A745" s="8" t="s">
        <v>1618</v>
      </c>
      <c r="B745" s="8" t="s">
        <v>52</v>
      </c>
      <c r="C745" s="9" t="s">
        <v>53</v>
      </c>
      <c r="D745" s="9" t="s">
        <v>40</v>
      </c>
      <c r="E745" s="9" t="s">
        <v>60</v>
      </c>
      <c r="F745" s="10">
        <v>54999</v>
      </c>
      <c r="G745" s="11">
        <v>1</v>
      </c>
      <c r="H745" s="12">
        <v>0.05</v>
      </c>
      <c r="I745" s="13">
        <v>2749.95</v>
      </c>
      <c r="J745" s="13">
        <v>52249.05</v>
      </c>
      <c r="K745" s="13">
        <v>8447.44</v>
      </c>
      <c r="L745" s="8" t="s">
        <v>1619</v>
      </c>
      <c r="M745" s="19" t="s">
        <v>1620</v>
      </c>
      <c r="N745" s="9" t="s">
        <v>22</v>
      </c>
      <c r="O745" s="9" t="s">
        <v>63</v>
      </c>
      <c r="P745">
        <f>DATEVALUE(OnePlusSalesData[[#This Row],[order_date]])</f>
        <v>44050</v>
      </c>
      <c r="Q745" s="28">
        <f>DATEVALUE(OnePlusSalesData[[#This Row],[delivery_date]])</f>
        <v>44053</v>
      </c>
    </row>
    <row r="746" spans="1:17" ht="16" x14ac:dyDescent="0.45">
      <c r="A746" s="2" t="s">
        <v>1621</v>
      </c>
      <c r="B746" s="2" t="s">
        <v>25</v>
      </c>
      <c r="C746" s="3" t="s">
        <v>120</v>
      </c>
      <c r="D746" s="3" t="s">
        <v>40</v>
      </c>
      <c r="E746" s="3" t="s">
        <v>73</v>
      </c>
      <c r="F746" s="4">
        <v>32999</v>
      </c>
      <c r="G746" s="5">
        <v>3</v>
      </c>
      <c r="H746" s="6">
        <v>0</v>
      </c>
      <c r="I746" s="7">
        <v>0</v>
      </c>
      <c r="J746" s="7">
        <v>98997</v>
      </c>
      <c r="K746" s="7">
        <v>24986.78</v>
      </c>
      <c r="L746" s="2" t="s">
        <v>1622</v>
      </c>
      <c r="M746" s="18" t="s">
        <v>55</v>
      </c>
      <c r="N746" s="3" t="s">
        <v>50</v>
      </c>
      <c r="O746" s="3" t="s">
        <v>31</v>
      </c>
      <c r="P746">
        <f>DATEVALUE(OnePlusSalesData[[#This Row],[order_date]])</f>
        <v>43496</v>
      </c>
      <c r="Q746" s="28">
        <f>DATEVALUE(OnePlusSalesData[[#This Row],[delivery_date]])</f>
        <v>43502</v>
      </c>
    </row>
    <row r="747" spans="1:17" ht="16" x14ac:dyDescent="0.45">
      <c r="A747" s="8" t="s">
        <v>1623</v>
      </c>
      <c r="B747" s="8" t="s">
        <v>52</v>
      </c>
      <c r="C747" s="9" t="s">
        <v>192</v>
      </c>
      <c r="D747" s="9" t="s">
        <v>40</v>
      </c>
      <c r="E747" s="9" t="s">
        <v>73</v>
      </c>
      <c r="F747" s="10">
        <v>32999</v>
      </c>
      <c r="G747" s="11">
        <v>1</v>
      </c>
      <c r="H747" s="12">
        <v>0.1</v>
      </c>
      <c r="I747" s="13">
        <v>3299.9</v>
      </c>
      <c r="J747" s="13">
        <v>29699.1</v>
      </c>
      <c r="K747" s="13">
        <v>6851.77</v>
      </c>
      <c r="L747" s="8" t="s">
        <v>1149</v>
      </c>
      <c r="M747" s="19" t="s">
        <v>784</v>
      </c>
      <c r="N747" s="9" t="s">
        <v>22</v>
      </c>
      <c r="O747" s="9" t="s">
        <v>45</v>
      </c>
      <c r="P747">
        <f>DATEVALUE(OnePlusSalesData[[#This Row],[order_date]])</f>
        <v>44155</v>
      </c>
      <c r="Q747" s="28">
        <f>DATEVALUE(OnePlusSalesData[[#This Row],[delivery_date]])</f>
        <v>44158</v>
      </c>
    </row>
    <row r="748" spans="1:17" ht="16" x14ac:dyDescent="0.45">
      <c r="A748" s="2" t="s">
        <v>1624</v>
      </c>
      <c r="B748" s="2" t="s">
        <v>16</v>
      </c>
      <c r="C748" s="3" t="s">
        <v>33</v>
      </c>
      <c r="D748" s="3" t="s">
        <v>27</v>
      </c>
      <c r="E748" s="3" t="s">
        <v>176</v>
      </c>
      <c r="F748" s="4">
        <v>69900</v>
      </c>
      <c r="G748" s="5">
        <v>1</v>
      </c>
      <c r="H748" s="6">
        <v>0.1</v>
      </c>
      <c r="I748" s="7">
        <v>6990</v>
      </c>
      <c r="J748" s="7">
        <v>62910</v>
      </c>
      <c r="K748" s="7">
        <v>14584.58</v>
      </c>
      <c r="L748" s="2" t="s">
        <v>141</v>
      </c>
      <c r="M748" s="18" t="s">
        <v>694</v>
      </c>
      <c r="N748" s="3" t="s">
        <v>22</v>
      </c>
      <c r="O748" s="3" t="s">
        <v>45</v>
      </c>
      <c r="P748">
        <f>DATEVALUE(OnePlusSalesData[[#This Row],[order_date]])</f>
        <v>43954</v>
      </c>
      <c r="Q748" s="28">
        <f>DATEVALUE(OnePlusSalesData[[#This Row],[delivery_date]])</f>
        <v>43956</v>
      </c>
    </row>
    <row r="749" spans="1:17" ht="16" x14ac:dyDescent="0.45">
      <c r="A749" s="8" t="s">
        <v>1625</v>
      </c>
      <c r="B749" s="8" t="s">
        <v>16</v>
      </c>
      <c r="C749" s="9" t="s">
        <v>17</v>
      </c>
      <c r="D749" s="9" t="s">
        <v>85</v>
      </c>
      <c r="E749" s="9" t="s">
        <v>86</v>
      </c>
      <c r="F749" s="10">
        <v>1999</v>
      </c>
      <c r="G749" s="11">
        <v>5</v>
      </c>
      <c r="H749" s="12">
        <v>0</v>
      </c>
      <c r="I749" s="13">
        <v>0</v>
      </c>
      <c r="J749" s="13">
        <v>9995</v>
      </c>
      <c r="K749" s="13">
        <v>1657.6</v>
      </c>
      <c r="L749" s="8" t="s">
        <v>1626</v>
      </c>
      <c r="M749" s="19" t="s">
        <v>841</v>
      </c>
      <c r="N749" s="9" t="s">
        <v>22</v>
      </c>
      <c r="O749" s="9" t="s">
        <v>96</v>
      </c>
      <c r="P749">
        <f>DATEVALUE(OnePlusSalesData[[#This Row],[order_date]])</f>
        <v>43815</v>
      </c>
      <c r="Q749" s="28">
        <f>DATEVALUE(OnePlusSalesData[[#This Row],[delivery_date]])</f>
        <v>43820</v>
      </c>
    </row>
    <row r="750" spans="1:17" ht="16" x14ac:dyDescent="0.45">
      <c r="A750" s="2" t="s">
        <v>1627</v>
      </c>
      <c r="B750" s="2" t="s">
        <v>52</v>
      </c>
      <c r="C750" s="3" t="s">
        <v>106</v>
      </c>
      <c r="D750" s="3" t="s">
        <v>18</v>
      </c>
      <c r="E750" s="3" t="s">
        <v>124</v>
      </c>
      <c r="F750" s="4">
        <v>3990</v>
      </c>
      <c r="G750" s="5">
        <v>1</v>
      </c>
      <c r="H750" s="6">
        <v>0</v>
      </c>
      <c r="I750" s="7">
        <v>0</v>
      </c>
      <c r="J750" s="7">
        <v>3990</v>
      </c>
      <c r="K750" s="7">
        <v>829.55</v>
      </c>
      <c r="L750" s="2" t="s">
        <v>1268</v>
      </c>
      <c r="M750" s="18" t="s">
        <v>255</v>
      </c>
      <c r="N750" s="3" t="s">
        <v>22</v>
      </c>
      <c r="O750" s="3" t="s">
        <v>31</v>
      </c>
      <c r="P750">
        <f>DATEVALUE(OnePlusSalesData[[#This Row],[order_date]])</f>
        <v>43936</v>
      </c>
      <c r="Q750" s="28">
        <f>DATEVALUE(OnePlusSalesData[[#This Row],[delivery_date]])</f>
        <v>43940</v>
      </c>
    </row>
    <row r="751" spans="1:17" ht="16" x14ac:dyDescent="0.45">
      <c r="A751" s="8" t="s">
        <v>1628</v>
      </c>
      <c r="B751" s="8" t="s">
        <v>52</v>
      </c>
      <c r="C751" s="9" t="s">
        <v>358</v>
      </c>
      <c r="D751" s="9" t="s">
        <v>18</v>
      </c>
      <c r="E751" s="9" t="s">
        <v>124</v>
      </c>
      <c r="F751" s="10">
        <v>3990</v>
      </c>
      <c r="G751" s="11">
        <v>2</v>
      </c>
      <c r="H751" s="12">
        <v>0.05</v>
      </c>
      <c r="I751" s="13">
        <v>399</v>
      </c>
      <c r="J751" s="13">
        <v>7581</v>
      </c>
      <c r="K751" s="13">
        <v>1146.42</v>
      </c>
      <c r="L751" s="8" t="s">
        <v>1629</v>
      </c>
      <c r="M751" s="19" t="s">
        <v>1630</v>
      </c>
      <c r="N751" s="9" t="s">
        <v>22</v>
      </c>
      <c r="O751" s="9" t="s">
        <v>31</v>
      </c>
      <c r="P751">
        <f>DATEVALUE(OnePlusSalesData[[#This Row],[order_date]])</f>
        <v>43926</v>
      </c>
      <c r="Q751" s="28">
        <f>DATEVALUE(OnePlusSalesData[[#This Row],[delivery_date]])</f>
        <v>43930</v>
      </c>
    </row>
    <row r="752" spans="1:17" ht="16" x14ac:dyDescent="0.45">
      <c r="A752" s="2" t="s">
        <v>1631</v>
      </c>
      <c r="B752" s="2" t="s">
        <v>25</v>
      </c>
      <c r="C752" s="3" t="s">
        <v>120</v>
      </c>
      <c r="D752" s="3" t="s">
        <v>27</v>
      </c>
      <c r="E752" s="3" t="s">
        <v>28</v>
      </c>
      <c r="F752" s="4">
        <v>12999</v>
      </c>
      <c r="G752" s="5">
        <v>1</v>
      </c>
      <c r="H752" s="6">
        <v>0.1</v>
      </c>
      <c r="I752" s="7">
        <v>1299.9000000000001</v>
      </c>
      <c r="J752" s="7">
        <v>11699.1</v>
      </c>
      <c r="K752" s="7">
        <v>2066.9699999999998</v>
      </c>
      <c r="L752" s="2" t="s">
        <v>1026</v>
      </c>
      <c r="M752" s="18" t="s">
        <v>1632</v>
      </c>
      <c r="N752" s="3" t="s">
        <v>22</v>
      </c>
      <c r="O752" s="3" t="s">
        <v>23</v>
      </c>
      <c r="P752">
        <f>DATEVALUE(OnePlusSalesData[[#This Row],[order_date]])</f>
        <v>43242</v>
      </c>
      <c r="Q752" s="28">
        <f>DATEVALUE(OnePlusSalesData[[#This Row],[delivery_date]])</f>
        <v>43248</v>
      </c>
    </row>
    <row r="753" spans="1:17" ht="16" x14ac:dyDescent="0.45">
      <c r="A753" s="8" t="s">
        <v>1633</v>
      </c>
      <c r="B753" s="8" t="s">
        <v>16</v>
      </c>
      <c r="C753" s="9" t="s">
        <v>17</v>
      </c>
      <c r="D753" s="9" t="s">
        <v>18</v>
      </c>
      <c r="E753" s="9" t="s">
        <v>19</v>
      </c>
      <c r="F753" s="10">
        <v>1990</v>
      </c>
      <c r="G753" s="11">
        <v>1</v>
      </c>
      <c r="H753" s="12">
        <v>0.1</v>
      </c>
      <c r="I753" s="13">
        <v>199</v>
      </c>
      <c r="J753" s="13">
        <v>1791</v>
      </c>
      <c r="K753" s="13">
        <v>352.56</v>
      </c>
      <c r="L753" s="8" t="s">
        <v>895</v>
      </c>
      <c r="M753" s="19" t="s">
        <v>1634</v>
      </c>
      <c r="N753" s="9" t="s">
        <v>22</v>
      </c>
      <c r="O753" s="9" t="s">
        <v>45</v>
      </c>
      <c r="P753">
        <f>DATEVALUE(OnePlusSalesData[[#This Row],[order_date]])</f>
        <v>43364</v>
      </c>
      <c r="Q753" s="28">
        <f>DATEVALUE(OnePlusSalesData[[#This Row],[delivery_date]])</f>
        <v>43369</v>
      </c>
    </row>
    <row r="754" spans="1:17" ht="16" x14ac:dyDescent="0.45">
      <c r="A754" s="2" t="s">
        <v>1635</v>
      </c>
      <c r="B754" s="2" t="s">
        <v>16</v>
      </c>
      <c r="C754" s="3" t="s">
        <v>39</v>
      </c>
      <c r="D754" s="3" t="s">
        <v>27</v>
      </c>
      <c r="E754" s="3" t="s">
        <v>28</v>
      </c>
      <c r="F754" s="4">
        <v>12999</v>
      </c>
      <c r="G754" s="5">
        <v>1</v>
      </c>
      <c r="H754" s="6">
        <v>0.05</v>
      </c>
      <c r="I754" s="7">
        <v>649.95000000000005</v>
      </c>
      <c r="J754" s="7">
        <v>12349.05</v>
      </c>
      <c r="K754" s="7">
        <v>2483.06</v>
      </c>
      <c r="L754" s="2" t="s">
        <v>1636</v>
      </c>
      <c r="M754" s="18" t="s">
        <v>1365</v>
      </c>
      <c r="N754" s="3" t="s">
        <v>22</v>
      </c>
      <c r="O754" s="3" t="s">
        <v>23</v>
      </c>
      <c r="P754">
        <f>DATEVALUE(OnePlusSalesData[[#This Row],[order_date]])</f>
        <v>44055</v>
      </c>
      <c r="Q754" s="28">
        <f>DATEVALUE(OnePlusSalesData[[#This Row],[delivery_date]])</f>
        <v>44060</v>
      </c>
    </row>
    <row r="755" spans="1:17" ht="16" x14ac:dyDescent="0.45">
      <c r="A755" s="8" t="s">
        <v>1637</v>
      </c>
      <c r="B755" s="8" t="s">
        <v>25</v>
      </c>
      <c r="C755" s="9" t="s">
        <v>133</v>
      </c>
      <c r="D755" s="9" t="s">
        <v>85</v>
      </c>
      <c r="E755" s="9" t="s">
        <v>265</v>
      </c>
      <c r="F755" s="10">
        <v>4990</v>
      </c>
      <c r="G755" s="11">
        <v>2</v>
      </c>
      <c r="H755" s="12">
        <v>0.05</v>
      </c>
      <c r="I755" s="13">
        <v>499</v>
      </c>
      <c r="J755" s="13">
        <v>9481</v>
      </c>
      <c r="K755" s="13">
        <v>1553.67</v>
      </c>
      <c r="L755" s="8" t="s">
        <v>760</v>
      </c>
      <c r="M755" s="19" t="s">
        <v>1638</v>
      </c>
      <c r="N755" s="9" t="s">
        <v>22</v>
      </c>
      <c r="O755" s="9" t="s">
        <v>45</v>
      </c>
      <c r="P755">
        <f>DATEVALUE(OnePlusSalesData[[#This Row],[order_date]])</f>
        <v>43658</v>
      </c>
      <c r="Q755" s="28">
        <f>DATEVALUE(OnePlusSalesData[[#This Row],[delivery_date]])</f>
        <v>43665</v>
      </c>
    </row>
    <row r="756" spans="1:17" ht="16" x14ac:dyDescent="0.45">
      <c r="A756" s="2" t="s">
        <v>1639</v>
      </c>
      <c r="B756" s="2" t="s">
        <v>16</v>
      </c>
      <c r="C756" s="3" t="s">
        <v>17</v>
      </c>
      <c r="D756" s="3" t="s">
        <v>27</v>
      </c>
      <c r="E756" s="3" t="s">
        <v>159</v>
      </c>
      <c r="F756" s="4">
        <v>22999</v>
      </c>
      <c r="G756" s="5">
        <v>2</v>
      </c>
      <c r="H756" s="6">
        <v>0</v>
      </c>
      <c r="I756" s="7">
        <v>0</v>
      </c>
      <c r="J756" s="7">
        <v>45998</v>
      </c>
      <c r="K756" s="7">
        <v>7511.26</v>
      </c>
      <c r="L756" s="2" t="s">
        <v>1640</v>
      </c>
      <c r="M756" s="18" t="s">
        <v>433</v>
      </c>
      <c r="N756" s="3" t="s">
        <v>44</v>
      </c>
      <c r="O756" s="3" t="s">
        <v>45</v>
      </c>
      <c r="P756">
        <f>DATEVALUE(OnePlusSalesData[[#This Row],[order_date]])</f>
        <v>44144</v>
      </c>
      <c r="Q756" s="28">
        <f>DATEVALUE(OnePlusSalesData[[#This Row],[delivery_date]])</f>
        <v>44146</v>
      </c>
    </row>
    <row r="757" spans="1:17" ht="16" x14ac:dyDescent="0.45">
      <c r="A757" s="8" t="s">
        <v>1641</v>
      </c>
      <c r="B757" s="8" t="s">
        <v>52</v>
      </c>
      <c r="C757" s="9" t="s">
        <v>358</v>
      </c>
      <c r="D757" s="9" t="s">
        <v>40</v>
      </c>
      <c r="E757" s="9" t="s">
        <v>60</v>
      </c>
      <c r="F757" s="10">
        <v>54999</v>
      </c>
      <c r="G757" s="11">
        <v>1</v>
      </c>
      <c r="H757" s="12">
        <v>0</v>
      </c>
      <c r="I757" s="13">
        <v>0</v>
      </c>
      <c r="J757" s="13">
        <v>54999</v>
      </c>
      <c r="K757" s="13">
        <v>13949.31</v>
      </c>
      <c r="L757" s="8" t="s">
        <v>1642</v>
      </c>
      <c r="M757" s="19" t="s">
        <v>1220</v>
      </c>
      <c r="N757" s="9" t="s">
        <v>92</v>
      </c>
      <c r="O757" s="9" t="s">
        <v>23</v>
      </c>
      <c r="P757">
        <f>DATEVALUE(OnePlusSalesData[[#This Row],[order_date]])</f>
        <v>43805</v>
      </c>
      <c r="Q757" s="28">
        <f>DATEVALUE(OnePlusSalesData[[#This Row],[delivery_date]])</f>
        <v>43812</v>
      </c>
    </row>
    <row r="758" spans="1:17" ht="16" x14ac:dyDescent="0.45">
      <c r="A758" s="2" t="s">
        <v>1643</v>
      </c>
      <c r="B758" s="2" t="s">
        <v>58</v>
      </c>
      <c r="C758" s="3" t="s">
        <v>257</v>
      </c>
      <c r="D758" s="3" t="s">
        <v>18</v>
      </c>
      <c r="E758" s="3" t="s">
        <v>179</v>
      </c>
      <c r="F758" s="4">
        <v>1290</v>
      </c>
      <c r="G758" s="5">
        <v>3</v>
      </c>
      <c r="H758" s="6">
        <v>0.05</v>
      </c>
      <c r="I758" s="7">
        <v>193.5</v>
      </c>
      <c r="J758" s="7">
        <v>3676.5</v>
      </c>
      <c r="K758" s="7">
        <v>788.91</v>
      </c>
      <c r="L758" s="2" t="s">
        <v>295</v>
      </c>
      <c r="M758" s="18" t="s">
        <v>1644</v>
      </c>
      <c r="N758" s="3" t="s">
        <v>22</v>
      </c>
      <c r="O758" s="3" t="s">
        <v>45</v>
      </c>
      <c r="P758">
        <f>DATEVALUE(OnePlusSalesData[[#This Row],[order_date]])</f>
        <v>43831</v>
      </c>
      <c r="Q758" s="28">
        <f>DATEVALUE(OnePlusSalesData[[#This Row],[delivery_date]])</f>
        <v>43833</v>
      </c>
    </row>
    <row r="759" spans="1:17" ht="16" x14ac:dyDescent="0.45">
      <c r="A759" s="8" t="s">
        <v>1645</v>
      </c>
      <c r="B759" s="8" t="s">
        <v>52</v>
      </c>
      <c r="C759" s="9" t="s">
        <v>192</v>
      </c>
      <c r="D759" s="9" t="s">
        <v>18</v>
      </c>
      <c r="E759" s="9" t="s">
        <v>19</v>
      </c>
      <c r="F759" s="10">
        <v>1990</v>
      </c>
      <c r="G759" s="11">
        <v>1</v>
      </c>
      <c r="H759" s="12">
        <v>0</v>
      </c>
      <c r="I759" s="13">
        <v>0</v>
      </c>
      <c r="J759" s="13">
        <v>1990</v>
      </c>
      <c r="K759" s="13">
        <v>336.21</v>
      </c>
      <c r="L759" s="8" t="s">
        <v>284</v>
      </c>
      <c r="M759" s="19" t="s">
        <v>1646</v>
      </c>
      <c r="N759" s="9" t="s">
        <v>22</v>
      </c>
      <c r="O759" s="9" t="s">
        <v>63</v>
      </c>
      <c r="P759">
        <f>DATEVALUE(OnePlusSalesData[[#This Row],[order_date]])</f>
        <v>43429</v>
      </c>
      <c r="Q759" s="28">
        <f>DATEVALUE(OnePlusSalesData[[#This Row],[delivery_date]])</f>
        <v>43432</v>
      </c>
    </row>
    <row r="760" spans="1:17" ht="16" x14ac:dyDescent="0.45">
      <c r="A760" s="2" t="s">
        <v>1647</v>
      </c>
      <c r="B760" s="2" t="s">
        <v>52</v>
      </c>
      <c r="C760" s="3" t="s">
        <v>69</v>
      </c>
      <c r="D760" s="3" t="s">
        <v>27</v>
      </c>
      <c r="E760" s="3" t="s">
        <v>28</v>
      </c>
      <c r="F760" s="4">
        <v>12999</v>
      </c>
      <c r="G760" s="5">
        <v>1</v>
      </c>
      <c r="H760" s="6">
        <v>0.12</v>
      </c>
      <c r="I760" s="7">
        <v>1559.88</v>
      </c>
      <c r="J760" s="7">
        <v>11439.12</v>
      </c>
      <c r="K760" s="7">
        <v>1702.1</v>
      </c>
      <c r="L760" s="2" t="s">
        <v>821</v>
      </c>
      <c r="M760" s="18" t="s">
        <v>1299</v>
      </c>
      <c r="N760" s="3" t="s">
        <v>22</v>
      </c>
      <c r="O760" s="3" t="s">
        <v>45</v>
      </c>
      <c r="P760">
        <f>DATEVALUE(OnePlusSalesData[[#This Row],[order_date]])</f>
        <v>44176</v>
      </c>
      <c r="Q760" s="28">
        <f>DATEVALUE(OnePlusSalesData[[#This Row],[delivery_date]])</f>
        <v>44178</v>
      </c>
    </row>
    <row r="761" spans="1:17" ht="16" x14ac:dyDescent="0.45">
      <c r="A761" s="8" t="s">
        <v>1648</v>
      </c>
      <c r="B761" s="8" t="s">
        <v>58</v>
      </c>
      <c r="C761" s="9" t="s">
        <v>257</v>
      </c>
      <c r="D761" s="9" t="s">
        <v>85</v>
      </c>
      <c r="E761" s="9" t="s">
        <v>265</v>
      </c>
      <c r="F761" s="10">
        <v>4990</v>
      </c>
      <c r="G761" s="11">
        <v>2</v>
      </c>
      <c r="H761" s="12">
        <v>0.05</v>
      </c>
      <c r="I761" s="13">
        <v>499</v>
      </c>
      <c r="J761" s="13">
        <v>9481</v>
      </c>
      <c r="K761" s="13">
        <v>1372.93</v>
      </c>
      <c r="L761" s="8" t="s">
        <v>1356</v>
      </c>
      <c r="M761" s="19" t="s">
        <v>103</v>
      </c>
      <c r="N761" s="9" t="s">
        <v>22</v>
      </c>
      <c r="O761" s="9" t="s">
        <v>23</v>
      </c>
      <c r="P761">
        <f>DATEVALUE(OnePlusSalesData[[#This Row],[order_date]])</f>
        <v>43296</v>
      </c>
      <c r="Q761" s="28">
        <f>DATEVALUE(OnePlusSalesData[[#This Row],[delivery_date]])</f>
        <v>43298</v>
      </c>
    </row>
    <row r="762" spans="1:17" ht="16" x14ac:dyDescent="0.45">
      <c r="A762" s="2" t="s">
        <v>1649</v>
      </c>
      <c r="B762" s="2" t="s">
        <v>52</v>
      </c>
      <c r="C762" s="3" t="s">
        <v>106</v>
      </c>
      <c r="D762" s="3" t="s">
        <v>27</v>
      </c>
      <c r="E762" s="3" t="s">
        <v>159</v>
      </c>
      <c r="F762" s="4">
        <v>22999</v>
      </c>
      <c r="G762" s="5">
        <v>2</v>
      </c>
      <c r="H762" s="6">
        <v>0.05</v>
      </c>
      <c r="I762" s="7">
        <v>2299.9</v>
      </c>
      <c r="J762" s="7">
        <v>43698.1</v>
      </c>
      <c r="K762" s="7">
        <v>10645.36</v>
      </c>
      <c r="L762" s="2" t="s">
        <v>55</v>
      </c>
      <c r="M762" s="18" t="s">
        <v>960</v>
      </c>
      <c r="N762" s="3" t="s">
        <v>22</v>
      </c>
      <c r="O762" s="3" t="s">
        <v>31</v>
      </c>
      <c r="P762">
        <f>DATEVALUE(OnePlusSalesData[[#This Row],[order_date]])</f>
        <v>43502</v>
      </c>
      <c r="Q762" s="28">
        <f>DATEVALUE(OnePlusSalesData[[#This Row],[delivery_date]])</f>
        <v>43509</v>
      </c>
    </row>
    <row r="763" spans="1:17" ht="16" x14ac:dyDescent="0.45">
      <c r="A763" s="8" t="s">
        <v>1650</v>
      </c>
      <c r="B763" s="8" t="s">
        <v>52</v>
      </c>
      <c r="C763" s="9" t="s">
        <v>106</v>
      </c>
      <c r="D763" s="9" t="s">
        <v>27</v>
      </c>
      <c r="E763" s="9" t="s">
        <v>28</v>
      </c>
      <c r="F763" s="10">
        <v>12999</v>
      </c>
      <c r="G763" s="11">
        <v>1</v>
      </c>
      <c r="H763" s="12">
        <v>0.08</v>
      </c>
      <c r="I763" s="13">
        <v>1039.92</v>
      </c>
      <c r="J763" s="13">
        <v>11959.08</v>
      </c>
      <c r="K763" s="13">
        <v>1890.41</v>
      </c>
      <c r="L763" s="8" t="s">
        <v>1651</v>
      </c>
      <c r="M763" s="19" t="s">
        <v>1652</v>
      </c>
      <c r="N763" s="9" t="s">
        <v>92</v>
      </c>
      <c r="O763" s="9" t="s">
        <v>23</v>
      </c>
      <c r="P763">
        <f>DATEVALUE(OnePlusSalesData[[#This Row],[order_date]])</f>
        <v>43728</v>
      </c>
      <c r="Q763" s="28">
        <f>DATEVALUE(OnePlusSalesData[[#This Row],[delivery_date]])</f>
        <v>43730</v>
      </c>
    </row>
    <row r="764" spans="1:17" ht="16" x14ac:dyDescent="0.45">
      <c r="A764" s="2" t="s">
        <v>1653</v>
      </c>
      <c r="B764" s="2" t="s">
        <v>16</v>
      </c>
      <c r="C764" s="3" t="s">
        <v>17</v>
      </c>
      <c r="D764" s="3" t="s">
        <v>40</v>
      </c>
      <c r="E764" s="3" t="s">
        <v>41</v>
      </c>
      <c r="F764" s="4">
        <v>37999</v>
      </c>
      <c r="G764" s="5">
        <v>1</v>
      </c>
      <c r="H764" s="6">
        <v>0.05</v>
      </c>
      <c r="I764" s="7">
        <v>1899.95</v>
      </c>
      <c r="J764" s="7">
        <v>36099.050000000003</v>
      </c>
      <c r="K764" s="7">
        <v>6235.58</v>
      </c>
      <c r="L764" s="2" t="s">
        <v>1654</v>
      </c>
      <c r="M764" s="18" t="s">
        <v>1655</v>
      </c>
      <c r="N764" s="3" t="s">
        <v>22</v>
      </c>
      <c r="O764" s="3" t="s">
        <v>63</v>
      </c>
      <c r="P764">
        <f>DATEVALUE(OnePlusSalesData[[#This Row],[order_date]])</f>
        <v>43534</v>
      </c>
      <c r="Q764" s="28">
        <f>DATEVALUE(OnePlusSalesData[[#This Row],[delivery_date]])</f>
        <v>43536</v>
      </c>
    </row>
    <row r="765" spans="1:17" ht="16" x14ac:dyDescent="0.45">
      <c r="A765" s="8" t="s">
        <v>1656</v>
      </c>
      <c r="B765" s="8" t="s">
        <v>16</v>
      </c>
      <c r="C765" s="9" t="s">
        <v>33</v>
      </c>
      <c r="D765" s="9" t="s">
        <v>18</v>
      </c>
      <c r="E765" s="9" t="s">
        <v>124</v>
      </c>
      <c r="F765" s="10">
        <v>3990</v>
      </c>
      <c r="G765" s="11">
        <v>1</v>
      </c>
      <c r="H765" s="12">
        <v>0.05</v>
      </c>
      <c r="I765" s="13">
        <v>199.5</v>
      </c>
      <c r="J765" s="13">
        <v>3790.5</v>
      </c>
      <c r="K765" s="13">
        <v>729.25</v>
      </c>
      <c r="L765" s="8" t="s">
        <v>298</v>
      </c>
      <c r="M765" s="19" t="s">
        <v>1657</v>
      </c>
      <c r="N765" s="9" t="s">
        <v>22</v>
      </c>
      <c r="O765" s="9" t="s">
        <v>23</v>
      </c>
      <c r="P765">
        <f>DATEVALUE(OnePlusSalesData[[#This Row],[order_date]])</f>
        <v>43723</v>
      </c>
      <c r="Q765" s="28">
        <f>DATEVALUE(OnePlusSalesData[[#This Row],[delivery_date]])</f>
        <v>43727</v>
      </c>
    </row>
    <row r="766" spans="1:17" ht="16" x14ac:dyDescent="0.45">
      <c r="A766" s="2" t="s">
        <v>1658</v>
      </c>
      <c r="B766" s="2" t="s">
        <v>58</v>
      </c>
      <c r="C766" s="3" t="s">
        <v>257</v>
      </c>
      <c r="D766" s="3" t="s">
        <v>40</v>
      </c>
      <c r="E766" s="3" t="s">
        <v>60</v>
      </c>
      <c r="F766" s="4">
        <v>54999</v>
      </c>
      <c r="G766" s="5">
        <v>1</v>
      </c>
      <c r="H766" s="6">
        <v>0.08</v>
      </c>
      <c r="I766" s="7">
        <v>4399.92</v>
      </c>
      <c r="J766" s="7">
        <v>50599.08</v>
      </c>
      <c r="K766" s="7">
        <v>7535.79</v>
      </c>
      <c r="L766" s="2" t="s">
        <v>596</v>
      </c>
      <c r="M766" s="18" t="s">
        <v>515</v>
      </c>
      <c r="N766" s="3" t="s">
        <v>22</v>
      </c>
      <c r="O766" s="3" t="s">
        <v>63</v>
      </c>
      <c r="P766">
        <f>DATEVALUE(OnePlusSalesData[[#This Row],[order_date]])</f>
        <v>43462</v>
      </c>
      <c r="Q766" s="28">
        <f>DATEVALUE(OnePlusSalesData[[#This Row],[delivery_date]])</f>
        <v>43468</v>
      </c>
    </row>
    <row r="767" spans="1:17" ht="16" x14ac:dyDescent="0.45">
      <c r="A767" s="8" t="s">
        <v>1659</v>
      </c>
      <c r="B767" s="8" t="s">
        <v>52</v>
      </c>
      <c r="C767" s="9" t="s">
        <v>192</v>
      </c>
      <c r="D767" s="9" t="s">
        <v>18</v>
      </c>
      <c r="E767" s="9" t="s">
        <v>102</v>
      </c>
      <c r="F767" s="10">
        <v>1490</v>
      </c>
      <c r="G767" s="11">
        <v>1</v>
      </c>
      <c r="H767" s="12">
        <v>0.05</v>
      </c>
      <c r="I767" s="13">
        <v>74.5</v>
      </c>
      <c r="J767" s="13">
        <v>1415.5</v>
      </c>
      <c r="K767" s="13">
        <v>267.27</v>
      </c>
      <c r="L767" s="8" t="s">
        <v>1660</v>
      </c>
      <c r="M767" s="19" t="s">
        <v>1661</v>
      </c>
      <c r="N767" s="9" t="s">
        <v>22</v>
      </c>
      <c r="O767" s="9" t="s">
        <v>23</v>
      </c>
      <c r="P767">
        <f>DATEVALUE(OnePlusSalesData[[#This Row],[order_date]])</f>
        <v>43881</v>
      </c>
      <c r="Q767" s="28">
        <f>DATEVALUE(OnePlusSalesData[[#This Row],[delivery_date]])</f>
        <v>43886</v>
      </c>
    </row>
    <row r="768" spans="1:17" ht="16" x14ac:dyDescent="0.45">
      <c r="A768" s="2" t="s">
        <v>1662</v>
      </c>
      <c r="B768" s="2" t="s">
        <v>16</v>
      </c>
      <c r="C768" s="3" t="s">
        <v>39</v>
      </c>
      <c r="D768" s="3" t="s">
        <v>18</v>
      </c>
      <c r="E768" s="3" t="s">
        <v>19</v>
      </c>
      <c r="F768" s="4">
        <v>1990</v>
      </c>
      <c r="G768" s="5">
        <v>1</v>
      </c>
      <c r="H768" s="6">
        <v>0.15</v>
      </c>
      <c r="I768" s="7">
        <v>298.5</v>
      </c>
      <c r="J768" s="7">
        <v>1691.5</v>
      </c>
      <c r="K768" s="7">
        <v>334.64</v>
      </c>
      <c r="L768" s="2" t="s">
        <v>666</v>
      </c>
      <c r="M768" s="18" t="s">
        <v>1095</v>
      </c>
      <c r="N768" s="3" t="s">
        <v>22</v>
      </c>
      <c r="O768" s="3" t="s">
        <v>31</v>
      </c>
      <c r="P768">
        <f>DATEVALUE(OnePlusSalesData[[#This Row],[order_date]])</f>
        <v>44152</v>
      </c>
      <c r="Q768" s="28">
        <f>DATEVALUE(OnePlusSalesData[[#This Row],[delivery_date]])</f>
        <v>44154</v>
      </c>
    </row>
    <row r="769" spans="1:17" ht="16" x14ac:dyDescent="0.45">
      <c r="A769" s="8" t="s">
        <v>1663</v>
      </c>
      <c r="B769" s="8" t="s">
        <v>16</v>
      </c>
      <c r="C769" s="9" t="s">
        <v>17</v>
      </c>
      <c r="D769" s="9" t="s">
        <v>18</v>
      </c>
      <c r="E769" s="9" t="s">
        <v>179</v>
      </c>
      <c r="F769" s="10">
        <v>1290</v>
      </c>
      <c r="G769" s="11">
        <v>2</v>
      </c>
      <c r="H769" s="12">
        <v>0.05</v>
      </c>
      <c r="I769" s="13">
        <v>129</v>
      </c>
      <c r="J769" s="13">
        <v>2451</v>
      </c>
      <c r="K769" s="13">
        <v>627.77</v>
      </c>
      <c r="L769" s="8" t="s">
        <v>885</v>
      </c>
      <c r="M769" s="19" t="s">
        <v>609</v>
      </c>
      <c r="N769" s="9" t="s">
        <v>44</v>
      </c>
      <c r="O769" s="9" t="s">
        <v>96</v>
      </c>
      <c r="P769">
        <f>DATEVALUE(OnePlusSalesData[[#This Row],[order_date]])</f>
        <v>43304</v>
      </c>
      <c r="Q769" s="28">
        <f>DATEVALUE(OnePlusSalesData[[#This Row],[delivery_date]])</f>
        <v>43310</v>
      </c>
    </row>
    <row r="770" spans="1:17" ht="16" x14ac:dyDescent="0.45">
      <c r="A770" s="2" t="s">
        <v>1664</v>
      </c>
      <c r="B770" s="2" t="s">
        <v>25</v>
      </c>
      <c r="C770" s="3" t="s">
        <v>172</v>
      </c>
      <c r="D770" s="3" t="s">
        <v>34</v>
      </c>
      <c r="E770" s="3" t="s">
        <v>77</v>
      </c>
      <c r="F770" s="4">
        <v>24999</v>
      </c>
      <c r="G770" s="5">
        <v>1</v>
      </c>
      <c r="H770" s="6">
        <v>0.1</v>
      </c>
      <c r="I770" s="7">
        <v>2499.9</v>
      </c>
      <c r="J770" s="7">
        <v>22499.1</v>
      </c>
      <c r="K770" s="7">
        <v>4272.8</v>
      </c>
      <c r="L770" s="2" t="s">
        <v>1665</v>
      </c>
      <c r="M770" s="18" t="s">
        <v>1666</v>
      </c>
      <c r="N770" s="3" t="s">
        <v>22</v>
      </c>
      <c r="O770" s="3" t="s">
        <v>23</v>
      </c>
      <c r="P770">
        <f>DATEVALUE(OnePlusSalesData[[#This Row],[order_date]])</f>
        <v>43649</v>
      </c>
      <c r="Q770" s="28">
        <f>DATEVALUE(OnePlusSalesData[[#This Row],[delivery_date]])</f>
        <v>43653</v>
      </c>
    </row>
    <row r="771" spans="1:17" ht="16" x14ac:dyDescent="0.45">
      <c r="A771" s="8" t="s">
        <v>1667</v>
      </c>
      <c r="B771" s="8" t="s">
        <v>16</v>
      </c>
      <c r="C771" s="9" t="s">
        <v>152</v>
      </c>
      <c r="D771" s="9" t="s">
        <v>40</v>
      </c>
      <c r="E771" s="9" t="s">
        <v>406</v>
      </c>
      <c r="F771" s="10">
        <v>48999</v>
      </c>
      <c r="G771" s="11">
        <v>1</v>
      </c>
      <c r="H771" s="12">
        <v>0</v>
      </c>
      <c r="I771" s="13">
        <v>0</v>
      </c>
      <c r="J771" s="13">
        <v>48999</v>
      </c>
      <c r="K771" s="13">
        <v>10981.72</v>
      </c>
      <c r="L771" s="8" t="s">
        <v>653</v>
      </c>
      <c r="M771" s="19" t="s">
        <v>130</v>
      </c>
      <c r="N771" s="9" t="s">
        <v>22</v>
      </c>
      <c r="O771" s="9" t="s">
        <v>31</v>
      </c>
      <c r="P771">
        <f>DATEVALUE(OnePlusSalesData[[#This Row],[order_date]])</f>
        <v>43547</v>
      </c>
      <c r="Q771" s="28">
        <f>DATEVALUE(OnePlusSalesData[[#This Row],[delivery_date]])</f>
        <v>43553</v>
      </c>
    </row>
    <row r="772" spans="1:17" ht="16" x14ac:dyDescent="0.45">
      <c r="A772" s="2" t="s">
        <v>1668</v>
      </c>
      <c r="B772" s="2" t="s">
        <v>58</v>
      </c>
      <c r="C772" s="3" t="s">
        <v>113</v>
      </c>
      <c r="D772" s="3" t="s">
        <v>40</v>
      </c>
      <c r="E772" s="3" t="s">
        <v>98</v>
      </c>
      <c r="F772" s="4">
        <v>34999</v>
      </c>
      <c r="G772" s="5">
        <v>1</v>
      </c>
      <c r="H772" s="6">
        <v>0.05</v>
      </c>
      <c r="I772" s="7">
        <v>1749.95</v>
      </c>
      <c r="J772" s="7">
        <v>33249.050000000003</v>
      </c>
      <c r="K772" s="7">
        <v>5949.61</v>
      </c>
      <c r="L772" s="2" t="s">
        <v>811</v>
      </c>
      <c r="M772" s="18" t="s">
        <v>1669</v>
      </c>
      <c r="N772" s="3" t="s">
        <v>22</v>
      </c>
      <c r="O772" s="3" t="s">
        <v>31</v>
      </c>
      <c r="P772">
        <f>DATEVALUE(OnePlusSalesData[[#This Row],[order_date]])</f>
        <v>43975</v>
      </c>
      <c r="Q772" s="28">
        <f>DATEVALUE(OnePlusSalesData[[#This Row],[delivery_date]])</f>
        <v>43978</v>
      </c>
    </row>
    <row r="773" spans="1:17" ht="16" x14ac:dyDescent="0.45">
      <c r="A773" s="8" t="s">
        <v>1670</v>
      </c>
      <c r="B773" s="8" t="s">
        <v>52</v>
      </c>
      <c r="C773" s="9" t="s">
        <v>53</v>
      </c>
      <c r="D773" s="9" t="s">
        <v>85</v>
      </c>
      <c r="E773" s="9" t="s">
        <v>228</v>
      </c>
      <c r="F773" s="10">
        <v>5990</v>
      </c>
      <c r="G773" s="11">
        <v>3</v>
      </c>
      <c r="H773" s="12">
        <v>0.08</v>
      </c>
      <c r="I773" s="13">
        <v>1437.6</v>
      </c>
      <c r="J773" s="13">
        <v>16532.400000000001</v>
      </c>
      <c r="K773" s="13">
        <v>3641.86</v>
      </c>
      <c r="L773" s="8" t="s">
        <v>218</v>
      </c>
      <c r="M773" s="19" t="s">
        <v>1671</v>
      </c>
      <c r="N773" s="9" t="s">
        <v>92</v>
      </c>
      <c r="O773" s="9" t="s">
        <v>31</v>
      </c>
      <c r="P773">
        <f>DATEVALUE(OnePlusSalesData[[#This Row],[order_date]])</f>
        <v>43798</v>
      </c>
      <c r="Q773" s="28">
        <f>DATEVALUE(OnePlusSalesData[[#This Row],[delivery_date]])</f>
        <v>43802</v>
      </c>
    </row>
    <row r="774" spans="1:17" ht="16" x14ac:dyDescent="0.45">
      <c r="A774" s="2" t="s">
        <v>1672</v>
      </c>
      <c r="B774" s="2" t="s">
        <v>16</v>
      </c>
      <c r="C774" s="3" t="s">
        <v>140</v>
      </c>
      <c r="D774" s="3" t="s">
        <v>40</v>
      </c>
      <c r="E774" s="3" t="s">
        <v>73</v>
      </c>
      <c r="F774" s="4">
        <v>32999</v>
      </c>
      <c r="G774" s="5">
        <v>2</v>
      </c>
      <c r="H774" s="6">
        <v>0.1</v>
      </c>
      <c r="I774" s="7">
        <v>6599.8</v>
      </c>
      <c r="J774" s="7">
        <v>59398.2</v>
      </c>
      <c r="K774" s="7">
        <v>11919.96</v>
      </c>
      <c r="L774" s="2" t="s">
        <v>1673</v>
      </c>
      <c r="M774" s="18" t="s">
        <v>319</v>
      </c>
      <c r="N774" s="3" t="s">
        <v>22</v>
      </c>
      <c r="O774" s="3" t="s">
        <v>63</v>
      </c>
      <c r="P774">
        <f>DATEVALUE(OnePlusSalesData[[#This Row],[order_date]])</f>
        <v>44081</v>
      </c>
      <c r="Q774" s="28">
        <f>DATEVALUE(OnePlusSalesData[[#This Row],[delivery_date]])</f>
        <v>44083</v>
      </c>
    </row>
    <row r="775" spans="1:17" ht="16" x14ac:dyDescent="0.45">
      <c r="A775" s="8" t="s">
        <v>1674</v>
      </c>
      <c r="B775" s="8" t="s">
        <v>25</v>
      </c>
      <c r="C775" s="9" t="s">
        <v>65</v>
      </c>
      <c r="D775" s="9" t="s">
        <v>40</v>
      </c>
      <c r="E775" s="9" t="s">
        <v>47</v>
      </c>
      <c r="F775" s="10">
        <v>37999</v>
      </c>
      <c r="G775" s="11">
        <v>1</v>
      </c>
      <c r="H775" s="12">
        <v>0.1</v>
      </c>
      <c r="I775" s="13">
        <v>3799.9</v>
      </c>
      <c r="J775" s="13">
        <v>34199.1</v>
      </c>
      <c r="K775" s="13">
        <v>6915.02</v>
      </c>
      <c r="L775" s="8" t="s">
        <v>1164</v>
      </c>
      <c r="M775" s="19" t="s">
        <v>603</v>
      </c>
      <c r="N775" s="9" t="s">
        <v>22</v>
      </c>
      <c r="O775" s="9" t="s">
        <v>63</v>
      </c>
      <c r="P775">
        <f>DATEVALUE(OnePlusSalesData[[#This Row],[order_date]])</f>
        <v>43883</v>
      </c>
      <c r="Q775" s="28">
        <f>DATEVALUE(OnePlusSalesData[[#This Row],[delivery_date]])</f>
        <v>43890</v>
      </c>
    </row>
    <row r="776" spans="1:17" ht="16" x14ac:dyDescent="0.45">
      <c r="A776" s="2" t="s">
        <v>1675</v>
      </c>
      <c r="B776" s="2" t="s">
        <v>52</v>
      </c>
      <c r="C776" s="3" t="s">
        <v>53</v>
      </c>
      <c r="D776" s="3" t="s">
        <v>18</v>
      </c>
      <c r="E776" s="3" t="s">
        <v>179</v>
      </c>
      <c r="F776" s="4">
        <v>1290</v>
      </c>
      <c r="G776" s="5">
        <v>2</v>
      </c>
      <c r="H776" s="6">
        <v>0.08</v>
      </c>
      <c r="I776" s="7">
        <v>206.4</v>
      </c>
      <c r="J776" s="7">
        <v>2373.6</v>
      </c>
      <c r="K776" s="7">
        <v>534.85</v>
      </c>
      <c r="L776" s="2" t="s">
        <v>240</v>
      </c>
      <c r="M776" s="18" t="s">
        <v>243</v>
      </c>
      <c r="N776" s="3" t="s">
        <v>22</v>
      </c>
      <c r="O776" s="3" t="s">
        <v>31</v>
      </c>
      <c r="P776">
        <f>DATEVALUE(OnePlusSalesData[[#This Row],[order_date]])</f>
        <v>43960</v>
      </c>
      <c r="Q776" s="28">
        <f>DATEVALUE(OnePlusSalesData[[#This Row],[delivery_date]])</f>
        <v>43963</v>
      </c>
    </row>
    <row r="777" spans="1:17" ht="16" x14ac:dyDescent="0.45">
      <c r="A777" s="8" t="s">
        <v>1676</v>
      </c>
      <c r="B777" s="8" t="s">
        <v>58</v>
      </c>
      <c r="C777" s="9" t="s">
        <v>221</v>
      </c>
      <c r="D777" s="9" t="s">
        <v>27</v>
      </c>
      <c r="E777" s="9" t="s">
        <v>28</v>
      </c>
      <c r="F777" s="10">
        <v>12999</v>
      </c>
      <c r="G777" s="11">
        <v>2</v>
      </c>
      <c r="H777" s="12">
        <v>0</v>
      </c>
      <c r="I777" s="13">
        <v>0</v>
      </c>
      <c r="J777" s="13">
        <v>25998</v>
      </c>
      <c r="K777" s="13">
        <v>5124.8999999999996</v>
      </c>
      <c r="L777" s="8" t="s">
        <v>291</v>
      </c>
      <c r="M777" s="19" t="s">
        <v>1224</v>
      </c>
      <c r="N777" s="9" t="s">
        <v>22</v>
      </c>
      <c r="O777" s="9" t="s">
        <v>31</v>
      </c>
      <c r="P777">
        <f>DATEVALUE(OnePlusSalesData[[#This Row],[order_date]])</f>
        <v>43476</v>
      </c>
      <c r="Q777" s="28">
        <f>DATEVALUE(OnePlusSalesData[[#This Row],[delivery_date]])</f>
        <v>43479</v>
      </c>
    </row>
    <row r="778" spans="1:17" ht="16" x14ac:dyDescent="0.45">
      <c r="A778" s="2" t="s">
        <v>1677</v>
      </c>
      <c r="B778" s="2" t="s">
        <v>25</v>
      </c>
      <c r="C778" s="3" t="s">
        <v>120</v>
      </c>
      <c r="D778" s="3" t="s">
        <v>85</v>
      </c>
      <c r="E778" s="3" t="s">
        <v>265</v>
      </c>
      <c r="F778" s="4">
        <v>4990</v>
      </c>
      <c r="G778" s="5">
        <v>2</v>
      </c>
      <c r="H778" s="6">
        <v>0.1</v>
      </c>
      <c r="I778" s="7">
        <v>998</v>
      </c>
      <c r="J778" s="7">
        <v>8982</v>
      </c>
      <c r="K778" s="7">
        <v>1503.34</v>
      </c>
      <c r="L778" s="2" t="s">
        <v>1678</v>
      </c>
      <c r="M778" s="18" t="s">
        <v>383</v>
      </c>
      <c r="N778" s="3" t="s">
        <v>22</v>
      </c>
      <c r="O778" s="3" t="s">
        <v>31</v>
      </c>
      <c r="P778">
        <f>DATEVALUE(OnePlusSalesData[[#This Row],[order_date]])</f>
        <v>44091</v>
      </c>
      <c r="Q778" s="28">
        <f>DATEVALUE(OnePlusSalesData[[#This Row],[delivery_date]])</f>
        <v>44095</v>
      </c>
    </row>
    <row r="779" spans="1:17" ht="16" x14ac:dyDescent="0.45">
      <c r="A779" s="8" t="s">
        <v>1679</v>
      </c>
      <c r="B779" s="8" t="s">
        <v>16</v>
      </c>
      <c r="C779" s="9" t="s">
        <v>140</v>
      </c>
      <c r="D779" s="9" t="s">
        <v>40</v>
      </c>
      <c r="E779" s="9" t="s">
        <v>60</v>
      </c>
      <c r="F779" s="10">
        <v>54999</v>
      </c>
      <c r="G779" s="11">
        <v>1</v>
      </c>
      <c r="H779" s="12">
        <v>0.05</v>
      </c>
      <c r="I779" s="13">
        <v>2749.95</v>
      </c>
      <c r="J779" s="13">
        <v>52249.05</v>
      </c>
      <c r="K779" s="13">
        <v>10480.74</v>
      </c>
      <c r="L779" s="8" t="s">
        <v>422</v>
      </c>
      <c r="M779" s="19" t="s">
        <v>811</v>
      </c>
      <c r="N779" s="9" t="s">
        <v>22</v>
      </c>
      <c r="O779" s="9" t="s">
        <v>23</v>
      </c>
      <c r="P779">
        <f>DATEVALUE(OnePlusSalesData[[#This Row],[order_date]])</f>
        <v>43971</v>
      </c>
      <c r="Q779" s="28">
        <f>DATEVALUE(OnePlusSalesData[[#This Row],[delivery_date]])</f>
        <v>43975</v>
      </c>
    </row>
    <row r="780" spans="1:17" ht="16" x14ac:dyDescent="0.45">
      <c r="A780" s="2" t="s">
        <v>1680</v>
      </c>
      <c r="B780" s="2" t="s">
        <v>52</v>
      </c>
      <c r="C780" s="3" t="s">
        <v>53</v>
      </c>
      <c r="D780" s="3" t="s">
        <v>27</v>
      </c>
      <c r="E780" s="3" t="s">
        <v>176</v>
      </c>
      <c r="F780" s="4">
        <v>69900</v>
      </c>
      <c r="G780" s="5">
        <v>1</v>
      </c>
      <c r="H780" s="6">
        <v>0</v>
      </c>
      <c r="I780" s="7">
        <v>0</v>
      </c>
      <c r="J780" s="7">
        <v>69900</v>
      </c>
      <c r="K780" s="7">
        <v>14134.34</v>
      </c>
      <c r="L780" s="2" t="s">
        <v>1072</v>
      </c>
      <c r="M780" s="18" t="s">
        <v>1487</v>
      </c>
      <c r="N780" s="3" t="s">
        <v>22</v>
      </c>
      <c r="O780" s="3" t="s">
        <v>31</v>
      </c>
      <c r="P780">
        <f>DATEVALUE(OnePlusSalesData[[#This Row],[order_date]])</f>
        <v>43898</v>
      </c>
      <c r="Q780" s="28">
        <f>DATEVALUE(OnePlusSalesData[[#This Row],[delivery_date]])</f>
        <v>43904</v>
      </c>
    </row>
    <row r="781" spans="1:17" ht="16" x14ac:dyDescent="0.45">
      <c r="A781" s="8" t="s">
        <v>1681</v>
      </c>
      <c r="B781" s="8" t="s">
        <v>16</v>
      </c>
      <c r="C781" s="9" t="s">
        <v>140</v>
      </c>
      <c r="D781" s="9" t="s">
        <v>40</v>
      </c>
      <c r="E781" s="9" t="s">
        <v>148</v>
      </c>
      <c r="F781" s="10">
        <v>41999</v>
      </c>
      <c r="G781" s="11">
        <v>1</v>
      </c>
      <c r="H781" s="12">
        <v>0</v>
      </c>
      <c r="I781" s="13">
        <v>0</v>
      </c>
      <c r="J781" s="13">
        <v>41999</v>
      </c>
      <c r="K781" s="13">
        <v>7226.57</v>
      </c>
      <c r="L781" s="8" t="s">
        <v>791</v>
      </c>
      <c r="M781" s="19" t="s">
        <v>1682</v>
      </c>
      <c r="N781" s="9" t="s">
        <v>22</v>
      </c>
      <c r="O781" s="9" t="s">
        <v>63</v>
      </c>
      <c r="P781">
        <f>DATEVALUE(OnePlusSalesData[[#This Row],[order_date]])</f>
        <v>43396</v>
      </c>
      <c r="Q781" s="28">
        <f>DATEVALUE(OnePlusSalesData[[#This Row],[delivery_date]])</f>
        <v>43403</v>
      </c>
    </row>
    <row r="782" spans="1:17" ht="16" x14ac:dyDescent="0.45">
      <c r="A782" s="2" t="s">
        <v>1683</v>
      </c>
      <c r="B782" s="2" t="s">
        <v>16</v>
      </c>
      <c r="C782" s="3" t="s">
        <v>33</v>
      </c>
      <c r="D782" s="3" t="s">
        <v>18</v>
      </c>
      <c r="E782" s="3" t="s">
        <v>102</v>
      </c>
      <c r="F782" s="4">
        <v>1490</v>
      </c>
      <c r="G782" s="5">
        <v>4</v>
      </c>
      <c r="H782" s="6">
        <v>0.12</v>
      </c>
      <c r="I782" s="7">
        <v>715.2</v>
      </c>
      <c r="J782" s="7">
        <v>5244.8</v>
      </c>
      <c r="K782" s="7">
        <v>1329.71</v>
      </c>
      <c r="L782" s="2" t="s">
        <v>1684</v>
      </c>
      <c r="M782" s="18" t="s">
        <v>566</v>
      </c>
      <c r="N782" s="3" t="s">
        <v>22</v>
      </c>
      <c r="O782" s="3" t="s">
        <v>96</v>
      </c>
      <c r="P782">
        <f>DATEVALUE(OnePlusSalesData[[#This Row],[order_date]])</f>
        <v>44137</v>
      </c>
      <c r="Q782" s="28">
        <f>DATEVALUE(OnePlusSalesData[[#This Row],[delivery_date]])</f>
        <v>44141</v>
      </c>
    </row>
    <row r="783" spans="1:17" ht="16" x14ac:dyDescent="0.45">
      <c r="A783" s="8" t="s">
        <v>1685</v>
      </c>
      <c r="B783" s="8" t="s">
        <v>25</v>
      </c>
      <c r="C783" s="9" t="s">
        <v>65</v>
      </c>
      <c r="D783" s="9" t="s">
        <v>34</v>
      </c>
      <c r="E783" s="9" t="s">
        <v>77</v>
      </c>
      <c r="F783" s="10">
        <v>24999</v>
      </c>
      <c r="G783" s="11">
        <v>1</v>
      </c>
      <c r="H783" s="12">
        <v>0.08</v>
      </c>
      <c r="I783" s="13">
        <v>1999.92</v>
      </c>
      <c r="J783" s="13">
        <v>22999.08</v>
      </c>
      <c r="K783" s="13">
        <v>4166.99</v>
      </c>
      <c r="L783" s="8" t="s">
        <v>1686</v>
      </c>
      <c r="M783" s="19" t="s">
        <v>609</v>
      </c>
      <c r="N783" s="9" t="s">
        <v>22</v>
      </c>
      <c r="O783" s="9" t="s">
        <v>23</v>
      </c>
      <c r="P783">
        <f>DATEVALUE(OnePlusSalesData[[#This Row],[order_date]])</f>
        <v>43308</v>
      </c>
      <c r="Q783" s="28">
        <f>DATEVALUE(OnePlusSalesData[[#This Row],[delivery_date]])</f>
        <v>43310</v>
      </c>
    </row>
    <row r="784" spans="1:17" ht="16" x14ac:dyDescent="0.45">
      <c r="A784" s="2" t="s">
        <v>1687</v>
      </c>
      <c r="B784" s="2" t="s">
        <v>16</v>
      </c>
      <c r="C784" s="3" t="s">
        <v>152</v>
      </c>
      <c r="D784" s="3" t="s">
        <v>40</v>
      </c>
      <c r="E784" s="3" t="s">
        <v>73</v>
      </c>
      <c r="F784" s="4">
        <v>32999</v>
      </c>
      <c r="G784" s="5">
        <v>2</v>
      </c>
      <c r="H784" s="6">
        <v>0</v>
      </c>
      <c r="I784" s="7">
        <v>0</v>
      </c>
      <c r="J784" s="7">
        <v>65998</v>
      </c>
      <c r="K784" s="7">
        <v>15208.69</v>
      </c>
      <c r="L784" s="2" t="s">
        <v>1550</v>
      </c>
      <c r="M784" s="18" t="s">
        <v>1688</v>
      </c>
      <c r="N784" s="3" t="s">
        <v>50</v>
      </c>
      <c r="O784" s="3" t="s">
        <v>23</v>
      </c>
      <c r="P784">
        <f>DATEVALUE(OnePlusSalesData[[#This Row],[order_date]])</f>
        <v>44126</v>
      </c>
      <c r="Q784" s="28">
        <f>DATEVALUE(OnePlusSalesData[[#This Row],[delivery_date]])</f>
        <v>44133</v>
      </c>
    </row>
    <row r="785" spans="1:17" ht="16" x14ac:dyDescent="0.45">
      <c r="A785" s="8" t="s">
        <v>1689</v>
      </c>
      <c r="B785" s="8" t="s">
        <v>16</v>
      </c>
      <c r="C785" s="9" t="s">
        <v>39</v>
      </c>
      <c r="D785" s="9" t="s">
        <v>40</v>
      </c>
      <c r="E785" s="9" t="s">
        <v>41</v>
      </c>
      <c r="F785" s="10">
        <v>37999</v>
      </c>
      <c r="G785" s="11">
        <v>1</v>
      </c>
      <c r="H785" s="12">
        <v>0.08</v>
      </c>
      <c r="I785" s="13">
        <v>3039.92</v>
      </c>
      <c r="J785" s="13">
        <v>34959.08</v>
      </c>
      <c r="K785" s="13">
        <v>8513.67</v>
      </c>
      <c r="L785" s="8" t="s">
        <v>998</v>
      </c>
      <c r="M785" s="19" t="s">
        <v>205</v>
      </c>
      <c r="N785" s="9" t="s">
        <v>50</v>
      </c>
      <c r="O785" s="9" t="s">
        <v>96</v>
      </c>
      <c r="P785">
        <f>DATEVALUE(OnePlusSalesData[[#This Row],[order_date]])</f>
        <v>44189</v>
      </c>
      <c r="Q785" s="28">
        <f>DATEVALUE(OnePlusSalesData[[#This Row],[delivery_date]])</f>
        <v>44194</v>
      </c>
    </row>
    <row r="786" spans="1:17" ht="16" x14ac:dyDescent="0.45">
      <c r="A786" s="2" t="s">
        <v>1690</v>
      </c>
      <c r="B786" s="2" t="s">
        <v>25</v>
      </c>
      <c r="C786" s="3" t="s">
        <v>26</v>
      </c>
      <c r="D786" s="3" t="s">
        <v>34</v>
      </c>
      <c r="E786" s="3" t="s">
        <v>35</v>
      </c>
      <c r="F786" s="4">
        <v>19999</v>
      </c>
      <c r="G786" s="5">
        <v>1</v>
      </c>
      <c r="H786" s="6">
        <v>0.05</v>
      </c>
      <c r="I786" s="7">
        <v>999.95</v>
      </c>
      <c r="J786" s="7">
        <v>18999.05</v>
      </c>
      <c r="K786" s="7">
        <v>4899.0200000000004</v>
      </c>
      <c r="L786" s="2" t="s">
        <v>99</v>
      </c>
      <c r="M786" s="18" t="s">
        <v>193</v>
      </c>
      <c r="N786" s="3" t="s">
        <v>22</v>
      </c>
      <c r="O786" s="3" t="s">
        <v>23</v>
      </c>
      <c r="P786">
        <f>DATEVALUE(OnePlusSalesData[[#This Row],[order_date]])</f>
        <v>43830</v>
      </c>
      <c r="Q786" s="28">
        <f>DATEVALUE(OnePlusSalesData[[#This Row],[delivery_date]])</f>
        <v>43836</v>
      </c>
    </row>
    <row r="787" spans="1:17" ht="16" x14ac:dyDescent="0.45">
      <c r="A787" s="8" t="s">
        <v>1691</v>
      </c>
      <c r="B787" s="8" t="s">
        <v>25</v>
      </c>
      <c r="C787" s="9" t="s">
        <v>65</v>
      </c>
      <c r="D787" s="9" t="s">
        <v>40</v>
      </c>
      <c r="E787" s="9" t="s">
        <v>41</v>
      </c>
      <c r="F787" s="10">
        <v>37999</v>
      </c>
      <c r="G787" s="11">
        <v>1</v>
      </c>
      <c r="H787" s="12">
        <v>0.05</v>
      </c>
      <c r="I787" s="13">
        <v>1899.95</v>
      </c>
      <c r="J787" s="13">
        <v>36099.050000000003</v>
      </c>
      <c r="K787" s="13">
        <v>7154.22</v>
      </c>
      <c r="L787" s="8" t="s">
        <v>781</v>
      </c>
      <c r="M787" s="19" t="s">
        <v>1372</v>
      </c>
      <c r="N787" s="9" t="s">
        <v>44</v>
      </c>
      <c r="O787" s="9" t="s">
        <v>63</v>
      </c>
      <c r="P787">
        <f>DATEVALUE(OnePlusSalesData[[#This Row],[order_date]])</f>
        <v>43425</v>
      </c>
      <c r="Q787" s="28">
        <f>DATEVALUE(OnePlusSalesData[[#This Row],[delivery_date]])</f>
        <v>43428</v>
      </c>
    </row>
    <row r="788" spans="1:17" ht="16" x14ac:dyDescent="0.45">
      <c r="A788" s="2" t="s">
        <v>1692</v>
      </c>
      <c r="B788" s="2" t="s">
        <v>25</v>
      </c>
      <c r="C788" s="3" t="s">
        <v>172</v>
      </c>
      <c r="D788" s="3" t="s">
        <v>18</v>
      </c>
      <c r="E788" s="3" t="s">
        <v>179</v>
      </c>
      <c r="F788" s="4">
        <v>1290</v>
      </c>
      <c r="G788" s="5">
        <v>2</v>
      </c>
      <c r="H788" s="6">
        <v>0.05</v>
      </c>
      <c r="I788" s="7">
        <v>129</v>
      </c>
      <c r="J788" s="7">
        <v>2451</v>
      </c>
      <c r="K788" s="7">
        <v>567.73</v>
      </c>
      <c r="L788" s="2" t="s">
        <v>793</v>
      </c>
      <c r="M788" s="18" t="s">
        <v>425</v>
      </c>
      <c r="N788" s="3" t="s">
        <v>22</v>
      </c>
      <c r="O788" s="3" t="s">
        <v>23</v>
      </c>
      <c r="P788">
        <f>DATEVALUE(OnePlusSalesData[[#This Row],[order_date]])</f>
        <v>43677</v>
      </c>
      <c r="Q788" s="28">
        <f>DATEVALUE(OnePlusSalesData[[#This Row],[delivery_date]])</f>
        <v>43679</v>
      </c>
    </row>
    <row r="789" spans="1:17" ht="16" x14ac:dyDescent="0.45">
      <c r="A789" s="8" t="s">
        <v>1693</v>
      </c>
      <c r="B789" s="8" t="s">
        <v>25</v>
      </c>
      <c r="C789" s="9" t="s">
        <v>133</v>
      </c>
      <c r="D789" s="9" t="s">
        <v>40</v>
      </c>
      <c r="E789" s="9" t="s">
        <v>41</v>
      </c>
      <c r="F789" s="10">
        <v>37999</v>
      </c>
      <c r="G789" s="11">
        <v>1</v>
      </c>
      <c r="H789" s="12">
        <v>0.05</v>
      </c>
      <c r="I789" s="13">
        <v>1899.95</v>
      </c>
      <c r="J789" s="13">
        <v>36099.050000000003</v>
      </c>
      <c r="K789" s="13">
        <v>7414.23</v>
      </c>
      <c r="L789" s="8" t="s">
        <v>1694</v>
      </c>
      <c r="M789" s="19" t="s">
        <v>941</v>
      </c>
      <c r="N789" s="9" t="s">
        <v>22</v>
      </c>
      <c r="O789" s="9" t="s">
        <v>96</v>
      </c>
      <c r="P789">
        <f>DATEVALUE(OnePlusSalesData[[#This Row],[order_date]])</f>
        <v>43533</v>
      </c>
      <c r="Q789" s="28">
        <f>DATEVALUE(OnePlusSalesData[[#This Row],[delivery_date]])</f>
        <v>43535</v>
      </c>
    </row>
    <row r="790" spans="1:17" ht="16" x14ac:dyDescent="0.45">
      <c r="A790" s="2" t="s">
        <v>1695</v>
      </c>
      <c r="B790" s="2" t="s">
        <v>16</v>
      </c>
      <c r="C790" s="3" t="s">
        <v>33</v>
      </c>
      <c r="D790" s="3" t="s">
        <v>40</v>
      </c>
      <c r="E790" s="3" t="s">
        <v>98</v>
      </c>
      <c r="F790" s="4">
        <v>34999</v>
      </c>
      <c r="G790" s="5">
        <v>1</v>
      </c>
      <c r="H790" s="6">
        <v>0.15</v>
      </c>
      <c r="I790" s="7">
        <v>5249.85</v>
      </c>
      <c r="J790" s="7">
        <v>29749.15</v>
      </c>
      <c r="K790" s="7">
        <v>4730.78</v>
      </c>
      <c r="L790" s="2" t="s">
        <v>1580</v>
      </c>
      <c r="M790" s="18" t="s">
        <v>1353</v>
      </c>
      <c r="N790" s="3" t="s">
        <v>22</v>
      </c>
      <c r="O790" s="3" t="s">
        <v>63</v>
      </c>
      <c r="P790">
        <f>DATEVALUE(OnePlusSalesData[[#This Row],[order_date]])</f>
        <v>43416</v>
      </c>
      <c r="Q790" s="28">
        <f>DATEVALUE(OnePlusSalesData[[#This Row],[delivery_date]])</f>
        <v>43420</v>
      </c>
    </row>
    <row r="791" spans="1:17" ht="16" x14ac:dyDescent="0.45">
      <c r="A791" s="8" t="s">
        <v>1696</v>
      </c>
      <c r="B791" s="8" t="s">
        <v>25</v>
      </c>
      <c r="C791" s="9" t="s">
        <v>120</v>
      </c>
      <c r="D791" s="9" t="s">
        <v>85</v>
      </c>
      <c r="E791" s="9" t="s">
        <v>258</v>
      </c>
      <c r="F791" s="10">
        <v>2999</v>
      </c>
      <c r="G791" s="11">
        <v>1</v>
      </c>
      <c r="H791" s="12">
        <v>0.1</v>
      </c>
      <c r="I791" s="13">
        <v>299.89999999999998</v>
      </c>
      <c r="J791" s="13">
        <v>2699.1</v>
      </c>
      <c r="K791" s="13">
        <v>391.02</v>
      </c>
      <c r="L791" s="8" t="s">
        <v>1697</v>
      </c>
      <c r="M791" s="19" t="s">
        <v>739</v>
      </c>
      <c r="N791" s="9" t="s">
        <v>50</v>
      </c>
      <c r="O791" s="9" t="s">
        <v>23</v>
      </c>
      <c r="P791">
        <f>DATEVALUE(OnePlusSalesData[[#This Row],[order_date]])</f>
        <v>44016</v>
      </c>
      <c r="Q791" s="28">
        <f>DATEVALUE(OnePlusSalesData[[#This Row],[delivery_date]])</f>
        <v>44019</v>
      </c>
    </row>
    <row r="792" spans="1:17" ht="16" x14ac:dyDescent="0.45">
      <c r="A792" s="2" t="s">
        <v>1698</v>
      </c>
      <c r="B792" s="2" t="s">
        <v>52</v>
      </c>
      <c r="C792" s="3" t="s">
        <v>53</v>
      </c>
      <c r="D792" s="3" t="s">
        <v>40</v>
      </c>
      <c r="E792" s="3" t="s">
        <v>41</v>
      </c>
      <c r="F792" s="4">
        <v>37999</v>
      </c>
      <c r="G792" s="5">
        <v>4</v>
      </c>
      <c r="H792" s="6">
        <v>0.05</v>
      </c>
      <c r="I792" s="7">
        <v>7599.8</v>
      </c>
      <c r="J792" s="7">
        <v>144396.20000000001</v>
      </c>
      <c r="K792" s="7">
        <v>25470.58</v>
      </c>
      <c r="L792" s="2" t="s">
        <v>1203</v>
      </c>
      <c r="M792" s="18" t="s">
        <v>1033</v>
      </c>
      <c r="N792" s="3" t="s">
        <v>22</v>
      </c>
      <c r="O792" s="3" t="s">
        <v>96</v>
      </c>
      <c r="P792">
        <f>DATEVALUE(OnePlusSalesData[[#This Row],[order_date]])</f>
        <v>43347</v>
      </c>
      <c r="Q792" s="28">
        <f>DATEVALUE(OnePlusSalesData[[#This Row],[delivery_date]])</f>
        <v>43352</v>
      </c>
    </row>
    <row r="793" spans="1:17" ht="16" x14ac:dyDescent="0.45">
      <c r="A793" s="8" t="s">
        <v>1699</v>
      </c>
      <c r="B793" s="8" t="s">
        <v>25</v>
      </c>
      <c r="C793" s="9" t="s">
        <v>172</v>
      </c>
      <c r="D793" s="9" t="s">
        <v>40</v>
      </c>
      <c r="E793" s="9" t="s">
        <v>98</v>
      </c>
      <c r="F793" s="10">
        <v>34999</v>
      </c>
      <c r="G793" s="11">
        <v>1</v>
      </c>
      <c r="H793" s="12">
        <v>0.1</v>
      </c>
      <c r="I793" s="13">
        <v>3499.9</v>
      </c>
      <c r="J793" s="13">
        <v>31499.1</v>
      </c>
      <c r="K793" s="13">
        <v>5288.96</v>
      </c>
      <c r="L793" s="8" t="s">
        <v>668</v>
      </c>
      <c r="M793" s="19" t="s">
        <v>1020</v>
      </c>
      <c r="N793" s="9" t="s">
        <v>92</v>
      </c>
      <c r="O793" s="9" t="s">
        <v>23</v>
      </c>
      <c r="P793">
        <f>DATEVALUE(OnePlusSalesData[[#This Row],[order_date]])</f>
        <v>43701</v>
      </c>
      <c r="Q793" s="28">
        <f>DATEVALUE(OnePlusSalesData[[#This Row],[delivery_date]])</f>
        <v>43706</v>
      </c>
    </row>
    <row r="794" spans="1:17" ht="16" x14ac:dyDescent="0.45">
      <c r="A794" s="2" t="s">
        <v>1700</v>
      </c>
      <c r="B794" s="2" t="s">
        <v>25</v>
      </c>
      <c r="C794" s="3" t="s">
        <v>172</v>
      </c>
      <c r="D794" s="3" t="s">
        <v>85</v>
      </c>
      <c r="E794" s="3" t="s">
        <v>86</v>
      </c>
      <c r="F794" s="4">
        <v>1999</v>
      </c>
      <c r="G794" s="5">
        <v>1</v>
      </c>
      <c r="H794" s="6">
        <v>0</v>
      </c>
      <c r="I794" s="7">
        <v>0</v>
      </c>
      <c r="J794" s="7">
        <v>1999</v>
      </c>
      <c r="K794" s="7">
        <v>486.55</v>
      </c>
      <c r="L794" s="2" t="s">
        <v>546</v>
      </c>
      <c r="M794" s="18" t="s">
        <v>1701</v>
      </c>
      <c r="N794" s="3" t="s">
        <v>22</v>
      </c>
      <c r="O794" s="3" t="s">
        <v>31</v>
      </c>
      <c r="P794">
        <f>DATEVALUE(OnePlusSalesData[[#This Row],[order_date]])</f>
        <v>43337</v>
      </c>
      <c r="Q794" s="28">
        <f>DATEVALUE(OnePlusSalesData[[#This Row],[delivery_date]])</f>
        <v>43341</v>
      </c>
    </row>
    <row r="795" spans="1:17" ht="16" x14ac:dyDescent="0.45">
      <c r="A795" s="8" t="s">
        <v>1702</v>
      </c>
      <c r="B795" s="8" t="s">
        <v>25</v>
      </c>
      <c r="C795" s="9" t="s">
        <v>120</v>
      </c>
      <c r="D795" s="9" t="s">
        <v>27</v>
      </c>
      <c r="E795" s="9" t="s">
        <v>159</v>
      </c>
      <c r="F795" s="10">
        <v>22999</v>
      </c>
      <c r="G795" s="11">
        <v>2</v>
      </c>
      <c r="H795" s="12">
        <v>0.05</v>
      </c>
      <c r="I795" s="13">
        <v>2299.9</v>
      </c>
      <c r="J795" s="13">
        <v>43698.1</v>
      </c>
      <c r="K795" s="13">
        <v>11068.07</v>
      </c>
      <c r="L795" s="8" t="s">
        <v>1597</v>
      </c>
      <c r="M795" s="19" t="s">
        <v>1703</v>
      </c>
      <c r="N795" s="9" t="s">
        <v>22</v>
      </c>
      <c r="O795" s="9" t="s">
        <v>23</v>
      </c>
      <c r="P795">
        <f>DATEVALUE(OnePlusSalesData[[#This Row],[order_date]])</f>
        <v>43483</v>
      </c>
      <c r="Q795" s="28">
        <f>DATEVALUE(OnePlusSalesData[[#This Row],[delivery_date]])</f>
        <v>43485</v>
      </c>
    </row>
    <row r="796" spans="1:17" ht="16" x14ac:dyDescent="0.45">
      <c r="A796" s="2" t="s">
        <v>1704</v>
      </c>
      <c r="B796" s="2" t="s">
        <v>16</v>
      </c>
      <c r="C796" s="3" t="s">
        <v>17</v>
      </c>
      <c r="D796" s="3" t="s">
        <v>85</v>
      </c>
      <c r="E796" s="3" t="s">
        <v>228</v>
      </c>
      <c r="F796" s="4">
        <v>5990</v>
      </c>
      <c r="G796" s="5">
        <v>2</v>
      </c>
      <c r="H796" s="6">
        <v>0.08</v>
      </c>
      <c r="I796" s="7">
        <v>958.4</v>
      </c>
      <c r="J796" s="7">
        <v>11021.6</v>
      </c>
      <c r="K796" s="7">
        <v>2397.1</v>
      </c>
      <c r="L796" s="2" t="s">
        <v>326</v>
      </c>
      <c r="M796" s="18" t="s">
        <v>362</v>
      </c>
      <c r="N796" s="3" t="s">
        <v>22</v>
      </c>
      <c r="O796" s="3" t="s">
        <v>63</v>
      </c>
      <c r="P796">
        <f>DATEVALUE(OnePlusSalesData[[#This Row],[order_date]])</f>
        <v>43744</v>
      </c>
      <c r="Q796" s="28">
        <f>DATEVALUE(OnePlusSalesData[[#This Row],[delivery_date]])</f>
        <v>43750</v>
      </c>
    </row>
    <row r="797" spans="1:17" ht="16" x14ac:dyDescent="0.45">
      <c r="A797" s="8" t="s">
        <v>1705</v>
      </c>
      <c r="B797" s="8" t="s">
        <v>58</v>
      </c>
      <c r="C797" s="9" t="s">
        <v>81</v>
      </c>
      <c r="D797" s="9" t="s">
        <v>40</v>
      </c>
      <c r="E797" s="9" t="s">
        <v>98</v>
      </c>
      <c r="F797" s="10">
        <v>34999</v>
      </c>
      <c r="G797" s="11">
        <v>2</v>
      </c>
      <c r="H797" s="12">
        <v>0.05</v>
      </c>
      <c r="I797" s="13">
        <v>3499.9</v>
      </c>
      <c r="J797" s="13">
        <v>66498.100000000006</v>
      </c>
      <c r="K797" s="13">
        <v>10862.18</v>
      </c>
      <c r="L797" s="8" t="s">
        <v>1706</v>
      </c>
      <c r="M797" s="19" t="s">
        <v>1707</v>
      </c>
      <c r="N797" s="9" t="s">
        <v>22</v>
      </c>
      <c r="O797" s="9" t="s">
        <v>146</v>
      </c>
      <c r="P797">
        <f>DATEVALUE(OnePlusSalesData[[#This Row],[order_date]])</f>
        <v>43780</v>
      </c>
      <c r="Q797" s="28">
        <f>DATEVALUE(OnePlusSalesData[[#This Row],[delivery_date]])</f>
        <v>43787</v>
      </c>
    </row>
    <row r="798" spans="1:17" ht="16" x14ac:dyDescent="0.45">
      <c r="A798" s="2" t="s">
        <v>1708</v>
      </c>
      <c r="B798" s="2" t="s">
        <v>16</v>
      </c>
      <c r="C798" s="3" t="s">
        <v>39</v>
      </c>
      <c r="D798" s="3" t="s">
        <v>40</v>
      </c>
      <c r="E798" s="3" t="s">
        <v>47</v>
      </c>
      <c r="F798" s="4">
        <v>37999</v>
      </c>
      <c r="G798" s="5">
        <v>1</v>
      </c>
      <c r="H798" s="6">
        <v>0.05</v>
      </c>
      <c r="I798" s="7">
        <v>1899.95</v>
      </c>
      <c r="J798" s="7">
        <v>36099.050000000003</v>
      </c>
      <c r="K798" s="7">
        <v>6884.26</v>
      </c>
      <c r="L798" s="2" t="s">
        <v>1709</v>
      </c>
      <c r="M798" s="18" t="s">
        <v>972</v>
      </c>
      <c r="N798" s="3" t="s">
        <v>22</v>
      </c>
      <c r="O798" s="3" t="s">
        <v>23</v>
      </c>
      <c r="P798">
        <f>DATEVALUE(OnePlusSalesData[[#This Row],[order_date]])</f>
        <v>43437</v>
      </c>
      <c r="Q798" s="28">
        <f>DATEVALUE(OnePlusSalesData[[#This Row],[delivery_date]])</f>
        <v>43441</v>
      </c>
    </row>
    <row r="799" spans="1:17" ht="16" x14ac:dyDescent="0.45">
      <c r="A799" s="8" t="s">
        <v>1710</v>
      </c>
      <c r="B799" s="8" t="s">
        <v>52</v>
      </c>
      <c r="C799" s="9" t="s">
        <v>69</v>
      </c>
      <c r="D799" s="9" t="s">
        <v>85</v>
      </c>
      <c r="E799" s="9" t="s">
        <v>265</v>
      </c>
      <c r="F799" s="10">
        <v>4990</v>
      </c>
      <c r="G799" s="11">
        <v>1</v>
      </c>
      <c r="H799" s="12">
        <v>0.1</v>
      </c>
      <c r="I799" s="13">
        <v>499</v>
      </c>
      <c r="J799" s="13">
        <v>4491</v>
      </c>
      <c r="K799" s="13">
        <v>1082.1500000000001</v>
      </c>
      <c r="L799" s="8" t="s">
        <v>1711</v>
      </c>
      <c r="M799" s="19" t="s">
        <v>1712</v>
      </c>
      <c r="N799" s="9" t="s">
        <v>22</v>
      </c>
      <c r="O799" s="9" t="s">
        <v>23</v>
      </c>
      <c r="P799">
        <f>DATEVALUE(OnePlusSalesData[[#This Row],[order_date]])</f>
        <v>43870</v>
      </c>
      <c r="Q799" s="28">
        <f>DATEVALUE(OnePlusSalesData[[#This Row],[delivery_date]])</f>
        <v>43873</v>
      </c>
    </row>
    <row r="800" spans="1:17" ht="16" x14ac:dyDescent="0.45">
      <c r="A800" s="2" t="s">
        <v>1713</v>
      </c>
      <c r="B800" s="2" t="s">
        <v>58</v>
      </c>
      <c r="C800" s="3" t="s">
        <v>221</v>
      </c>
      <c r="D800" s="3" t="s">
        <v>40</v>
      </c>
      <c r="E800" s="3" t="s">
        <v>98</v>
      </c>
      <c r="F800" s="4">
        <v>34999</v>
      </c>
      <c r="G800" s="5">
        <v>1</v>
      </c>
      <c r="H800" s="6">
        <v>0.08</v>
      </c>
      <c r="I800" s="7">
        <v>2799.92</v>
      </c>
      <c r="J800" s="7">
        <v>32199.08</v>
      </c>
      <c r="K800" s="7">
        <v>4817.33</v>
      </c>
      <c r="L800" s="2" t="s">
        <v>381</v>
      </c>
      <c r="M800" s="18" t="s">
        <v>1714</v>
      </c>
      <c r="N800" s="3" t="s">
        <v>22</v>
      </c>
      <c r="O800" s="3" t="s">
        <v>63</v>
      </c>
      <c r="P800">
        <f>DATEVALUE(OnePlusSalesData[[#This Row],[order_date]])</f>
        <v>43788</v>
      </c>
      <c r="Q800" s="28">
        <f>DATEVALUE(OnePlusSalesData[[#This Row],[delivery_date]])</f>
        <v>43795</v>
      </c>
    </row>
    <row r="801" spans="1:17" ht="16" x14ac:dyDescent="0.45">
      <c r="A801" s="8" t="s">
        <v>1715</v>
      </c>
      <c r="B801" s="8" t="s">
        <v>52</v>
      </c>
      <c r="C801" s="9" t="s">
        <v>69</v>
      </c>
      <c r="D801" s="9" t="s">
        <v>18</v>
      </c>
      <c r="E801" s="9" t="s">
        <v>102</v>
      </c>
      <c r="F801" s="10">
        <v>1490</v>
      </c>
      <c r="G801" s="11">
        <v>3</v>
      </c>
      <c r="H801" s="12">
        <v>0.08</v>
      </c>
      <c r="I801" s="13">
        <v>357.6</v>
      </c>
      <c r="J801" s="13">
        <v>4112.3999999999996</v>
      </c>
      <c r="K801" s="13">
        <v>699.06</v>
      </c>
      <c r="L801" s="8" t="s">
        <v>1716</v>
      </c>
      <c r="M801" s="19" t="s">
        <v>141</v>
      </c>
      <c r="N801" s="9" t="s">
        <v>22</v>
      </c>
      <c r="O801" s="9" t="s">
        <v>31</v>
      </c>
      <c r="P801">
        <f>DATEVALUE(OnePlusSalesData[[#This Row],[order_date]])</f>
        <v>43949</v>
      </c>
      <c r="Q801" s="28">
        <f>DATEVALUE(OnePlusSalesData[[#This Row],[delivery_date]])</f>
        <v>43954</v>
      </c>
    </row>
    <row r="802" spans="1:17" ht="16" x14ac:dyDescent="0.45">
      <c r="A802" s="2" t="s">
        <v>1717</v>
      </c>
      <c r="B802" s="2" t="s">
        <v>16</v>
      </c>
      <c r="C802" s="3" t="s">
        <v>152</v>
      </c>
      <c r="D802" s="3" t="s">
        <v>40</v>
      </c>
      <c r="E802" s="3" t="s">
        <v>406</v>
      </c>
      <c r="F802" s="4">
        <v>48999</v>
      </c>
      <c r="G802" s="5">
        <v>1</v>
      </c>
      <c r="H802" s="6">
        <v>0.05</v>
      </c>
      <c r="I802" s="7">
        <v>2449.9499999999998</v>
      </c>
      <c r="J802" s="7">
        <v>46549.05</v>
      </c>
      <c r="K802" s="7">
        <v>6914.47</v>
      </c>
      <c r="L802" s="2" t="s">
        <v>1145</v>
      </c>
      <c r="M802" s="18" t="s">
        <v>699</v>
      </c>
      <c r="N802" s="3" t="s">
        <v>22</v>
      </c>
      <c r="O802" s="3" t="s">
        <v>31</v>
      </c>
      <c r="P802">
        <f>DATEVALUE(OnePlusSalesData[[#This Row],[order_date]])</f>
        <v>44035</v>
      </c>
      <c r="Q802" s="28">
        <f>DATEVALUE(OnePlusSalesData[[#This Row],[delivery_date]])</f>
        <v>44038</v>
      </c>
    </row>
    <row r="803" spans="1:17" ht="16" x14ac:dyDescent="0.45">
      <c r="A803" s="8" t="s">
        <v>1718</v>
      </c>
      <c r="B803" s="8" t="s">
        <v>16</v>
      </c>
      <c r="C803" s="9" t="s">
        <v>39</v>
      </c>
      <c r="D803" s="9" t="s">
        <v>27</v>
      </c>
      <c r="E803" s="9" t="s">
        <v>28</v>
      </c>
      <c r="F803" s="10">
        <v>12999</v>
      </c>
      <c r="G803" s="11">
        <v>2</v>
      </c>
      <c r="H803" s="12">
        <v>0.1</v>
      </c>
      <c r="I803" s="13">
        <v>2599.8000000000002</v>
      </c>
      <c r="J803" s="13">
        <v>23398.2</v>
      </c>
      <c r="K803" s="13">
        <v>4114.8900000000003</v>
      </c>
      <c r="L803" s="8" t="s">
        <v>1045</v>
      </c>
      <c r="M803" s="19" t="s">
        <v>1682</v>
      </c>
      <c r="N803" s="9" t="s">
        <v>22</v>
      </c>
      <c r="O803" s="9" t="s">
        <v>31</v>
      </c>
      <c r="P803">
        <f>DATEVALUE(OnePlusSalesData[[#This Row],[order_date]])</f>
        <v>43400</v>
      </c>
      <c r="Q803" s="28">
        <f>DATEVALUE(OnePlusSalesData[[#This Row],[delivery_date]])</f>
        <v>43403</v>
      </c>
    </row>
    <row r="804" spans="1:17" ht="16" x14ac:dyDescent="0.45">
      <c r="A804" s="2" t="s">
        <v>1719</v>
      </c>
      <c r="B804" s="2" t="s">
        <v>25</v>
      </c>
      <c r="C804" s="3" t="s">
        <v>120</v>
      </c>
      <c r="D804" s="3" t="s">
        <v>27</v>
      </c>
      <c r="E804" s="3" t="s">
        <v>28</v>
      </c>
      <c r="F804" s="4">
        <v>12999</v>
      </c>
      <c r="G804" s="5">
        <v>1</v>
      </c>
      <c r="H804" s="6">
        <v>0.08</v>
      </c>
      <c r="I804" s="7">
        <v>1039.92</v>
      </c>
      <c r="J804" s="7">
        <v>11959.08</v>
      </c>
      <c r="K804" s="7">
        <v>2430.7800000000002</v>
      </c>
      <c r="L804" s="2" t="s">
        <v>75</v>
      </c>
      <c r="M804" s="18" t="s">
        <v>795</v>
      </c>
      <c r="N804" s="3" t="s">
        <v>22</v>
      </c>
      <c r="O804" s="3" t="s">
        <v>146</v>
      </c>
      <c r="P804">
        <f>DATEVALUE(OnePlusSalesData[[#This Row],[order_date]])</f>
        <v>43720</v>
      </c>
      <c r="Q804" s="28">
        <f>DATEVALUE(OnePlusSalesData[[#This Row],[delivery_date]])</f>
        <v>43724</v>
      </c>
    </row>
    <row r="805" spans="1:17" ht="16" x14ac:dyDescent="0.45">
      <c r="A805" s="8" t="s">
        <v>1720</v>
      </c>
      <c r="B805" s="8" t="s">
        <v>52</v>
      </c>
      <c r="C805" s="9" t="s">
        <v>192</v>
      </c>
      <c r="D805" s="9" t="s">
        <v>40</v>
      </c>
      <c r="E805" s="9" t="s">
        <v>73</v>
      </c>
      <c r="F805" s="10">
        <v>32999</v>
      </c>
      <c r="G805" s="11">
        <v>1</v>
      </c>
      <c r="H805" s="12">
        <v>0.05</v>
      </c>
      <c r="I805" s="13">
        <v>1649.95</v>
      </c>
      <c r="J805" s="13">
        <v>31349.05</v>
      </c>
      <c r="K805" s="13">
        <v>7464.45</v>
      </c>
      <c r="L805" s="8" t="s">
        <v>49</v>
      </c>
      <c r="M805" s="19" t="s">
        <v>955</v>
      </c>
      <c r="N805" s="9" t="s">
        <v>22</v>
      </c>
      <c r="O805" s="9" t="s">
        <v>146</v>
      </c>
      <c r="P805">
        <f>DATEVALUE(OnePlusSalesData[[#This Row],[order_date]])</f>
        <v>43613</v>
      </c>
      <c r="Q805" s="28">
        <f>DATEVALUE(OnePlusSalesData[[#This Row],[delivery_date]])</f>
        <v>43617</v>
      </c>
    </row>
    <row r="806" spans="1:17" ht="16" x14ac:dyDescent="0.45">
      <c r="A806" s="2" t="s">
        <v>1721</v>
      </c>
      <c r="B806" s="2" t="s">
        <v>25</v>
      </c>
      <c r="C806" s="3" t="s">
        <v>120</v>
      </c>
      <c r="D806" s="3" t="s">
        <v>40</v>
      </c>
      <c r="E806" s="3" t="s">
        <v>406</v>
      </c>
      <c r="F806" s="4">
        <v>48999</v>
      </c>
      <c r="G806" s="5">
        <v>1</v>
      </c>
      <c r="H806" s="6">
        <v>0.1</v>
      </c>
      <c r="I806" s="7">
        <v>4899.8999999999996</v>
      </c>
      <c r="J806" s="7">
        <v>44099.1</v>
      </c>
      <c r="K806" s="7">
        <v>11231.01</v>
      </c>
      <c r="L806" s="2" t="s">
        <v>1722</v>
      </c>
      <c r="M806" s="18" t="s">
        <v>1723</v>
      </c>
      <c r="N806" s="3" t="s">
        <v>50</v>
      </c>
      <c r="O806" s="3" t="s">
        <v>63</v>
      </c>
      <c r="P806">
        <f>DATEVALUE(OnePlusSalesData[[#This Row],[order_date]])</f>
        <v>43276</v>
      </c>
      <c r="Q806" s="28">
        <f>DATEVALUE(OnePlusSalesData[[#This Row],[delivery_date]])</f>
        <v>43280</v>
      </c>
    </row>
    <row r="807" spans="1:17" ht="16" x14ac:dyDescent="0.45">
      <c r="A807" s="8" t="s">
        <v>1724</v>
      </c>
      <c r="B807" s="8" t="s">
        <v>25</v>
      </c>
      <c r="C807" s="9" t="s">
        <v>65</v>
      </c>
      <c r="D807" s="9" t="s">
        <v>85</v>
      </c>
      <c r="E807" s="9" t="s">
        <v>228</v>
      </c>
      <c r="F807" s="10">
        <v>5990</v>
      </c>
      <c r="G807" s="11">
        <v>1</v>
      </c>
      <c r="H807" s="12">
        <v>0.1</v>
      </c>
      <c r="I807" s="13">
        <v>599</v>
      </c>
      <c r="J807" s="13">
        <v>5391</v>
      </c>
      <c r="K807" s="13">
        <v>1051.45</v>
      </c>
      <c r="L807" s="8" t="s">
        <v>685</v>
      </c>
      <c r="M807" s="19" t="s">
        <v>475</v>
      </c>
      <c r="N807" s="9" t="s">
        <v>50</v>
      </c>
      <c r="O807" s="9" t="s">
        <v>96</v>
      </c>
      <c r="P807">
        <f>DATEVALUE(OnePlusSalesData[[#This Row],[order_date]])</f>
        <v>43394</v>
      </c>
      <c r="Q807" s="28">
        <f>DATEVALUE(OnePlusSalesData[[#This Row],[delivery_date]])</f>
        <v>43398</v>
      </c>
    </row>
    <row r="808" spans="1:17" ht="16" x14ac:dyDescent="0.45">
      <c r="A808" s="2" t="s">
        <v>1725</v>
      </c>
      <c r="B808" s="2" t="s">
        <v>52</v>
      </c>
      <c r="C808" s="3" t="s">
        <v>192</v>
      </c>
      <c r="D808" s="3" t="s">
        <v>27</v>
      </c>
      <c r="E808" s="3" t="s">
        <v>159</v>
      </c>
      <c r="F808" s="4">
        <v>22999</v>
      </c>
      <c r="G808" s="5">
        <v>1</v>
      </c>
      <c r="H808" s="6">
        <v>0.05</v>
      </c>
      <c r="I808" s="7">
        <v>1149.95</v>
      </c>
      <c r="J808" s="7">
        <v>21849.05</v>
      </c>
      <c r="K808" s="7">
        <v>4315.9399999999996</v>
      </c>
      <c r="L808" s="2" t="s">
        <v>1215</v>
      </c>
      <c r="M808" s="18" t="s">
        <v>626</v>
      </c>
      <c r="N808" s="3" t="s">
        <v>50</v>
      </c>
      <c r="O808" s="3" t="s">
        <v>31</v>
      </c>
      <c r="P808">
        <f>DATEVALUE(OnePlusSalesData[[#This Row],[order_date]])</f>
        <v>43434</v>
      </c>
      <c r="Q808" s="28">
        <f>DATEVALUE(OnePlusSalesData[[#This Row],[delivery_date]])</f>
        <v>43436</v>
      </c>
    </row>
    <row r="809" spans="1:17" ht="16" x14ac:dyDescent="0.45">
      <c r="A809" s="8" t="s">
        <v>1726</v>
      </c>
      <c r="B809" s="8" t="s">
        <v>16</v>
      </c>
      <c r="C809" s="9" t="s">
        <v>17</v>
      </c>
      <c r="D809" s="9" t="s">
        <v>40</v>
      </c>
      <c r="E809" s="9" t="s">
        <v>54</v>
      </c>
      <c r="F809" s="10">
        <v>53999</v>
      </c>
      <c r="G809" s="11">
        <v>3</v>
      </c>
      <c r="H809" s="12">
        <v>0.08</v>
      </c>
      <c r="I809" s="13">
        <v>12959.76</v>
      </c>
      <c r="J809" s="13">
        <v>149037.24</v>
      </c>
      <c r="K809" s="13">
        <v>31849.3</v>
      </c>
      <c r="L809" s="8" t="s">
        <v>229</v>
      </c>
      <c r="M809" s="19" t="s">
        <v>964</v>
      </c>
      <c r="N809" s="9" t="s">
        <v>22</v>
      </c>
      <c r="O809" s="9" t="s">
        <v>146</v>
      </c>
      <c r="P809">
        <f>DATEVALUE(OnePlusSalesData[[#This Row],[order_date]])</f>
        <v>43897</v>
      </c>
      <c r="Q809" s="28">
        <f>DATEVALUE(OnePlusSalesData[[#This Row],[delivery_date]])</f>
        <v>43903</v>
      </c>
    </row>
    <row r="810" spans="1:17" ht="16" x14ac:dyDescent="0.45">
      <c r="A810" s="2" t="s">
        <v>1727</v>
      </c>
      <c r="B810" s="2" t="s">
        <v>16</v>
      </c>
      <c r="C810" s="3" t="s">
        <v>33</v>
      </c>
      <c r="D810" s="3" t="s">
        <v>85</v>
      </c>
      <c r="E810" s="3" t="s">
        <v>265</v>
      </c>
      <c r="F810" s="4">
        <v>4990</v>
      </c>
      <c r="G810" s="5">
        <v>3</v>
      </c>
      <c r="H810" s="6">
        <v>0</v>
      </c>
      <c r="I810" s="7">
        <v>0</v>
      </c>
      <c r="J810" s="7">
        <v>14970</v>
      </c>
      <c r="K810" s="7">
        <v>3073.37</v>
      </c>
      <c r="L810" s="2" t="s">
        <v>1242</v>
      </c>
      <c r="M810" s="18" t="s">
        <v>680</v>
      </c>
      <c r="N810" s="3" t="s">
        <v>22</v>
      </c>
      <c r="O810" s="3" t="s">
        <v>23</v>
      </c>
      <c r="P810">
        <f>DATEVALUE(OnePlusSalesData[[#This Row],[order_date]])</f>
        <v>43689</v>
      </c>
      <c r="Q810" s="28">
        <f>DATEVALUE(OnePlusSalesData[[#This Row],[delivery_date]])</f>
        <v>43693</v>
      </c>
    </row>
    <row r="811" spans="1:17" ht="16" x14ac:dyDescent="0.45">
      <c r="A811" s="8" t="s">
        <v>1728</v>
      </c>
      <c r="B811" s="8" t="s">
        <v>52</v>
      </c>
      <c r="C811" s="9" t="s">
        <v>69</v>
      </c>
      <c r="D811" s="9" t="s">
        <v>85</v>
      </c>
      <c r="E811" s="9" t="s">
        <v>265</v>
      </c>
      <c r="F811" s="10">
        <v>4990</v>
      </c>
      <c r="G811" s="11">
        <v>1</v>
      </c>
      <c r="H811" s="12">
        <v>0.08</v>
      </c>
      <c r="I811" s="13">
        <v>399.2</v>
      </c>
      <c r="J811" s="13">
        <v>4590.8</v>
      </c>
      <c r="K811" s="13">
        <v>874.58</v>
      </c>
      <c r="L811" s="8" t="s">
        <v>395</v>
      </c>
      <c r="M811" s="19" t="s">
        <v>1729</v>
      </c>
      <c r="N811" s="9" t="s">
        <v>50</v>
      </c>
      <c r="O811" s="9" t="s">
        <v>23</v>
      </c>
      <c r="P811">
        <f>DATEVALUE(OnePlusSalesData[[#This Row],[order_date]])</f>
        <v>43167</v>
      </c>
      <c r="Q811" s="28">
        <f>DATEVALUE(OnePlusSalesData[[#This Row],[delivery_date]])</f>
        <v>43173</v>
      </c>
    </row>
    <row r="812" spans="1:17" ht="16" x14ac:dyDescent="0.45">
      <c r="A812" s="2" t="s">
        <v>1730</v>
      </c>
      <c r="B812" s="2" t="s">
        <v>16</v>
      </c>
      <c r="C812" s="3" t="s">
        <v>17</v>
      </c>
      <c r="D812" s="3" t="s">
        <v>18</v>
      </c>
      <c r="E812" s="3" t="s">
        <v>179</v>
      </c>
      <c r="F812" s="4">
        <v>1290</v>
      </c>
      <c r="G812" s="5">
        <v>1</v>
      </c>
      <c r="H812" s="6">
        <v>0.08</v>
      </c>
      <c r="I812" s="7">
        <v>103.2</v>
      </c>
      <c r="J812" s="7">
        <v>1186.8</v>
      </c>
      <c r="K812" s="7">
        <v>237.88</v>
      </c>
      <c r="L812" s="2" t="s">
        <v>1731</v>
      </c>
      <c r="M812" s="18" t="s">
        <v>570</v>
      </c>
      <c r="N812" s="3" t="s">
        <v>22</v>
      </c>
      <c r="O812" s="3" t="s">
        <v>96</v>
      </c>
      <c r="P812">
        <f>DATEVALUE(OnePlusSalesData[[#This Row],[order_date]])</f>
        <v>43556</v>
      </c>
      <c r="Q812" s="28">
        <f>DATEVALUE(OnePlusSalesData[[#This Row],[delivery_date]])</f>
        <v>43561</v>
      </c>
    </row>
    <row r="813" spans="1:17" ht="16" x14ac:dyDescent="0.45">
      <c r="A813" s="8" t="s">
        <v>1732</v>
      </c>
      <c r="B813" s="8" t="s">
        <v>25</v>
      </c>
      <c r="C813" s="9" t="s">
        <v>172</v>
      </c>
      <c r="D813" s="9" t="s">
        <v>40</v>
      </c>
      <c r="E813" s="9" t="s">
        <v>98</v>
      </c>
      <c r="F813" s="10">
        <v>34999</v>
      </c>
      <c r="G813" s="11">
        <v>1</v>
      </c>
      <c r="H813" s="12">
        <v>0.05</v>
      </c>
      <c r="I813" s="13">
        <v>1749.95</v>
      </c>
      <c r="J813" s="13">
        <v>33249.050000000003</v>
      </c>
      <c r="K813" s="13">
        <v>7075.49</v>
      </c>
      <c r="L813" s="8" t="s">
        <v>329</v>
      </c>
      <c r="M813" s="19" t="s">
        <v>685</v>
      </c>
      <c r="N813" s="9" t="s">
        <v>22</v>
      </c>
      <c r="O813" s="9" t="s">
        <v>31</v>
      </c>
      <c r="P813">
        <f>DATEVALUE(OnePlusSalesData[[#This Row],[order_date]])</f>
        <v>43389</v>
      </c>
      <c r="Q813" s="28">
        <f>DATEVALUE(OnePlusSalesData[[#This Row],[delivery_date]])</f>
        <v>43394</v>
      </c>
    </row>
    <row r="814" spans="1:17" ht="16" x14ac:dyDescent="0.45">
      <c r="A814" s="2" t="s">
        <v>1733</v>
      </c>
      <c r="B814" s="2" t="s">
        <v>58</v>
      </c>
      <c r="C814" s="3" t="s">
        <v>113</v>
      </c>
      <c r="D814" s="3" t="s">
        <v>18</v>
      </c>
      <c r="E814" s="3" t="s">
        <v>179</v>
      </c>
      <c r="F814" s="4">
        <v>1290</v>
      </c>
      <c r="G814" s="5">
        <v>3</v>
      </c>
      <c r="H814" s="6">
        <v>0.05</v>
      </c>
      <c r="I814" s="7">
        <v>193.5</v>
      </c>
      <c r="J814" s="7">
        <v>3676.5</v>
      </c>
      <c r="K814" s="7">
        <v>620.25</v>
      </c>
      <c r="L814" s="2" t="s">
        <v>1195</v>
      </c>
      <c r="M814" s="18" t="s">
        <v>1489</v>
      </c>
      <c r="N814" s="3" t="s">
        <v>22</v>
      </c>
      <c r="O814" s="3" t="s">
        <v>63</v>
      </c>
      <c r="P814">
        <f>DATEVALUE(OnePlusSalesData[[#This Row],[order_date]])</f>
        <v>43941</v>
      </c>
      <c r="Q814" s="28">
        <f>DATEVALUE(OnePlusSalesData[[#This Row],[delivery_date]])</f>
        <v>43945</v>
      </c>
    </row>
    <row r="815" spans="1:17" ht="16" x14ac:dyDescent="0.45">
      <c r="A815" s="8" t="s">
        <v>1734</v>
      </c>
      <c r="B815" s="8" t="s">
        <v>52</v>
      </c>
      <c r="C815" s="9" t="s">
        <v>53</v>
      </c>
      <c r="D815" s="9" t="s">
        <v>85</v>
      </c>
      <c r="E815" s="9" t="s">
        <v>258</v>
      </c>
      <c r="F815" s="10">
        <v>2999</v>
      </c>
      <c r="G815" s="11">
        <v>2</v>
      </c>
      <c r="H815" s="12">
        <v>0.08</v>
      </c>
      <c r="I815" s="13">
        <v>479.84</v>
      </c>
      <c r="J815" s="13">
        <v>5518.16</v>
      </c>
      <c r="K815" s="13">
        <v>954.01</v>
      </c>
      <c r="L815" s="8" t="s">
        <v>1735</v>
      </c>
      <c r="M815" s="19" t="s">
        <v>1736</v>
      </c>
      <c r="N815" s="9" t="s">
        <v>22</v>
      </c>
      <c r="O815" s="9" t="s">
        <v>23</v>
      </c>
      <c r="P815">
        <f>DATEVALUE(OnePlusSalesData[[#This Row],[order_date]])</f>
        <v>43998</v>
      </c>
      <c r="Q815" s="28">
        <f>DATEVALUE(OnePlusSalesData[[#This Row],[delivery_date]])</f>
        <v>44004</v>
      </c>
    </row>
    <row r="816" spans="1:17" ht="16" x14ac:dyDescent="0.45">
      <c r="A816" s="2" t="s">
        <v>1737</v>
      </c>
      <c r="B816" s="2" t="s">
        <v>16</v>
      </c>
      <c r="C816" s="3" t="s">
        <v>17</v>
      </c>
      <c r="D816" s="3" t="s">
        <v>40</v>
      </c>
      <c r="E816" s="3" t="s">
        <v>148</v>
      </c>
      <c r="F816" s="4">
        <v>41999</v>
      </c>
      <c r="G816" s="5">
        <v>1</v>
      </c>
      <c r="H816" s="6">
        <v>0.1</v>
      </c>
      <c r="I816" s="7">
        <v>4199.8999999999996</v>
      </c>
      <c r="J816" s="7">
        <v>37799.1</v>
      </c>
      <c r="K816" s="7">
        <v>9060.15</v>
      </c>
      <c r="L816" s="2" t="s">
        <v>616</v>
      </c>
      <c r="M816" s="18" t="s">
        <v>1037</v>
      </c>
      <c r="N816" s="3" t="s">
        <v>22</v>
      </c>
      <c r="O816" s="3" t="s">
        <v>63</v>
      </c>
      <c r="P816">
        <f>DATEVALUE(OnePlusSalesData[[#This Row],[order_date]])</f>
        <v>43573</v>
      </c>
      <c r="Q816" s="28">
        <f>DATEVALUE(OnePlusSalesData[[#This Row],[delivery_date]])</f>
        <v>43575</v>
      </c>
    </row>
    <row r="817" spans="1:17" ht="16" x14ac:dyDescent="0.45">
      <c r="A817" s="8" t="s">
        <v>1738</v>
      </c>
      <c r="B817" s="8" t="s">
        <v>58</v>
      </c>
      <c r="C817" s="9" t="s">
        <v>113</v>
      </c>
      <c r="D817" s="9" t="s">
        <v>40</v>
      </c>
      <c r="E817" s="9" t="s">
        <v>54</v>
      </c>
      <c r="F817" s="10">
        <v>53999</v>
      </c>
      <c r="G817" s="11">
        <v>1</v>
      </c>
      <c r="H817" s="12">
        <v>0</v>
      </c>
      <c r="I817" s="13">
        <v>0</v>
      </c>
      <c r="J817" s="13">
        <v>53999</v>
      </c>
      <c r="K817" s="13">
        <v>13662.72</v>
      </c>
      <c r="L817" s="8" t="s">
        <v>1739</v>
      </c>
      <c r="M817" s="19" t="s">
        <v>882</v>
      </c>
      <c r="N817" s="9" t="s">
        <v>22</v>
      </c>
      <c r="O817" s="9" t="s">
        <v>31</v>
      </c>
      <c r="P817">
        <f>DATEVALUE(OnePlusSalesData[[#This Row],[order_date]])</f>
        <v>43487</v>
      </c>
      <c r="Q817" s="28">
        <f>DATEVALUE(OnePlusSalesData[[#This Row],[delivery_date]])</f>
        <v>43491</v>
      </c>
    </row>
    <row r="818" spans="1:17" ht="16" x14ac:dyDescent="0.45">
      <c r="A818" s="2" t="s">
        <v>1740</v>
      </c>
      <c r="B818" s="2" t="s">
        <v>58</v>
      </c>
      <c r="C818" s="3" t="s">
        <v>257</v>
      </c>
      <c r="D818" s="3" t="s">
        <v>40</v>
      </c>
      <c r="E818" s="3" t="s">
        <v>41</v>
      </c>
      <c r="F818" s="4">
        <v>37999</v>
      </c>
      <c r="G818" s="5">
        <v>1</v>
      </c>
      <c r="H818" s="6">
        <v>0</v>
      </c>
      <c r="I818" s="7">
        <v>0</v>
      </c>
      <c r="J818" s="7">
        <v>37999</v>
      </c>
      <c r="K818" s="7">
        <v>7635.81</v>
      </c>
      <c r="L818" s="2" t="s">
        <v>141</v>
      </c>
      <c r="M818" s="18" t="s">
        <v>142</v>
      </c>
      <c r="N818" s="3" t="s">
        <v>50</v>
      </c>
      <c r="O818" s="3" t="s">
        <v>23</v>
      </c>
      <c r="P818">
        <f>DATEVALUE(OnePlusSalesData[[#This Row],[order_date]])</f>
        <v>43954</v>
      </c>
      <c r="Q818" s="28">
        <f>DATEVALUE(OnePlusSalesData[[#This Row],[delivery_date]])</f>
        <v>43957</v>
      </c>
    </row>
    <row r="819" spans="1:17" ht="16" x14ac:dyDescent="0.45">
      <c r="A819" s="8" t="s">
        <v>1741</v>
      </c>
      <c r="B819" s="8" t="s">
        <v>52</v>
      </c>
      <c r="C819" s="9" t="s">
        <v>192</v>
      </c>
      <c r="D819" s="9" t="s">
        <v>85</v>
      </c>
      <c r="E819" s="9" t="s">
        <v>86</v>
      </c>
      <c r="F819" s="10">
        <v>1999</v>
      </c>
      <c r="G819" s="11">
        <v>1</v>
      </c>
      <c r="H819" s="12">
        <v>0.1</v>
      </c>
      <c r="I819" s="13">
        <v>199.9</v>
      </c>
      <c r="J819" s="13">
        <v>1799.1</v>
      </c>
      <c r="K819" s="13">
        <v>311.2</v>
      </c>
      <c r="L819" s="8" t="s">
        <v>1483</v>
      </c>
      <c r="M819" s="19" t="s">
        <v>1742</v>
      </c>
      <c r="N819" s="9" t="s">
        <v>22</v>
      </c>
      <c r="O819" s="9" t="s">
        <v>96</v>
      </c>
      <c r="P819">
        <f>DATEVALUE(OnePlusSalesData[[#This Row],[order_date]])</f>
        <v>43800</v>
      </c>
      <c r="Q819" s="28">
        <f>DATEVALUE(OnePlusSalesData[[#This Row],[delivery_date]])</f>
        <v>43807</v>
      </c>
    </row>
    <row r="820" spans="1:17" ht="16" x14ac:dyDescent="0.45">
      <c r="A820" s="2" t="s">
        <v>1743</v>
      </c>
      <c r="B820" s="2" t="s">
        <v>52</v>
      </c>
      <c r="C820" s="3" t="s">
        <v>192</v>
      </c>
      <c r="D820" s="3" t="s">
        <v>34</v>
      </c>
      <c r="E820" s="3" t="s">
        <v>35</v>
      </c>
      <c r="F820" s="4">
        <v>19999</v>
      </c>
      <c r="G820" s="5">
        <v>1</v>
      </c>
      <c r="H820" s="6">
        <v>0.05</v>
      </c>
      <c r="I820" s="7">
        <v>999.95</v>
      </c>
      <c r="J820" s="7">
        <v>18999.05</v>
      </c>
      <c r="K820" s="7">
        <v>3170.06</v>
      </c>
      <c r="L820" s="2" t="s">
        <v>535</v>
      </c>
      <c r="M820" s="18" t="s">
        <v>110</v>
      </c>
      <c r="N820" s="3" t="s">
        <v>50</v>
      </c>
      <c r="O820" s="3" t="s">
        <v>63</v>
      </c>
      <c r="P820">
        <f>DATEVALUE(OnePlusSalesData[[#This Row],[order_date]])</f>
        <v>43737</v>
      </c>
      <c r="Q820" s="28">
        <f>DATEVALUE(OnePlusSalesData[[#This Row],[delivery_date]])</f>
        <v>43741</v>
      </c>
    </row>
    <row r="821" spans="1:17" ht="16" x14ac:dyDescent="0.45">
      <c r="A821" s="8" t="s">
        <v>1744</v>
      </c>
      <c r="B821" s="8" t="s">
        <v>52</v>
      </c>
      <c r="C821" s="9" t="s">
        <v>358</v>
      </c>
      <c r="D821" s="9" t="s">
        <v>34</v>
      </c>
      <c r="E821" s="9" t="s">
        <v>77</v>
      </c>
      <c r="F821" s="10">
        <v>24999</v>
      </c>
      <c r="G821" s="11">
        <v>2</v>
      </c>
      <c r="H821" s="12">
        <v>0.08</v>
      </c>
      <c r="I821" s="13">
        <v>3999.84</v>
      </c>
      <c r="J821" s="13">
        <v>45998.16</v>
      </c>
      <c r="K821" s="13">
        <v>9140.18</v>
      </c>
      <c r="L821" s="8" t="s">
        <v>340</v>
      </c>
      <c r="M821" s="19" t="s">
        <v>1745</v>
      </c>
      <c r="N821" s="9" t="s">
        <v>50</v>
      </c>
      <c r="O821" s="9" t="s">
        <v>63</v>
      </c>
      <c r="P821">
        <f>DATEVALUE(OnePlusSalesData[[#This Row],[order_date]])</f>
        <v>44132</v>
      </c>
      <c r="Q821" s="28">
        <f>DATEVALUE(OnePlusSalesData[[#This Row],[delivery_date]])</f>
        <v>44135</v>
      </c>
    </row>
    <row r="822" spans="1:17" ht="16" x14ac:dyDescent="0.45">
      <c r="A822" s="2" t="s">
        <v>1746</v>
      </c>
      <c r="B822" s="2" t="s">
        <v>16</v>
      </c>
      <c r="C822" s="3" t="s">
        <v>33</v>
      </c>
      <c r="D822" s="3" t="s">
        <v>40</v>
      </c>
      <c r="E822" s="3" t="s">
        <v>41</v>
      </c>
      <c r="F822" s="4">
        <v>37999</v>
      </c>
      <c r="G822" s="5">
        <v>2</v>
      </c>
      <c r="H822" s="6">
        <v>0.1</v>
      </c>
      <c r="I822" s="7">
        <v>7599.8</v>
      </c>
      <c r="J822" s="7">
        <v>68398.2</v>
      </c>
      <c r="K822" s="7">
        <v>10540.63</v>
      </c>
      <c r="L822" s="2" t="s">
        <v>627</v>
      </c>
      <c r="M822" s="18" t="s">
        <v>1231</v>
      </c>
      <c r="N822" s="3" t="s">
        <v>22</v>
      </c>
      <c r="O822" s="3" t="s">
        <v>23</v>
      </c>
      <c r="P822">
        <f>DATEVALUE(OnePlusSalesData[[#This Row],[order_date]])</f>
        <v>43439</v>
      </c>
      <c r="Q822" s="28">
        <f>DATEVALUE(OnePlusSalesData[[#This Row],[delivery_date]])</f>
        <v>43446</v>
      </c>
    </row>
    <row r="823" spans="1:17" ht="16" x14ac:dyDescent="0.45">
      <c r="A823" s="8" t="s">
        <v>1747</v>
      </c>
      <c r="B823" s="8" t="s">
        <v>58</v>
      </c>
      <c r="C823" s="9" t="s">
        <v>81</v>
      </c>
      <c r="D823" s="9" t="s">
        <v>40</v>
      </c>
      <c r="E823" s="9" t="s">
        <v>60</v>
      </c>
      <c r="F823" s="10">
        <v>54999</v>
      </c>
      <c r="G823" s="11">
        <v>1</v>
      </c>
      <c r="H823" s="12">
        <v>0.1</v>
      </c>
      <c r="I823" s="13">
        <v>5499.9</v>
      </c>
      <c r="J823" s="13">
        <v>49499.1</v>
      </c>
      <c r="K823" s="13">
        <v>8786.35</v>
      </c>
      <c r="L823" s="8" t="s">
        <v>298</v>
      </c>
      <c r="M823" s="19" t="s">
        <v>1748</v>
      </c>
      <c r="N823" s="9" t="s">
        <v>50</v>
      </c>
      <c r="O823" s="9" t="s">
        <v>45</v>
      </c>
      <c r="P823">
        <f>DATEVALUE(OnePlusSalesData[[#This Row],[order_date]])</f>
        <v>43723</v>
      </c>
      <c r="Q823" s="28">
        <f>DATEVALUE(OnePlusSalesData[[#This Row],[delivery_date]])</f>
        <v>43726</v>
      </c>
    </row>
    <row r="824" spans="1:17" ht="16" x14ac:dyDescent="0.45">
      <c r="A824" s="2" t="s">
        <v>1749</v>
      </c>
      <c r="B824" s="2" t="s">
        <v>52</v>
      </c>
      <c r="C824" s="3" t="s">
        <v>192</v>
      </c>
      <c r="D824" s="3" t="s">
        <v>40</v>
      </c>
      <c r="E824" s="3" t="s">
        <v>148</v>
      </c>
      <c r="F824" s="4">
        <v>41999</v>
      </c>
      <c r="G824" s="5">
        <v>2</v>
      </c>
      <c r="H824" s="6">
        <v>0.05</v>
      </c>
      <c r="I824" s="7">
        <v>4199.8999999999996</v>
      </c>
      <c r="J824" s="7">
        <v>79798.100000000006</v>
      </c>
      <c r="K824" s="7">
        <v>19677.02</v>
      </c>
      <c r="L824" s="2" t="s">
        <v>1750</v>
      </c>
      <c r="M824" s="18" t="s">
        <v>1593</v>
      </c>
      <c r="N824" s="3" t="s">
        <v>22</v>
      </c>
      <c r="O824" s="3" t="s">
        <v>31</v>
      </c>
      <c r="P824">
        <f>DATEVALUE(OnePlusSalesData[[#This Row],[order_date]])</f>
        <v>43650</v>
      </c>
      <c r="Q824" s="28">
        <f>DATEVALUE(OnePlusSalesData[[#This Row],[delivery_date]])</f>
        <v>43657</v>
      </c>
    </row>
    <row r="825" spans="1:17" ht="16" x14ac:dyDescent="0.45">
      <c r="A825" s="8" t="s">
        <v>1751</v>
      </c>
      <c r="B825" s="8" t="s">
        <v>16</v>
      </c>
      <c r="C825" s="9" t="s">
        <v>33</v>
      </c>
      <c r="D825" s="9" t="s">
        <v>40</v>
      </c>
      <c r="E825" s="9" t="s">
        <v>41</v>
      </c>
      <c r="F825" s="10">
        <v>37999</v>
      </c>
      <c r="G825" s="11">
        <v>5</v>
      </c>
      <c r="H825" s="12">
        <v>0.05</v>
      </c>
      <c r="I825" s="13">
        <v>9499.75</v>
      </c>
      <c r="J825" s="13">
        <v>180495.25</v>
      </c>
      <c r="K825" s="13">
        <v>43918.83</v>
      </c>
      <c r="L825" s="8" t="s">
        <v>560</v>
      </c>
      <c r="M825" s="19" t="s">
        <v>1752</v>
      </c>
      <c r="N825" s="9" t="s">
        <v>92</v>
      </c>
      <c r="O825" s="9" t="s">
        <v>23</v>
      </c>
      <c r="P825">
        <f>DATEVALUE(OnePlusSalesData[[#This Row],[order_date]])</f>
        <v>43368</v>
      </c>
      <c r="Q825" s="28">
        <f>DATEVALUE(OnePlusSalesData[[#This Row],[delivery_date]])</f>
        <v>43370</v>
      </c>
    </row>
    <row r="826" spans="1:17" ht="16" x14ac:dyDescent="0.45">
      <c r="A826" s="2" t="s">
        <v>1753</v>
      </c>
      <c r="B826" s="2" t="s">
        <v>52</v>
      </c>
      <c r="C826" s="3" t="s">
        <v>106</v>
      </c>
      <c r="D826" s="3" t="s">
        <v>34</v>
      </c>
      <c r="E826" s="3" t="s">
        <v>77</v>
      </c>
      <c r="F826" s="4">
        <v>24999</v>
      </c>
      <c r="G826" s="5">
        <v>1</v>
      </c>
      <c r="H826" s="6">
        <v>0.12</v>
      </c>
      <c r="I826" s="7">
        <v>2999.88</v>
      </c>
      <c r="J826" s="7">
        <v>21999.119999999999</v>
      </c>
      <c r="K826" s="7">
        <v>5061.5600000000004</v>
      </c>
      <c r="L826" s="2" t="s">
        <v>566</v>
      </c>
      <c r="M826" s="18" t="s">
        <v>1640</v>
      </c>
      <c r="N826" s="3" t="s">
        <v>50</v>
      </c>
      <c r="O826" s="3" t="s">
        <v>45</v>
      </c>
      <c r="P826">
        <f>DATEVALUE(OnePlusSalesData[[#This Row],[order_date]])</f>
        <v>44141</v>
      </c>
      <c r="Q826" s="28">
        <f>DATEVALUE(OnePlusSalesData[[#This Row],[delivery_date]])</f>
        <v>44144</v>
      </c>
    </row>
    <row r="827" spans="1:17" ht="16" x14ac:dyDescent="0.45">
      <c r="A827" s="8" t="s">
        <v>1754</v>
      </c>
      <c r="B827" s="8" t="s">
        <v>58</v>
      </c>
      <c r="C827" s="9" t="s">
        <v>113</v>
      </c>
      <c r="D827" s="9" t="s">
        <v>85</v>
      </c>
      <c r="E827" s="9" t="s">
        <v>265</v>
      </c>
      <c r="F827" s="10">
        <v>4990</v>
      </c>
      <c r="G827" s="11">
        <v>1</v>
      </c>
      <c r="H827" s="12">
        <v>0.08</v>
      </c>
      <c r="I827" s="13">
        <v>399.2</v>
      </c>
      <c r="J827" s="13">
        <v>4590.8</v>
      </c>
      <c r="K827" s="13">
        <v>1135.2</v>
      </c>
      <c r="L827" s="8" t="s">
        <v>1666</v>
      </c>
      <c r="M827" s="19" t="s">
        <v>1755</v>
      </c>
      <c r="N827" s="9" t="s">
        <v>22</v>
      </c>
      <c r="O827" s="9" t="s">
        <v>23</v>
      </c>
      <c r="P827">
        <f>DATEVALUE(OnePlusSalesData[[#This Row],[order_date]])</f>
        <v>43653</v>
      </c>
      <c r="Q827" s="28">
        <f>DATEVALUE(OnePlusSalesData[[#This Row],[delivery_date]])</f>
        <v>43656</v>
      </c>
    </row>
    <row r="828" spans="1:17" ht="16" x14ac:dyDescent="0.45">
      <c r="A828" s="2" t="s">
        <v>1756</v>
      </c>
      <c r="B828" s="2" t="s">
        <v>52</v>
      </c>
      <c r="C828" s="3" t="s">
        <v>192</v>
      </c>
      <c r="D828" s="3" t="s">
        <v>40</v>
      </c>
      <c r="E828" s="3" t="s">
        <v>406</v>
      </c>
      <c r="F828" s="4">
        <v>48999</v>
      </c>
      <c r="G828" s="5">
        <v>1</v>
      </c>
      <c r="H828" s="6">
        <v>0.08</v>
      </c>
      <c r="I828" s="7">
        <v>3919.92</v>
      </c>
      <c r="J828" s="7">
        <v>45079.08</v>
      </c>
      <c r="K828" s="7">
        <v>10525.09</v>
      </c>
      <c r="L828" s="2" t="s">
        <v>1431</v>
      </c>
      <c r="M828" s="18" t="s">
        <v>1517</v>
      </c>
      <c r="N828" s="3" t="s">
        <v>22</v>
      </c>
      <c r="O828" s="3" t="s">
        <v>45</v>
      </c>
      <c r="P828">
        <f>DATEVALUE(OnePlusSalesData[[#This Row],[order_date]])</f>
        <v>43857</v>
      </c>
      <c r="Q828" s="28">
        <f>DATEVALUE(OnePlusSalesData[[#This Row],[delivery_date]])</f>
        <v>43861</v>
      </c>
    </row>
    <row r="829" spans="1:17" ht="16" x14ac:dyDescent="0.45">
      <c r="A829" s="8" t="s">
        <v>1757</v>
      </c>
      <c r="B829" s="8" t="s">
        <v>52</v>
      </c>
      <c r="C829" s="9" t="s">
        <v>192</v>
      </c>
      <c r="D829" s="9" t="s">
        <v>85</v>
      </c>
      <c r="E829" s="9" t="s">
        <v>86</v>
      </c>
      <c r="F829" s="10">
        <v>1999</v>
      </c>
      <c r="G829" s="11">
        <v>2</v>
      </c>
      <c r="H829" s="12">
        <v>0.08</v>
      </c>
      <c r="I829" s="13">
        <v>319.83999999999997</v>
      </c>
      <c r="J829" s="13">
        <v>3678.16</v>
      </c>
      <c r="K829" s="13">
        <v>725.48</v>
      </c>
      <c r="L829" s="8" t="s">
        <v>1329</v>
      </c>
      <c r="M829" s="19" t="s">
        <v>1578</v>
      </c>
      <c r="N829" s="9" t="s">
        <v>22</v>
      </c>
      <c r="O829" s="9" t="s">
        <v>23</v>
      </c>
      <c r="P829">
        <f>DATEVALUE(OnePlusSalesData[[#This Row],[order_date]])</f>
        <v>43354</v>
      </c>
      <c r="Q829" s="28">
        <f>DATEVALUE(OnePlusSalesData[[#This Row],[delivery_date]])</f>
        <v>43360</v>
      </c>
    </row>
    <row r="830" spans="1:17" ht="16" x14ac:dyDescent="0.45">
      <c r="A830" s="2" t="s">
        <v>1758</v>
      </c>
      <c r="B830" s="2" t="s">
        <v>52</v>
      </c>
      <c r="C830" s="3" t="s">
        <v>69</v>
      </c>
      <c r="D830" s="3" t="s">
        <v>18</v>
      </c>
      <c r="E830" s="3" t="s">
        <v>124</v>
      </c>
      <c r="F830" s="4">
        <v>3990</v>
      </c>
      <c r="G830" s="5">
        <v>2</v>
      </c>
      <c r="H830" s="6">
        <v>0.1</v>
      </c>
      <c r="I830" s="7">
        <v>798</v>
      </c>
      <c r="J830" s="7">
        <v>7182</v>
      </c>
      <c r="K830" s="7">
        <v>1363.28</v>
      </c>
      <c r="L830" s="2" t="s">
        <v>930</v>
      </c>
      <c r="M830" s="18" t="s">
        <v>627</v>
      </c>
      <c r="N830" s="3" t="s">
        <v>22</v>
      </c>
      <c r="O830" s="3" t="s">
        <v>23</v>
      </c>
      <c r="P830">
        <f>DATEVALUE(OnePlusSalesData[[#This Row],[order_date]])</f>
        <v>43433</v>
      </c>
      <c r="Q830" s="28">
        <f>DATEVALUE(OnePlusSalesData[[#This Row],[delivery_date]])</f>
        <v>43439</v>
      </c>
    </row>
    <row r="831" spans="1:17" ht="16" x14ac:dyDescent="0.45">
      <c r="A831" s="8" t="s">
        <v>1759</v>
      </c>
      <c r="B831" s="8" t="s">
        <v>58</v>
      </c>
      <c r="C831" s="9" t="s">
        <v>113</v>
      </c>
      <c r="D831" s="9" t="s">
        <v>40</v>
      </c>
      <c r="E831" s="9" t="s">
        <v>406</v>
      </c>
      <c r="F831" s="10">
        <v>48999</v>
      </c>
      <c r="G831" s="11">
        <v>1</v>
      </c>
      <c r="H831" s="12">
        <v>0.08</v>
      </c>
      <c r="I831" s="13">
        <v>3919.92</v>
      </c>
      <c r="J831" s="13">
        <v>45079.08</v>
      </c>
      <c r="K831" s="13">
        <v>11529.55</v>
      </c>
      <c r="L831" s="8" t="s">
        <v>1599</v>
      </c>
      <c r="M831" s="19" t="s">
        <v>1712</v>
      </c>
      <c r="N831" s="9" t="s">
        <v>22</v>
      </c>
      <c r="O831" s="9" t="s">
        <v>63</v>
      </c>
      <c r="P831">
        <f>DATEVALUE(OnePlusSalesData[[#This Row],[order_date]])</f>
        <v>43869</v>
      </c>
      <c r="Q831" s="28">
        <f>DATEVALUE(OnePlusSalesData[[#This Row],[delivery_date]])</f>
        <v>43873</v>
      </c>
    </row>
    <row r="832" spans="1:17" ht="16" x14ac:dyDescent="0.45">
      <c r="A832" s="2" t="s">
        <v>1760</v>
      </c>
      <c r="B832" s="2" t="s">
        <v>16</v>
      </c>
      <c r="C832" s="3" t="s">
        <v>39</v>
      </c>
      <c r="D832" s="3" t="s">
        <v>40</v>
      </c>
      <c r="E832" s="3" t="s">
        <v>148</v>
      </c>
      <c r="F832" s="4">
        <v>41999</v>
      </c>
      <c r="G832" s="5">
        <v>1</v>
      </c>
      <c r="H832" s="6">
        <v>0</v>
      </c>
      <c r="I832" s="7">
        <v>0</v>
      </c>
      <c r="J832" s="7">
        <v>41999</v>
      </c>
      <c r="K832" s="7">
        <v>9008.7099999999991</v>
      </c>
      <c r="L832" s="2" t="s">
        <v>929</v>
      </c>
      <c r="M832" s="18" t="s">
        <v>1465</v>
      </c>
      <c r="N832" s="3" t="s">
        <v>50</v>
      </c>
      <c r="O832" s="3" t="s">
        <v>23</v>
      </c>
      <c r="P832">
        <f>DATEVALUE(OnePlusSalesData[[#This Row],[order_date]])</f>
        <v>43430</v>
      </c>
      <c r="Q832" s="28">
        <f>DATEVALUE(OnePlusSalesData[[#This Row],[delivery_date]])</f>
        <v>43435</v>
      </c>
    </row>
    <row r="833" spans="1:17" ht="16" x14ac:dyDescent="0.45">
      <c r="A833" s="8" t="s">
        <v>1761</v>
      </c>
      <c r="B833" s="8" t="s">
        <v>16</v>
      </c>
      <c r="C833" s="9" t="s">
        <v>33</v>
      </c>
      <c r="D833" s="9" t="s">
        <v>34</v>
      </c>
      <c r="E833" s="9" t="s">
        <v>77</v>
      </c>
      <c r="F833" s="10">
        <v>24999</v>
      </c>
      <c r="G833" s="11">
        <v>1</v>
      </c>
      <c r="H833" s="12">
        <v>0.1</v>
      </c>
      <c r="I833" s="13">
        <v>2499.9</v>
      </c>
      <c r="J833" s="13">
        <v>22499.1</v>
      </c>
      <c r="K833" s="13">
        <v>5573.19</v>
      </c>
      <c r="L833" s="8" t="s">
        <v>1762</v>
      </c>
      <c r="M833" s="19" t="s">
        <v>1117</v>
      </c>
      <c r="N833" s="9" t="s">
        <v>92</v>
      </c>
      <c r="O833" s="9" t="s">
        <v>23</v>
      </c>
      <c r="P833">
        <f>DATEVALUE(OnePlusSalesData[[#This Row],[order_date]])</f>
        <v>43581</v>
      </c>
      <c r="Q833" s="28">
        <f>DATEVALUE(OnePlusSalesData[[#This Row],[delivery_date]])</f>
        <v>43586</v>
      </c>
    </row>
    <row r="834" spans="1:17" ht="16" x14ac:dyDescent="0.45">
      <c r="A834" s="2" t="s">
        <v>1763</v>
      </c>
      <c r="B834" s="2" t="s">
        <v>25</v>
      </c>
      <c r="C834" s="3" t="s">
        <v>120</v>
      </c>
      <c r="D834" s="3" t="s">
        <v>40</v>
      </c>
      <c r="E834" s="3" t="s">
        <v>148</v>
      </c>
      <c r="F834" s="4">
        <v>41999</v>
      </c>
      <c r="G834" s="5">
        <v>1</v>
      </c>
      <c r="H834" s="6">
        <v>0.08</v>
      </c>
      <c r="I834" s="7">
        <v>3359.92</v>
      </c>
      <c r="J834" s="7">
        <v>38639.08</v>
      </c>
      <c r="K834" s="7">
        <v>8942.7800000000007</v>
      </c>
      <c r="L834" s="2" t="s">
        <v>1764</v>
      </c>
      <c r="M834" s="18" t="s">
        <v>1765</v>
      </c>
      <c r="N834" s="3" t="s">
        <v>22</v>
      </c>
      <c r="O834" s="3" t="s">
        <v>31</v>
      </c>
      <c r="P834">
        <f>DATEVALUE(OnePlusSalesData[[#This Row],[order_date]])</f>
        <v>43707</v>
      </c>
      <c r="Q834" s="28">
        <f>DATEVALUE(OnePlusSalesData[[#This Row],[delivery_date]])</f>
        <v>43709</v>
      </c>
    </row>
    <row r="835" spans="1:17" ht="16" x14ac:dyDescent="0.45">
      <c r="A835" s="8" t="s">
        <v>1766</v>
      </c>
      <c r="B835" s="8" t="s">
        <v>25</v>
      </c>
      <c r="C835" s="9" t="s">
        <v>172</v>
      </c>
      <c r="D835" s="9" t="s">
        <v>18</v>
      </c>
      <c r="E835" s="9" t="s">
        <v>124</v>
      </c>
      <c r="F835" s="10">
        <v>3990</v>
      </c>
      <c r="G835" s="11">
        <v>1</v>
      </c>
      <c r="H835" s="12">
        <v>0</v>
      </c>
      <c r="I835" s="13">
        <v>0</v>
      </c>
      <c r="J835" s="13">
        <v>3990</v>
      </c>
      <c r="K835" s="13">
        <v>891.49</v>
      </c>
      <c r="L835" s="8" t="s">
        <v>720</v>
      </c>
      <c r="M835" s="19" t="s">
        <v>1767</v>
      </c>
      <c r="N835" s="9" t="s">
        <v>22</v>
      </c>
      <c r="O835" s="9" t="s">
        <v>63</v>
      </c>
      <c r="P835">
        <f>DATEVALUE(OnePlusSalesData[[#This Row],[order_date]])</f>
        <v>43119</v>
      </c>
      <c r="Q835" s="28">
        <f>DATEVALUE(OnePlusSalesData[[#This Row],[delivery_date]])</f>
        <v>43121</v>
      </c>
    </row>
    <row r="836" spans="1:17" ht="16" x14ac:dyDescent="0.45">
      <c r="A836" s="2" t="s">
        <v>1768</v>
      </c>
      <c r="B836" s="2" t="s">
        <v>58</v>
      </c>
      <c r="C836" s="3" t="s">
        <v>221</v>
      </c>
      <c r="D836" s="3" t="s">
        <v>18</v>
      </c>
      <c r="E836" s="3" t="s">
        <v>102</v>
      </c>
      <c r="F836" s="4">
        <v>1490</v>
      </c>
      <c r="G836" s="5">
        <v>4</v>
      </c>
      <c r="H836" s="6">
        <v>0.05</v>
      </c>
      <c r="I836" s="7">
        <v>298</v>
      </c>
      <c r="J836" s="7">
        <v>5662</v>
      </c>
      <c r="K836" s="7">
        <v>1151.06</v>
      </c>
      <c r="L836" s="2" t="s">
        <v>1735</v>
      </c>
      <c r="M836" s="18" t="s">
        <v>1086</v>
      </c>
      <c r="N836" s="3" t="s">
        <v>22</v>
      </c>
      <c r="O836" s="3" t="s">
        <v>31</v>
      </c>
      <c r="P836">
        <f>DATEVALUE(OnePlusSalesData[[#This Row],[order_date]])</f>
        <v>43998</v>
      </c>
      <c r="Q836" s="28">
        <f>DATEVALUE(OnePlusSalesData[[#This Row],[delivery_date]])</f>
        <v>44005</v>
      </c>
    </row>
    <row r="837" spans="1:17" ht="16" x14ac:dyDescent="0.45">
      <c r="A837" s="8" t="s">
        <v>1769</v>
      </c>
      <c r="B837" s="8" t="s">
        <v>52</v>
      </c>
      <c r="C837" s="9" t="s">
        <v>106</v>
      </c>
      <c r="D837" s="9" t="s">
        <v>40</v>
      </c>
      <c r="E837" s="9" t="s">
        <v>41</v>
      </c>
      <c r="F837" s="10">
        <v>37999</v>
      </c>
      <c r="G837" s="11">
        <v>1</v>
      </c>
      <c r="H837" s="12">
        <v>0.1</v>
      </c>
      <c r="I837" s="13">
        <v>3799.9</v>
      </c>
      <c r="J837" s="13">
        <v>34199.1</v>
      </c>
      <c r="K837" s="13">
        <v>8849.65</v>
      </c>
      <c r="L837" s="8" t="s">
        <v>1654</v>
      </c>
      <c r="M837" s="19" t="s">
        <v>1655</v>
      </c>
      <c r="N837" s="9" t="s">
        <v>22</v>
      </c>
      <c r="O837" s="9" t="s">
        <v>23</v>
      </c>
      <c r="P837">
        <f>DATEVALUE(OnePlusSalesData[[#This Row],[order_date]])</f>
        <v>43534</v>
      </c>
      <c r="Q837" s="28">
        <f>DATEVALUE(OnePlusSalesData[[#This Row],[delivery_date]])</f>
        <v>43536</v>
      </c>
    </row>
    <row r="838" spans="1:17" ht="16" x14ac:dyDescent="0.45">
      <c r="A838" s="2" t="s">
        <v>1770</v>
      </c>
      <c r="B838" s="2" t="s">
        <v>25</v>
      </c>
      <c r="C838" s="3" t="s">
        <v>172</v>
      </c>
      <c r="D838" s="3" t="s">
        <v>40</v>
      </c>
      <c r="E838" s="3" t="s">
        <v>98</v>
      </c>
      <c r="F838" s="4">
        <v>34999</v>
      </c>
      <c r="G838" s="5">
        <v>1</v>
      </c>
      <c r="H838" s="6">
        <v>0.05</v>
      </c>
      <c r="I838" s="7">
        <v>1749.95</v>
      </c>
      <c r="J838" s="7">
        <v>33249.050000000003</v>
      </c>
      <c r="K838" s="7">
        <v>7908.04</v>
      </c>
      <c r="L838" s="2" t="s">
        <v>617</v>
      </c>
      <c r="M838" s="18" t="s">
        <v>562</v>
      </c>
      <c r="N838" s="3" t="s">
        <v>22</v>
      </c>
      <c r="O838" s="3" t="s">
        <v>63</v>
      </c>
      <c r="P838">
        <f>DATEVALUE(OnePlusSalesData[[#This Row],[order_date]])</f>
        <v>43576</v>
      </c>
      <c r="Q838" s="28">
        <f>DATEVALUE(OnePlusSalesData[[#This Row],[delivery_date]])</f>
        <v>43583</v>
      </c>
    </row>
    <row r="839" spans="1:17" ht="16" x14ac:dyDescent="0.45">
      <c r="A839" s="8" t="s">
        <v>1771</v>
      </c>
      <c r="B839" s="8" t="s">
        <v>25</v>
      </c>
      <c r="C839" s="9" t="s">
        <v>65</v>
      </c>
      <c r="D839" s="9" t="s">
        <v>18</v>
      </c>
      <c r="E839" s="9" t="s">
        <v>179</v>
      </c>
      <c r="F839" s="10">
        <v>1290</v>
      </c>
      <c r="G839" s="11">
        <v>3</v>
      </c>
      <c r="H839" s="12">
        <v>0</v>
      </c>
      <c r="I839" s="13">
        <v>0</v>
      </c>
      <c r="J839" s="13">
        <v>3870</v>
      </c>
      <c r="K839" s="13">
        <v>826.87</v>
      </c>
      <c r="L839" s="8" t="s">
        <v>1731</v>
      </c>
      <c r="M839" s="19" t="s">
        <v>690</v>
      </c>
      <c r="N839" s="9" t="s">
        <v>22</v>
      </c>
      <c r="O839" s="9" t="s">
        <v>63</v>
      </c>
      <c r="P839">
        <f>DATEVALUE(OnePlusSalesData[[#This Row],[order_date]])</f>
        <v>43556</v>
      </c>
      <c r="Q839" s="28">
        <f>DATEVALUE(OnePlusSalesData[[#This Row],[delivery_date]])</f>
        <v>43562</v>
      </c>
    </row>
    <row r="840" spans="1:17" ht="16" x14ac:dyDescent="0.45">
      <c r="A840" s="2" t="s">
        <v>1772</v>
      </c>
      <c r="B840" s="2" t="s">
        <v>52</v>
      </c>
      <c r="C840" s="3" t="s">
        <v>192</v>
      </c>
      <c r="D840" s="3" t="s">
        <v>18</v>
      </c>
      <c r="E840" s="3" t="s">
        <v>179</v>
      </c>
      <c r="F840" s="4">
        <v>1290</v>
      </c>
      <c r="G840" s="5">
        <v>1</v>
      </c>
      <c r="H840" s="6">
        <v>0.05</v>
      </c>
      <c r="I840" s="7">
        <v>64.5</v>
      </c>
      <c r="J840" s="7">
        <v>1225.5</v>
      </c>
      <c r="K840" s="7">
        <v>186.71</v>
      </c>
      <c r="L840" s="2" t="s">
        <v>1682</v>
      </c>
      <c r="M840" s="18" t="s">
        <v>1012</v>
      </c>
      <c r="N840" s="3" t="s">
        <v>22</v>
      </c>
      <c r="O840" s="3" t="s">
        <v>146</v>
      </c>
      <c r="P840">
        <f>DATEVALUE(OnePlusSalesData[[#This Row],[order_date]])</f>
        <v>43403</v>
      </c>
      <c r="Q840" s="28">
        <f>DATEVALUE(OnePlusSalesData[[#This Row],[delivery_date]])</f>
        <v>43410</v>
      </c>
    </row>
    <row r="841" spans="1:17" ht="16" x14ac:dyDescent="0.45">
      <c r="A841" s="8" t="s">
        <v>1773</v>
      </c>
      <c r="B841" s="8" t="s">
        <v>16</v>
      </c>
      <c r="C841" s="9" t="s">
        <v>17</v>
      </c>
      <c r="D841" s="9" t="s">
        <v>40</v>
      </c>
      <c r="E841" s="9" t="s">
        <v>73</v>
      </c>
      <c r="F841" s="10">
        <v>32999</v>
      </c>
      <c r="G841" s="11">
        <v>1</v>
      </c>
      <c r="H841" s="12">
        <v>0.05</v>
      </c>
      <c r="I841" s="13">
        <v>1649.95</v>
      </c>
      <c r="J841" s="13">
        <v>31349.05</v>
      </c>
      <c r="K841" s="13">
        <v>7410.81</v>
      </c>
      <c r="L841" s="8" t="s">
        <v>1591</v>
      </c>
      <c r="M841" s="19" t="s">
        <v>1361</v>
      </c>
      <c r="N841" s="9" t="s">
        <v>22</v>
      </c>
      <c r="O841" s="9" t="s">
        <v>31</v>
      </c>
      <c r="P841">
        <f>DATEVALUE(OnePlusSalesData[[#This Row],[order_date]])</f>
        <v>43775</v>
      </c>
      <c r="Q841" s="28">
        <f>DATEVALUE(OnePlusSalesData[[#This Row],[delivery_date]])</f>
        <v>43781</v>
      </c>
    </row>
    <row r="842" spans="1:17" ht="16" x14ac:dyDescent="0.45">
      <c r="A842" s="2" t="s">
        <v>1774</v>
      </c>
      <c r="B842" s="2" t="s">
        <v>25</v>
      </c>
      <c r="C842" s="3" t="s">
        <v>133</v>
      </c>
      <c r="D842" s="3" t="s">
        <v>85</v>
      </c>
      <c r="E842" s="3" t="s">
        <v>86</v>
      </c>
      <c r="F842" s="4">
        <v>1999</v>
      </c>
      <c r="G842" s="5">
        <v>1</v>
      </c>
      <c r="H842" s="6">
        <v>0.12</v>
      </c>
      <c r="I842" s="7">
        <v>239.88</v>
      </c>
      <c r="J842" s="7">
        <v>1759.12</v>
      </c>
      <c r="K842" s="7">
        <v>349.55</v>
      </c>
      <c r="L842" s="2" t="s">
        <v>1775</v>
      </c>
      <c r="M842" s="18" t="s">
        <v>1306</v>
      </c>
      <c r="N842" s="3" t="s">
        <v>22</v>
      </c>
      <c r="O842" s="3" t="s">
        <v>63</v>
      </c>
      <c r="P842">
        <f>DATEVALUE(OnePlusSalesData[[#This Row],[order_date]])</f>
        <v>43402</v>
      </c>
      <c r="Q842" s="28">
        <f>DATEVALUE(OnePlusSalesData[[#This Row],[delivery_date]])</f>
        <v>43409</v>
      </c>
    </row>
    <row r="843" spans="1:17" ht="16" x14ac:dyDescent="0.45">
      <c r="A843" s="8" t="s">
        <v>1776</v>
      </c>
      <c r="B843" s="8" t="s">
        <v>16</v>
      </c>
      <c r="C843" s="9" t="s">
        <v>17</v>
      </c>
      <c r="D843" s="9" t="s">
        <v>40</v>
      </c>
      <c r="E843" s="9" t="s">
        <v>98</v>
      </c>
      <c r="F843" s="10">
        <v>34999</v>
      </c>
      <c r="G843" s="11">
        <v>1</v>
      </c>
      <c r="H843" s="12">
        <v>0.08</v>
      </c>
      <c r="I843" s="13">
        <v>2799.92</v>
      </c>
      <c r="J843" s="13">
        <v>32199.08</v>
      </c>
      <c r="K843" s="13">
        <v>7317.43</v>
      </c>
      <c r="L843" s="8" t="s">
        <v>1479</v>
      </c>
      <c r="M843" s="19" t="s">
        <v>366</v>
      </c>
      <c r="N843" s="9" t="s">
        <v>44</v>
      </c>
      <c r="O843" s="9" t="s">
        <v>23</v>
      </c>
      <c r="P843">
        <f>DATEVALUE(OnePlusSalesData[[#This Row],[order_date]])</f>
        <v>43839</v>
      </c>
      <c r="Q843" s="28">
        <f>DATEVALUE(OnePlusSalesData[[#This Row],[delivery_date]])</f>
        <v>43844</v>
      </c>
    </row>
    <row r="844" spans="1:17" ht="16" x14ac:dyDescent="0.45">
      <c r="A844" s="2" t="s">
        <v>1777</v>
      </c>
      <c r="B844" s="2" t="s">
        <v>25</v>
      </c>
      <c r="C844" s="3" t="s">
        <v>133</v>
      </c>
      <c r="D844" s="3" t="s">
        <v>18</v>
      </c>
      <c r="E844" s="3" t="s">
        <v>124</v>
      </c>
      <c r="F844" s="4">
        <v>3990</v>
      </c>
      <c r="G844" s="5">
        <v>2</v>
      </c>
      <c r="H844" s="6">
        <v>0.05</v>
      </c>
      <c r="I844" s="7">
        <v>399</v>
      </c>
      <c r="J844" s="7">
        <v>7581</v>
      </c>
      <c r="K844" s="7">
        <v>1671.34</v>
      </c>
      <c r="L844" s="2" t="s">
        <v>781</v>
      </c>
      <c r="M844" s="18" t="s">
        <v>1214</v>
      </c>
      <c r="N844" s="3" t="s">
        <v>44</v>
      </c>
      <c r="O844" s="3" t="s">
        <v>23</v>
      </c>
      <c r="P844">
        <f>DATEVALUE(OnePlusSalesData[[#This Row],[order_date]])</f>
        <v>43425</v>
      </c>
      <c r="Q844" s="28">
        <f>DATEVALUE(OnePlusSalesData[[#This Row],[delivery_date]])</f>
        <v>43431</v>
      </c>
    </row>
    <row r="845" spans="1:17" ht="16" x14ac:dyDescent="0.45">
      <c r="A845" s="8" t="s">
        <v>1778</v>
      </c>
      <c r="B845" s="8" t="s">
        <v>16</v>
      </c>
      <c r="C845" s="9" t="s">
        <v>39</v>
      </c>
      <c r="D845" s="9" t="s">
        <v>40</v>
      </c>
      <c r="E845" s="9" t="s">
        <v>73</v>
      </c>
      <c r="F845" s="10">
        <v>32999</v>
      </c>
      <c r="G845" s="11">
        <v>1</v>
      </c>
      <c r="H845" s="12">
        <v>0.05</v>
      </c>
      <c r="I845" s="13">
        <v>1649.95</v>
      </c>
      <c r="J845" s="13">
        <v>31349.05</v>
      </c>
      <c r="K845" s="13">
        <v>6702.77</v>
      </c>
      <c r="L845" s="8" t="s">
        <v>457</v>
      </c>
      <c r="M845" s="19" t="s">
        <v>804</v>
      </c>
      <c r="N845" s="9" t="s">
        <v>22</v>
      </c>
      <c r="O845" s="9" t="s">
        <v>31</v>
      </c>
      <c r="P845">
        <f>DATEVALUE(OnePlusSalesData[[#This Row],[order_date]])</f>
        <v>43325</v>
      </c>
      <c r="Q845" s="28">
        <f>DATEVALUE(OnePlusSalesData[[#This Row],[delivery_date]])</f>
        <v>43327</v>
      </c>
    </row>
    <row r="846" spans="1:17" ht="16" x14ac:dyDescent="0.45">
      <c r="A846" s="2" t="s">
        <v>1779</v>
      </c>
      <c r="B846" s="2" t="s">
        <v>25</v>
      </c>
      <c r="C846" s="3" t="s">
        <v>133</v>
      </c>
      <c r="D846" s="3" t="s">
        <v>40</v>
      </c>
      <c r="E846" s="3" t="s">
        <v>148</v>
      </c>
      <c r="F846" s="4">
        <v>41999</v>
      </c>
      <c r="G846" s="5">
        <v>3</v>
      </c>
      <c r="H846" s="6">
        <v>0.08</v>
      </c>
      <c r="I846" s="7">
        <v>10079.76</v>
      </c>
      <c r="J846" s="7">
        <v>115917.24</v>
      </c>
      <c r="K846" s="7">
        <v>21158.48</v>
      </c>
      <c r="L846" s="2" t="s">
        <v>345</v>
      </c>
      <c r="M846" s="18" t="s">
        <v>1574</v>
      </c>
      <c r="N846" s="3" t="s">
        <v>22</v>
      </c>
      <c r="O846" s="3" t="s">
        <v>146</v>
      </c>
      <c r="P846">
        <f>DATEVALUE(OnePlusSalesData[[#This Row],[order_date]])</f>
        <v>43838</v>
      </c>
      <c r="Q846" s="28">
        <f>DATEVALUE(OnePlusSalesData[[#This Row],[delivery_date]])</f>
        <v>43841</v>
      </c>
    </row>
    <row r="847" spans="1:17" ht="16" x14ac:dyDescent="0.45">
      <c r="A847" s="8" t="s">
        <v>1780</v>
      </c>
      <c r="B847" s="8" t="s">
        <v>58</v>
      </c>
      <c r="C847" s="9" t="s">
        <v>221</v>
      </c>
      <c r="D847" s="9" t="s">
        <v>85</v>
      </c>
      <c r="E847" s="9" t="s">
        <v>86</v>
      </c>
      <c r="F847" s="10">
        <v>1999</v>
      </c>
      <c r="G847" s="11">
        <v>1</v>
      </c>
      <c r="H847" s="12">
        <v>0</v>
      </c>
      <c r="I847" s="13">
        <v>0</v>
      </c>
      <c r="J847" s="13">
        <v>1999</v>
      </c>
      <c r="K847" s="13">
        <v>327.95</v>
      </c>
      <c r="L847" s="8" t="s">
        <v>459</v>
      </c>
      <c r="M847" s="19" t="s">
        <v>460</v>
      </c>
      <c r="N847" s="9" t="s">
        <v>50</v>
      </c>
      <c r="O847" s="9" t="s">
        <v>23</v>
      </c>
      <c r="P847">
        <f>DATEVALUE(OnePlusSalesData[[#This Row],[order_date]])</f>
        <v>44000</v>
      </c>
      <c r="Q847" s="28">
        <f>DATEVALUE(OnePlusSalesData[[#This Row],[delivery_date]])</f>
        <v>44007</v>
      </c>
    </row>
    <row r="848" spans="1:17" ht="16" x14ac:dyDescent="0.45">
      <c r="A848" s="2" t="s">
        <v>1781</v>
      </c>
      <c r="B848" s="2" t="s">
        <v>16</v>
      </c>
      <c r="C848" s="3" t="s">
        <v>17</v>
      </c>
      <c r="D848" s="3" t="s">
        <v>18</v>
      </c>
      <c r="E848" s="3" t="s">
        <v>102</v>
      </c>
      <c r="F848" s="4">
        <v>1490</v>
      </c>
      <c r="G848" s="5">
        <v>1</v>
      </c>
      <c r="H848" s="6">
        <v>0.05</v>
      </c>
      <c r="I848" s="7">
        <v>74.5</v>
      </c>
      <c r="J848" s="7">
        <v>1415.5</v>
      </c>
      <c r="K848" s="7">
        <v>238.35</v>
      </c>
      <c r="L848" s="2" t="s">
        <v>1735</v>
      </c>
      <c r="M848" s="18" t="s">
        <v>1736</v>
      </c>
      <c r="N848" s="3" t="s">
        <v>22</v>
      </c>
      <c r="O848" s="3" t="s">
        <v>45</v>
      </c>
      <c r="P848">
        <f>DATEVALUE(OnePlusSalesData[[#This Row],[order_date]])</f>
        <v>43998</v>
      </c>
      <c r="Q848" s="28">
        <f>DATEVALUE(OnePlusSalesData[[#This Row],[delivery_date]])</f>
        <v>44004</v>
      </c>
    </row>
    <row r="849" spans="1:17" ht="16" x14ac:dyDescent="0.45">
      <c r="A849" s="8" t="s">
        <v>1782</v>
      </c>
      <c r="B849" s="8" t="s">
        <v>16</v>
      </c>
      <c r="C849" s="9" t="s">
        <v>17</v>
      </c>
      <c r="D849" s="9" t="s">
        <v>40</v>
      </c>
      <c r="E849" s="9" t="s">
        <v>406</v>
      </c>
      <c r="F849" s="10">
        <v>48999</v>
      </c>
      <c r="G849" s="11">
        <v>1</v>
      </c>
      <c r="H849" s="12">
        <v>0.08</v>
      </c>
      <c r="I849" s="13">
        <v>3919.92</v>
      </c>
      <c r="J849" s="13">
        <v>45079.08</v>
      </c>
      <c r="K849" s="13">
        <v>7663.89</v>
      </c>
      <c r="L849" s="8" t="s">
        <v>438</v>
      </c>
      <c r="M849" s="19" t="s">
        <v>1783</v>
      </c>
      <c r="N849" s="9" t="s">
        <v>22</v>
      </c>
      <c r="O849" s="9" t="s">
        <v>31</v>
      </c>
      <c r="P849">
        <f>DATEVALUE(OnePlusSalesData[[#This Row],[order_date]])</f>
        <v>44184</v>
      </c>
      <c r="Q849" s="28">
        <f>DATEVALUE(OnePlusSalesData[[#This Row],[delivery_date]])</f>
        <v>44188</v>
      </c>
    </row>
    <row r="850" spans="1:17" ht="16" x14ac:dyDescent="0.45">
      <c r="A850" s="2" t="s">
        <v>1784</v>
      </c>
      <c r="B850" s="2" t="s">
        <v>16</v>
      </c>
      <c r="C850" s="3" t="s">
        <v>17</v>
      </c>
      <c r="D850" s="3" t="s">
        <v>40</v>
      </c>
      <c r="E850" s="3" t="s">
        <v>60</v>
      </c>
      <c r="F850" s="4">
        <v>54999</v>
      </c>
      <c r="G850" s="5">
        <v>1</v>
      </c>
      <c r="H850" s="6">
        <v>0</v>
      </c>
      <c r="I850" s="7">
        <v>0</v>
      </c>
      <c r="J850" s="7">
        <v>54999</v>
      </c>
      <c r="K850" s="7">
        <v>8065.05</v>
      </c>
      <c r="L850" s="2" t="s">
        <v>1271</v>
      </c>
      <c r="M850" s="18" t="s">
        <v>662</v>
      </c>
      <c r="N850" s="3" t="s">
        <v>22</v>
      </c>
      <c r="O850" s="3" t="s">
        <v>63</v>
      </c>
      <c r="P850">
        <f>DATEVALUE(OnePlusSalesData[[#This Row],[order_date]])</f>
        <v>43692</v>
      </c>
      <c r="Q850" s="28">
        <f>DATEVALUE(OnePlusSalesData[[#This Row],[delivery_date]])</f>
        <v>43695</v>
      </c>
    </row>
    <row r="851" spans="1:17" ht="16" x14ac:dyDescent="0.45">
      <c r="A851" s="8" t="s">
        <v>1785</v>
      </c>
      <c r="B851" s="8" t="s">
        <v>16</v>
      </c>
      <c r="C851" s="9" t="s">
        <v>152</v>
      </c>
      <c r="D851" s="9" t="s">
        <v>34</v>
      </c>
      <c r="E851" s="9" t="s">
        <v>35</v>
      </c>
      <c r="F851" s="10">
        <v>19999</v>
      </c>
      <c r="G851" s="11">
        <v>1</v>
      </c>
      <c r="H851" s="12">
        <v>0.15</v>
      </c>
      <c r="I851" s="13">
        <v>2999.85</v>
      </c>
      <c r="J851" s="13">
        <v>16999.150000000001</v>
      </c>
      <c r="K851" s="13">
        <v>2987.27</v>
      </c>
      <c r="L851" s="8" t="s">
        <v>1748</v>
      </c>
      <c r="M851" s="19" t="s">
        <v>1652</v>
      </c>
      <c r="N851" s="9" t="s">
        <v>92</v>
      </c>
      <c r="O851" s="9" t="s">
        <v>23</v>
      </c>
      <c r="P851">
        <f>DATEVALUE(OnePlusSalesData[[#This Row],[order_date]])</f>
        <v>43726</v>
      </c>
      <c r="Q851" s="28">
        <f>DATEVALUE(OnePlusSalesData[[#This Row],[delivery_date]])</f>
        <v>43730</v>
      </c>
    </row>
    <row r="852" spans="1:17" ht="16" x14ac:dyDescent="0.45">
      <c r="A852" s="2" t="s">
        <v>1786</v>
      </c>
      <c r="B852" s="2" t="s">
        <v>52</v>
      </c>
      <c r="C852" s="3" t="s">
        <v>358</v>
      </c>
      <c r="D852" s="3" t="s">
        <v>18</v>
      </c>
      <c r="E852" s="3" t="s">
        <v>179</v>
      </c>
      <c r="F852" s="4">
        <v>1290</v>
      </c>
      <c r="G852" s="5">
        <v>1</v>
      </c>
      <c r="H852" s="6">
        <v>0</v>
      </c>
      <c r="I852" s="7">
        <v>0</v>
      </c>
      <c r="J852" s="7">
        <v>1290</v>
      </c>
      <c r="K852" s="7">
        <v>240.76</v>
      </c>
      <c r="L852" s="2" t="s">
        <v>1134</v>
      </c>
      <c r="M852" s="18" t="s">
        <v>462</v>
      </c>
      <c r="N852" s="3" t="s">
        <v>92</v>
      </c>
      <c r="O852" s="3" t="s">
        <v>23</v>
      </c>
      <c r="P852">
        <f>DATEVALUE(OnePlusSalesData[[#This Row],[order_date]])</f>
        <v>44002</v>
      </c>
      <c r="Q852" s="28">
        <f>DATEVALUE(OnePlusSalesData[[#This Row],[delivery_date]])</f>
        <v>44009</v>
      </c>
    </row>
    <row r="853" spans="1:17" ht="16" x14ac:dyDescent="0.45">
      <c r="A853" s="8" t="s">
        <v>1787</v>
      </c>
      <c r="B853" s="8" t="s">
        <v>16</v>
      </c>
      <c r="C853" s="9" t="s">
        <v>39</v>
      </c>
      <c r="D853" s="9" t="s">
        <v>85</v>
      </c>
      <c r="E853" s="9" t="s">
        <v>265</v>
      </c>
      <c r="F853" s="10">
        <v>4990</v>
      </c>
      <c r="G853" s="11">
        <v>3</v>
      </c>
      <c r="H853" s="12">
        <v>0</v>
      </c>
      <c r="I853" s="13">
        <v>0</v>
      </c>
      <c r="J853" s="13">
        <v>14970</v>
      </c>
      <c r="K853" s="13">
        <v>2803.73</v>
      </c>
      <c r="L853" s="8" t="s">
        <v>312</v>
      </c>
      <c r="M853" s="19" t="s">
        <v>397</v>
      </c>
      <c r="N853" s="9" t="s">
        <v>22</v>
      </c>
      <c r="O853" s="9" t="s">
        <v>23</v>
      </c>
      <c r="P853">
        <f>DATEVALUE(OnePlusSalesData[[#This Row],[order_date]])</f>
        <v>43979</v>
      </c>
      <c r="Q853" s="28">
        <f>DATEVALUE(OnePlusSalesData[[#This Row],[delivery_date]])</f>
        <v>43985</v>
      </c>
    </row>
    <row r="854" spans="1:17" ht="16" x14ac:dyDescent="0.45">
      <c r="A854" s="2" t="s">
        <v>1788</v>
      </c>
      <c r="B854" s="2" t="s">
        <v>16</v>
      </c>
      <c r="C854" s="3" t="s">
        <v>39</v>
      </c>
      <c r="D854" s="3" t="s">
        <v>27</v>
      </c>
      <c r="E854" s="3" t="s">
        <v>159</v>
      </c>
      <c r="F854" s="4">
        <v>22999</v>
      </c>
      <c r="G854" s="5">
        <v>2</v>
      </c>
      <c r="H854" s="6">
        <v>0.05</v>
      </c>
      <c r="I854" s="7">
        <v>2299.9</v>
      </c>
      <c r="J854" s="7">
        <v>43698.1</v>
      </c>
      <c r="K854" s="7">
        <v>10818.8</v>
      </c>
      <c r="L854" s="2" t="s">
        <v>1049</v>
      </c>
      <c r="M854" s="18" t="s">
        <v>307</v>
      </c>
      <c r="N854" s="3" t="s">
        <v>22</v>
      </c>
      <c r="O854" s="3" t="s">
        <v>31</v>
      </c>
      <c r="P854">
        <f>DATEVALUE(OnePlusSalesData[[#This Row],[order_date]])</f>
        <v>43970</v>
      </c>
      <c r="Q854" s="28">
        <f>DATEVALUE(OnePlusSalesData[[#This Row],[delivery_date]])</f>
        <v>43972</v>
      </c>
    </row>
    <row r="855" spans="1:17" ht="16" x14ac:dyDescent="0.45">
      <c r="A855" s="8" t="s">
        <v>1789</v>
      </c>
      <c r="B855" s="8" t="s">
        <v>16</v>
      </c>
      <c r="C855" s="9" t="s">
        <v>33</v>
      </c>
      <c r="D855" s="9" t="s">
        <v>27</v>
      </c>
      <c r="E855" s="9" t="s">
        <v>176</v>
      </c>
      <c r="F855" s="10">
        <v>69900</v>
      </c>
      <c r="G855" s="11">
        <v>2</v>
      </c>
      <c r="H855" s="12">
        <v>0.1</v>
      </c>
      <c r="I855" s="13">
        <v>13980</v>
      </c>
      <c r="J855" s="13">
        <v>125820</v>
      </c>
      <c r="K855" s="13">
        <v>24841.57</v>
      </c>
      <c r="L855" s="8" t="s">
        <v>1642</v>
      </c>
      <c r="M855" s="19" t="s">
        <v>1235</v>
      </c>
      <c r="N855" s="9" t="s">
        <v>22</v>
      </c>
      <c r="O855" s="9" t="s">
        <v>23</v>
      </c>
      <c r="P855">
        <f>DATEVALUE(OnePlusSalesData[[#This Row],[order_date]])</f>
        <v>43805</v>
      </c>
      <c r="Q855" s="28">
        <f>DATEVALUE(OnePlusSalesData[[#This Row],[delivery_date]])</f>
        <v>43809</v>
      </c>
    </row>
    <row r="856" spans="1:17" ht="16" x14ac:dyDescent="0.45">
      <c r="A856" s="2" t="s">
        <v>1790</v>
      </c>
      <c r="B856" s="2" t="s">
        <v>52</v>
      </c>
      <c r="C856" s="3" t="s">
        <v>106</v>
      </c>
      <c r="D856" s="3" t="s">
        <v>18</v>
      </c>
      <c r="E856" s="3" t="s">
        <v>19</v>
      </c>
      <c r="F856" s="4">
        <v>1990</v>
      </c>
      <c r="G856" s="5">
        <v>2</v>
      </c>
      <c r="H856" s="6">
        <v>0.08</v>
      </c>
      <c r="I856" s="7">
        <v>318.39999999999998</v>
      </c>
      <c r="J856" s="7">
        <v>3661.6</v>
      </c>
      <c r="K856" s="7">
        <v>834.45</v>
      </c>
      <c r="L856" s="2" t="s">
        <v>1791</v>
      </c>
      <c r="M856" s="18" t="s">
        <v>1186</v>
      </c>
      <c r="N856" s="3" t="s">
        <v>22</v>
      </c>
      <c r="O856" s="3" t="s">
        <v>63</v>
      </c>
      <c r="P856">
        <f>DATEVALUE(OnePlusSalesData[[#This Row],[order_date]])</f>
        <v>43747</v>
      </c>
      <c r="Q856" s="28">
        <f>DATEVALUE(OnePlusSalesData[[#This Row],[delivery_date]])</f>
        <v>43749</v>
      </c>
    </row>
    <row r="857" spans="1:17" ht="16" x14ac:dyDescent="0.45">
      <c r="A857" s="8" t="s">
        <v>1792</v>
      </c>
      <c r="B857" s="8" t="s">
        <v>16</v>
      </c>
      <c r="C857" s="9" t="s">
        <v>17</v>
      </c>
      <c r="D857" s="9" t="s">
        <v>85</v>
      </c>
      <c r="E857" s="9" t="s">
        <v>228</v>
      </c>
      <c r="F857" s="10">
        <v>5990</v>
      </c>
      <c r="G857" s="11">
        <v>2</v>
      </c>
      <c r="H857" s="12">
        <v>0</v>
      </c>
      <c r="I857" s="13">
        <v>0</v>
      </c>
      <c r="J857" s="13">
        <v>11980</v>
      </c>
      <c r="K857" s="13">
        <v>2304.35</v>
      </c>
      <c r="L857" s="8" t="s">
        <v>1382</v>
      </c>
      <c r="M857" s="19" t="s">
        <v>1793</v>
      </c>
      <c r="N857" s="9" t="s">
        <v>22</v>
      </c>
      <c r="O857" s="9" t="s">
        <v>96</v>
      </c>
      <c r="P857">
        <f>DATEVALUE(OnePlusSalesData[[#This Row],[order_date]])</f>
        <v>43516</v>
      </c>
      <c r="Q857" s="28">
        <f>DATEVALUE(OnePlusSalesData[[#This Row],[delivery_date]])</f>
        <v>43523</v>
      </c>
    </row>
    <row r="858" spans="1:17" ht="16" x14ac:dyDescent="0.45">
      <c r="A858" s="2" t="s">
        <v>1794</v>
      </c>
      <c r="B858" s="2" t="s">
        <v>25</v>
      </c>
      <c r="C858" s="3" t="s">
        <v>133</v>
      </c>
      <c r="D858" s="3" t="s">
        <v>18</v>
      </c>
      <c r="E858" s="3" t="s">
        <v>179</v>
      </c>
      <c r="F858" s="4">
        <v>1290</v>
      </c>
      <c r="G858" s="5">
        <v>3</v>
      </c>
      <c r="H858" s="6">
        <v>0.1</v>
      </c>
      <c r="I858" s="7">
        <v>387</v>
      </c>
      <c r="J858" s="7">
        <v>3483</v>
      </c>
      <c r="K858" s="7">
        <v>558.19000000000005</v>
      </c>
      <c r="L858" s="2" t="s">
        <v>1795</v>
      </c>
      <c r="M858" s="18" t="s">
        <v>596</v>
      </c>
      <c r="N858" s="3" t="s">
        <v>22</v>
      </c>
      <c r="O858" s="3" t="s">
        <v>96</v>
      </c>
      <c r="P858">
        <f>DATEVALUE(OnePlusSalesData[[#This Row],[order_date]])</f>
        <v>43456</v>
      </c>
      <c r="Q858" s="28">
        <f>DATEVALUE(OnePlusSalesData[[#This Row],[delivery_date]])</f>
        <v>43462</v>
      </c>
    </row>
    <row r="859" spans="1:17" ht="16" x14ac:dyDescent="0.45">
      <c r="A859" s="8" t="s">
        <v>1796</v>
      </c>
      <c r="B859" s="8" t="s">
        <v>25</v>
      </c>
      <c r="C859" s="9" t="s">
        <v>133</v>
      </c>
      <c r="D859" s="9" t="s">
        <v>27</v>
      </c>
      <c r="E859" s="9" t="s">
        <v>176</v>
      </c>
      <c r="F859" s="10">
        <v>69900</v>
      </c>
      <c r="G859" s="11">
        <v>1</v>
      </c>
      <c r="H859" s="12">
        <v>0.08</v>
      </c>
      <c r="I859" s="13">
        <v>5592</v>
      </c>
      <c r="J859" s="13">
        <v>64308</v>
      </c>
      <c r="K859" s="13">
        <v>11776.12</v>
      </c>
      <c r="L859" s="8" t="s">
        <v>1797</v>
      </c>
      <c r="M859" s="19" t="s">
        <v>20</v>
      </c>
      <c r="N859" s="9" t="s">
        <v>22</v>
      </c>
      <c r="O859" s="9" t="s">
        <v>23</v>
      </c>
      <c r="P859">
        <f>DATEVALUE(OnePlusSalesData[[#This Row],[order_date]])</f>
        <v>43564</v>
      </c>
      <c r="Q859" s="28">
        <f>DATEVALUE(OnePlusSalesData[[#This Row],[delivery_date]])</f>
        <v>43567</v>
      </c>
    </row>
    <row r="860" spans="1:17" ht="16" x14ac:dyDescent="0.45">
      <c r="A860" s="2" t="s">
        <v>1798</v>
      </c>
      <c r="B860" s="2" t="s">
        <v>25</v>
      </c>
      <c r="C860" s="3" t="s">
        <v>120</v>
      </c>
      <c r="D860" s="3" t="s">
        <v>85</v>
      </c>
      <c r="E860" s="3" t="s">
        <v>265</v>
      </c>
      <c r="F860" s="4">
        <v>4990</v>
      </c>
      <c r="G860" s="5">
        <v>2</v>
      </c>
      <c r="H860" s="6">
        <v>0.08</v>
      </c>
      <c r="I860" s="7">
        <v>798.4</v>
      </c>
      <c r="J860" s="7">
        <v>9181.6</v>
      </c>
      <c r="K860" s="7">
        <v>2312.1999999999998</v>
      </c>
      <c r="L860" s="2" t="s">
        <v>1408</v>
      </c>
      <c r="M860" s="18" t="s">
        <v>1706</v>
      </c>
      <c r="N860" s="3" t="s">
        <v>22</v>
      </c>
      <c r="O860" s="3" t="s">
        <v>63</v>
      </c>
      <c r="P860">
        <f>DATEVALUE(OnePlusSalesData[[#This Row],[order_date]])</f>
        <v>43776</v>
      </c>
      <c r="Q860" s="28">
        <f>DATEVALUE(OnePlusSalesData[[#This Row],[delivery_date]])</f>
        <v>43780</v>
      </c>
    </row>
    <row r="861" spans="1:17" ht="16" x14ac:dyDescent="0.45">
      <c r="A861" s="8" t="s">
        <v>1799</v>
      </c>
      <c r="B861" s="8" t="s">
        <v>25</v>
      </c>
      <c r="C861" s="9" t="s">
        <v>26</v>
      </c>
      <c r="D861" s="9" t="s">
        <v>40</v>
      </c>
      <c r="E861" s="9" t="s">
        <v>54</v>
      </c>
      <c r="F861" s="10">
        <v>53999</v>
      </c>
      <c r="G861" s="11">
        <v>1</v>
      </c>
      <c r="H861" s="12">
        <v>0.08</v>
      </c>
      <c r="I861" s="13">
        <v>4319.92</v>
      </c>
      <c r="J861" s="13">
        <v>49679.08</v>
      </c>
      <c r="K861" s="13">
        <v>11912.49</v>
      </c>
      <c r="L861" s="8" t="s">
        <v>303</v>
      </c>
      <c r="M861" s="19" t="s">
        <v>304</v>
      </c>
      <c r="N861" s="9" t="s">
        <v>22</v>
      </c>
      <c r="O861" s="9" t="s">
        <v>146</v>
      </c>
      <c r="P861">
        <f>DATEVALUE(OnePlusSalesData[[#This Row],[order_date]])</f>
        <v>43578</v>
      </c>
      <c r="Q861" s="28">
        <f>DATEVALUE(OnePlusSalesData[[#This Row],[delivery_date]])</f>
        <v>43582</v>
      </c>
    </row>
    <row r="862" spans="1:17" ht="16" x14ac:dyDescent="0.45">
      <c r="A862" s="2" t="s">
        <v>1800</v>
      </c>
      <c r="B862" s="2" t="s">
        <v>16</v>
      </c>
      <c r="C862" s="3" t="s">
        <v>152</v>
      </c>
      <c r="D862" s="3" t="s">
        <v>40</v>
      </c>
      <c r="E862" s="3" t="s">
        <v>148</v>
      </c>
      <c r="F862" s="4">
        <v>41999</v>
      </c>
      <c r="G862" s="5">
        <v>1</v>
      </c>
      <c r="H862" s="6">
        <v>0.08</v>
      </c>
      <c r="I862" s="7">
        <v>3359.92</v>
      </c>
      <c r="J862" s="7">
        <v>38639.08</v>
      </c>
      <c r="K862" s="7">
        <v>5553.07</v>
      </c>
      <c r="L862" s="2" t="s">
        <v>211</v>
      </c>
      <c r="M862" s="18" t="s">
        <v>955</v>
      </c>
      <c r="N862" s="3" t="s">
        <v>22</v>
      </c>
      <c r="O862" s="3" t="s">
        <v>96</v>
      </c>
      <c r="P862">
        <f>DATEVALUE(OnePlusSalesData[[#This Row],[order_date]])</f>
        <v>43610</v>
      </c>
      <c r="Q862" s="28">
        <f>DATEVALUE(OnePlusSalesData[[#This Row],[delivery_date]])</f>
        <v>43617</v>
      </c>
    </row>
    <row r="863" spans="1:17" ht="16" x14ac:dyDescent="0.45">
      <c r="A863" s="8" t="s">
        <v>1801</v>
      </c>
      <c r="B863" s="8" t="s">
        <v>25</v>
      </c>
      <c r="C863" s="9" t="s">
        <v>26</v>
      </c>
      <c r="D863" s="9" t="s">
        <v>27</v>
      </c>
      <c r="E863" s="9" t="s">
        <v>28</v>
      </c>
      <c r="F863" s="10">
        <v>12999</v>
      </c>
      <c r="G863" s="11">
        <v>1</v>
      </c>
      <c r="H863" s="12">
        <v>0.12</v>
      </c>
      <c r="I863" s="13">
        <v>1559.88</v>
      </c>
      <c r="J863" s="13">
        <v>11439.12</v>
      </c>
      <c r="K863" s="13">
        <v>2310.13</v>
      </c>
      <c r="L863" s="8" t="s">
        <v>761</v>
      </c>
      <c r="M863" s="19" t="s">
        <v>525</v>
      </c>
      <c r="N863" s="9" t="s">
        <v>22</v>
      </c>
      <c r="O863" s="9" t="s">
        <v>23</v>
      </c>
      <c r="P863">
        <f>DATEVALUE(OnePlusSalesData[[#This Row],[order_date]])</f>
        <v>43661</v>
      </c>
      <c r="Q863" s="28">
        <f>DATEVALUE(OnePlusSalesData[[#This Row],[delivery_date]])</f>
        <v>43663</v>
      </c>
    </row>
    <row r="864" spans="1:17" ht="16" x14ac:dyDescent="0.45">
      <c r="A864" s="2" t="s">
        <v>1802</v>
      </c>
      <c r="B864" s="2" t="s">
        <v>25</v>
      </c>
      <c r="C864" s="3" t="s">
        <v>65</v>
      </c>
      <c r="D864" s="3" t="s">
        <v>40</v>
      </c>
      <c r="E864" s="3" t="s">
        <v>73</v>
      </c>
      <c r="F864" s="4">
        <v>32999</v>
      </c>
      <c r="G864" s="5">
        <v>2</v>
      </c>
      <c r="H864" s="6">
        <v>0</v>
      </c>
      <c r="I864" s="7">
        <v>0</v>
      </c>
      <c r="J864" s="7">
        <v>65998</v>
      </c>
      <c r="K864" s="7">
        <v>12713.89</v>
      </c>
      <c r="L864" s="2" t="s">
        <v>1634</v>
      </c>
      <c r="M864" s="18" t="s">
        <v>1042</v>
      </c>
      <c r="N864" s="3" t="s">
        <v>22</v>
      </c>
      <c r="O864" s="3" t="s">
        <v>63</v>
      </c>
      <c r="P864">
        <f>DATEVALUE(OnePlusSalesData[[#This Row],[order_date]])</f>
        <v>43369</v>
      </c>
      <c r="Q864" s="28">
        <f>DATEVALUE(OnePlusSalesData[[#This Row],[delivery_date]])</f>
        <v>43375</v>
      </c>
    </row>
    <row r="865" spans="1:17" ht="16" x14ac:dyDescent="0.45">
      <c r="A865" s="8" t="s">
        <v>1803</v>
      </c>
      <c r="B865" s="8" t="s">
        <v>52</v>
      </c>
      <c r="C865" s="9" t="s">
        <v>192</v>
      </c>
      <c r="D865" s="9" t="s">
        <v>27</v>
      </c>
      <c r="E865" s="9" t="s">
        <v>28</v>
      </c>
      <c r="F865" s="10">
        <v>12999</v>
      </c>
      <c r="G865" s="11">
        <v>1</v>
      </c>
      <c r="H865" s="12">
        <v>0.05</v>
      </c>
      <c r="I865" s="13">
        <v>649.95000000000005</v>
      </c>
      <c r="J865" s="13">
        <v>12349.05</v>
      </c>
      <c r="K865" s="13">
        <v>1901.96</v>
      </c>
      <c r="L865" s="8" t="s">
        <v>304</v>
      </c>
      <c r="M865" s="19" t="s">
        <v>1117</v>
      </c>
      <c r="N865" s="9" t="s">
        <v>22</v>
      </c>
      <c r="O865" s="9" t="s">
        <v>31</v>
      </c>
      <c r="P865">
        <f>DATEVALUE(OnePlusSalesData[[#This Row],[order_date]])</f>
        <v>43582</v>
      </c>
      <c r="Q865" s="28">
        <f>DATEVALUE(OnePlusSalesData[[#This Row],[delivery_date]])</f>
        <v>43586</v>
      </c>
    </row>
    <row r="866" spans="1:17" ht="16" x14ac:dyDescent="0.45">
      <c r="A866" s="2" t="s">
        <v>1804</v>
      </c>
      <c r="B866" s="2" t="s">
        <v>58</v>
      </c>
      <c r="C866" s="3" t="s">
        <v>59</v>
      </c>
      <c r="D866" s="3" t="s">
        <v>18</v>
      </c>
      <c r="E866" s="3" t="s">
        <v>179</v>
      </c>
      <c r="F866" s="4">
        <v>1290</v>
      </c>
      <c r="G866" s="5">
        <v>2</v>
      </c>
      <c r="H866" s="6">
        <v>0</v>
      </c>
      <c r="I866" s="7">
        <v>0</v>
      </c>
      <c r="J866" s="7">
        <v>2580</v>
      </c>
      <c r="K866" s="7">
        <v>646.83000000000004</v>
      </c>
      <c r="L866" s="2" t="s">
        <v>30</v>
      </c>
      <c r="M866" s="18" t="s">
        <v>732</v>
      </c>
      <c r="N866" s="3" t="s">
        <v>92</v>
      </c>
      <c r="O866" s="3" t="s">
        <v>23</v>
      </c>
      <c r="P866">
        <f>DATEVALUE(OnePlusSalesData[[#This Row],[order_date]])</f>
        <v>43379</v>
      </c>
      <c r="Q866" s="28">
        <f>DATEVALUE(OnePlusSalesData[[#This Row],[delivery_date]])</f>
        <v>43384</v>
      </c>
    </row>
    <row r="867" spans="1:17" ht="16" x14ac:dyDescent="0.45">
      <c r="A867" s="8" t="s">
        <v>1805</v>
      </c>
      <c r="B867" s="8" t="s">
        <v>52</v>
      </c>
      <c r="C867" s="9" t="s">
        <v>69</v>
      </c>
      <c r="D867" s="9" t="s">
        <v>40</v>
      </c>
      <c r="E867" s="9" t="s">
        <v>47</v>
      </c>
      <c r="F867" s="10">
        <v>37999</v>
      </c>
      <c r="G867" s="11">
        <v>3</v>
      </c>
      <c r="H867" s="12">
        <v>0.05</v>
      </c>
      <c r="I867" s="13">
        <v>5699.85</v>
      </c>
      <c r="J867" s="13">
        <v>108297.15</v>
      </c>
      <c r="K867" s="13">
        <v>23435.84</v>
      </c>
      <c r="L867" s="8" t="s">
        <v>1591</v>
      </c>
      <c r="M867" s="19" t="s">
        <v>1706</v>
      </c>
      <c r="N867" s="9" t="s">
        <v>92</v>
      </c>
      <c r="O867" s="9" t="s">
        <v>63</v>
      </c>
      <c r="P867">
        <f>DATEVALUE(OnePlusSalesData[[#This Row],[order_date]])</f>
        <v>43775</v>
      </c>
      <c r="Q867" s="28">
        <f>DATEVALUE(OnePlusSalesData[[#This Row],[delivery_date]])</f>
        <v>43780</v>
      </c>
    </row>
    <row r="868" spans="1:17" ht="16" x14ac:dyDescent="0.45">
      <c r="A868" s="2" t="s">
        <v>1806</v>
      </c>
      <c r="B868" s="2" t="s">
        <v>16</v>
      </c>
      <c r="C868" s="3" t="s">
        <v>140</v>
      </c>
      <c r="D868" s="3" t="s">
        <v>85</v>
      </c>
      <c r="E868" s="3" t="s">
        <v>86</v>
      </c>
      <c r="F868" s="4">
        <v>1999</v>
      </c>
      <c r="G868" s="5">
        <v>3</v>
      </c>
      <c r="H868" s="6">
        <v>0.05</v>
      </c>
      <c r="I868" s="7">
        <v>299.85000000000002</v>
      </c>
      <c r="J868" s="7">
        <v>5697.15</v>
      </c>
      <c r="K868" s="7">
        <v>1373.11</v>
      </c>
      <c r="L868" s="2" t="s">
        <v>1632</v>
      </c>
      <c r="M868" s="18" t="s">
        <v>1160</v>
      </c>
      <c r="N868" s="3" t="s">
        <v>22</v>
      </c>
      <c r="O868" s="3" t="s">
        <v>23</v>
      </c>
      <c r="P868">
        <f>DATEVALUE(OnePlusSalesData[[#This Row],[order_date]])</f>
        <v>43248</v>
      </c>
      <c r="Q868" s="28">
        <f>DATEVALUE(OnePlusSalesData[[#This Row],[delivery_date]])</f>
        <v>43251</v>
      </c>
    </row>
    <row r="869" spans="1:17" ht="16" x14ac:dyDescent="0.45">
      <c r="A869" s="8" t="s">
        <v>1807</v>
      </c>
      <c r="B869" s="8" t="s">
        <v>16</v>
      </c>
      <c r="C869" s="9" t="s">
        <v>17</v>
      </c>
      <c r="D869" s="9" t="s">
        <v>27</v>
      </c>
      <c r="E869" s="9" t="s">
        <v>159</v>
      </c>
      <c r="F869" s="10">
        <v>22999</v>
      </c>
      <c r="G869" s="11">
        <v>1</v>
      </c>
      <c r="H869" s="12">
        <v>0.05</v>
      </c>
      <c r="I869" s="13">
        <v>1149.95</v>
      </c>
      <c r="J869" s="13">
        <v>21849.05</v>
      </c>
      <c r="K869" s="13">
        <v>5172.3599999999997</v>
      </c>
      <c r="L869" s="8" t="s">
        <v>1513</v>
      </c>
      <c r="M869" s="19" t="s">
        <v>127</v>
      </c>
      <c r="N869" s="9" t="s">
        <v>22</v>
      </c>
      <c r="O869" s="9" t="s">
        <v>23</v>
      </c>
      <c r="P869">
        <f>DATEVALUE(OnePlusSalesData[[#This Row],[order_date]])</f>
        <v>43566</v>
      </c>
      <c r="Q869" s="28">
        <f>DATEVALUE(OnePlusSalesData[[#This Row],[delivery_date]])</f>
        <v>43570</v>
      </c>
    </row>
    <row r="870" spans="1:17" ht="16" x14ac:dyDescent="0.45">
      <c r="A870" s="2" t="s">
        <v>1808</v>
      </c>
      <c r="B870" s="2" t="s">
        <v>52</v>
      </c>
      <c r="C870" s="3" t="s">
        <v>69</v>
      </c>
      <c r="D870" s="3" t="s">
        <v>18</v>
      </c>
      <c r="E870" s="3" t="s">
        <v>179</v>
      </c>
      <c r="F870" s="4">
        <v>1290</v>
      </c>
      <c r="G870" s="5">
        <v>1</v>
      </c>
      <c r="H870" s="6">
        <v>0.1</v>
      </c>
      <c r="I870" s="7">
        <v>129</v>
      </c>
      <c r="J870" s="7">
        <v>1161</v>
      </c>
      <c r="K870" s="7">
        <v>236.86</v>
      </c>
      <c r="L870" s="2" t="s">
        <v>768</v>
      </c>
      <c r="M870" s="18" t="s">
        <v>1457</v>
      </c>
      <c r="N870" s="3" t="s">
        <v>22</v>
      </c>
      <c r="O870" s="3" t="s">
        <v>63</v>
      </c>
      <c r="P870">
        <f>DATEVALUE(OnePlusSalesData[[#This Row],[order_date]])</f>
        <v>43549</v>
      </c>
      <c r="Q870" s="28">
        <f>DATEVALUE(OnePlusSalesData[[#This Row],[delivery_date]])</f>
        <v>43552</v>
      </c>
    </row>
    <row r="871" spans="1:17" ht="16" x14ac:dyDescent="0.45">
      <c r="A871" s="8" t="s">
        <v>1809</v>
      </c>
      <c r="B871" s="8" t="s">
        <v>16</v>
      </c>
      <c r="C871" s="9" t="s">
        <v>17</v>
      </c>
      <c r="D871" s="9" t="s">
        <v>18</v>
      </c>
      <c r="E871" s="9" t="s">
        <v>19</v>
      </c>
      <c r="F871" s="10">
        <v>1990</v>
      </c>
      <c r="G871" s="11">
        <v>1</v>
      </c>
      <c r="H871" s="12">
        <v>0.05</v>
      </c>
      <c r="I871" s="13">
        <v>99.5</v>
      </c>
      <c r="J871" s="13">
        <v>1890.5</v>
      </c>
      <c r="K871" s="13">
        <v>425.96</v>
      </c>
      <c r="L871" s="8" t="s">
        <v>1517</v>
      </c>
      <c r="M871" s="19" t="s">
        <v>389</v>
      </c>
      <c r="N871" s="9" t="s">
        <v>22</v>
      </c>
      <c r="O871" s="9" t="s">
        <v>96</v>
      </c>
      <c r="P871">
        <f>DATEVALUE(OnePlusSalesData[[#This Row],[order_date]])</f>
        <v>43861</v>
      </c>
      <c r="Q871" s="28">
        <f>DATEVALUE(OnePlusSalesData[[#This Row],[delivery_date]])</f>
        <v>43865</v>
      </c>
    </row>
    <row r="872" spans="1:17" ht="16" x14ac:dyDescent="0.45">
      <c r="A872" s="2" t="s">
        <v>1810</v>
      </c>
      <c r="B872" s="2" t="s">
        <v>52</v>
      </c>
      <c r="C872" s="3" t="s">
        <v>358</v>
      </c>
      <c r="D872" s="3" t="s">
        <v>40</v>
      </c>
      <c r="E872" s="3" t="s">
        <v>98</v>
      </c>
      <c r="F872" s="4">
        <v>34999</v>
      </c>
      <c r="G872" s="5">
        <v>1</v>
      </c>
      <c r="H872" s="6">
        <v>0</v>
      </c>
      <c r="I872" s="7">
        <v>0</v>
      </c>
      <c r="J872" s="7">
        <v>34999</v>
      </c>
      <c r="K872" s="7">
        <v>7599.43</v>
      </c>
      <c r="L872" s="2" t="s">
        <v>1811</v>
      </c>
      <c r="M872" s="18" t="s">
        <v>1812</v>
      </c>
      <c r="N872" s="3" t="s">
        <v>50</v>
      </c>
      <c r="O872" s="3" t="s">
        <v>23</v>
      </c>
      <c r="P872">
        <f>DATEVALUE(OnePlusSalesData[[#This Row],[order_date]])</f>
        <v>43186</v>
      </c>
      <c r="Q872" s="28">
        <f>DATEVALUE(OnePlusSalesData[[#This Row],[delivery_date]])</f>
        <v>43191</v>
      </c>
    </row>
    <row r="873" spans="1:17" ht="16" x14ac:dyDescent="0.45">
      <c r="A873" s="8" t="s">
        <v>1813</v>
      </c>
      <c r="B873" s="8" t="s">
        <v>16</v>
      </c>
      <c r="C873" s="9" t="s">
        <v>39</v>
      </c>
      <c r="D873" s="9" t="s">
        <v>27</v>
      </c>
      <c r="E873" s="9" t="s">
        <v>28</v>
      </c>
      <c r="F873" s="10">
        <v>12999</v>
      </c>
      <c r="G873" s="11">
        <v>1</v>
      </c>
      <c r="H873" s="12">
        <v>0.05</v>
      </c>
      <c r="I873" s="13">
        <v>649.95000000000005</v>
      </c>
      <c r="J873" s="13">
        <v>12349.05</v>
      </c>
      <c r="K873" s="13">
        <v>2222.88</v>
      </c>
      <c r="L873" s="8" t="s">
        <v>1814</v>
      </c>
      <c r="M873" s="19" t="s">
        <v>1815</v>
      </c>
      <c r="N873" s="9" t="s">
        <v>22</v>
      </c>
      <c r="O873" s="9" t="s">
        <v>31</v>
      </c>
      <c r="P873">
        <f>DATEVALUE(OnePlusSalesData[[#This Row],[order_date]])</f>
        <v>43245</v>
      </c>
      <c r="Q873" s="28">
        <f>DATEVALUE(OnePlusSalesData[[#This Row],[delivery_date]])</f>
        <v>43250</v>
      </c>
    </row>
    <row r="874" spans="1:17" ht="16" x14ac:dyDescent="0.45">
      <c r="A874" s="2" t="s">
        <v>1816</v>
      </c>
      <c r="B874" s="2" t="s">
        <v>16</v>
      </c>
      <c r="C874" s="3" t="s">
        <v>140</v>
      </c>
      <c r="D874" s="3" t="s">
        <v>40</v>
      </c>
      <c r="E874" s="3" t="s">
        <v>47</v>
      </c>
      <c r="F874" s="4">
        <v>37999</v>
      </c>
      <c r="G874" s="5">
        <v>2</v>
      </c>
      <c r="H874" s="6">
        <v>0.1</v>
      </c>
      <c r="I874" s="7">
        <v>7599.8</v>
      </c>
      <c r="J874" s="7">
        <v>68398.2</v>
      </c>
      <c r="K874" s="7">
        <v>11627.36</v>
      </c>
      <c r="L874" s="2" t="s">
        <v>876</v>
      </c>
      <c r="M874" s="18" t="s">
        <v>310</v>
      </c>
      <c r="N874" s="3" t="s">
        <v>22</v>
      </c>
      <c r="O874" s="3" t="s">
        <v>31</v>
      </c>
      <c r="P874">
        <f>DATEVALUE(OnePlusSalesData[[#This Row],[order_date]])</f>
        <v>43947</v>
      </c>
      <c r="Q874" s="28">
        <f>DATEVALUE(OnePlusSalesData[[#This Row],[delivery_date]])</f>
        <v>43950</v>
      </c>
    </row>
    <row r="875" spans="1:17" ht="16" x14ac:dyDescent="0.45">
      <c r="A875" s="8" t="s">
        <v>1817</v>
      </c>
      <c r="B875" s="8" t="s">
        <v>16</v>
      </c>
      <c r="C875" s="9" t="s">
        <v>33</v>
      </c>
      <c r="D875" s="9" t="s">
        <v>34</v>
      </c>
      <c r="E875" s="9" t="s">
        <v>77</v>
      </c>
      <c r="F875" s="10">
        <v>24999</v>
      </c>
      <c r="G875" s="11">
        <v>2</v>
      </c>
      <c r="H875" s="12">
        <v>0.1</v>
      </c>
      <c r="I875" s="13">
        <v>4999.8</v>
      </c>
      <c r="J875" s="13">
        <v>44998.2</v>
      </c>
      <c r="K875" s="13">
        <v>8718.5499999999993</v>
      </c>
      <c r="L875" s="8" t="s">
        <v>1818</v>
      </c>
      <c r="M875" s="19" t="s">
        <v>300</v>
      </c>
      <c r="N875" s="9" t="s">
        <v>22</v>
      </c>
      <c r="O875" s="9" t="s">
        <v>146</v>
      </c>
      <c r="P875">
        <f>DATEVALUE(OnePlusSalesData[[#This Row],[order_date]])</f>
        <v>43197</v>
      </c>
      <c r="Q875" s="28">
        <f>DATEVALUE(OnePlusSalesData[[#This Row],[delivery_date]])</f>
        <v>43204</v>
      </c>
    </row>
    <row r="876" spans="1:17" ht="16" x14ac:dyDescent="0.45">
      <c r="A876" s="2" t="s">
        <v>1819</v>
      </c>
      <c r="B876" s="2" t="s">
        <v>58</v>
      </c>
      <c r="C876" s="3" t="s">
        <v>59</v>
      </c>
      <c r="D876" s="3" t="s">
        <v>40</v>
      </c>
      <c r="E876" s="3" t="s">
        <v>54</v>
      </c>
      <c r="F876" s="4">
        <v>53999</v>
      </c>
      <c r="G876" s="5">
        <v>1</v>
      </c>
      <c r="H876" s="6">
        <v>0.05</v>
      </c>
      <c r="I876" s="7">
        <v>2699.95</v>
      </c>
      <c r="J876" s="7">
        <v>51299.05</v>
      </c>
      <c r="K876" s="7">
        <v>12804.93</v>
      </c>
      <c r="L876" s="2" t="s">
        <v>749</v>
      </c>
      <c r="M876" s="18" t="s">
        <v>213</v>
      </c>
      <c r="N876" s="3" t="s">
        <v>92</v>
      </c>
      <c r="O876" s="3" t="s">
        <v>23</v>
      </c>
      <c r="P876">
        <f>DATEVALUE(OnePlusSalesData[[#This Row],[order_date]])</f>
        <v>43174</v>
      </c>
      <c r="Q876" s="28">
        <f>DATEVALUE(OnePlusSalesData[[#This Row],[delivery_date]])</f>
        <v>43180</v>
      </c>
    </row>
    <row r="877" spans="1:17" ht="16" x14ac:dyDescent="0.45">
      <c r="A877" s="8" t="s">
        <v>1820</v>
      </c>
      <c r="B877" s="8" t="s">
        <v>25</v>
      </c>
      <c r="C877" s="9" t="s">
        <v>172</v>
      </c>
      <c r="D877" s="9" t="s">
        <v>85</v>
      </c>
      <c r="E877" s="9" t="s">
        <v>86</v>
      </c>
      <c r="F877" s="10">
        <v>1999</v>
      </c>
      <c r="G877" s="11">
        <v>1</v>
      </c>
      <c r="H877" s="12">
        <v>0</v>
      </c>
      <c r="I877" s="13">
        <v>0</v>
      </c>
      <c r="J877" s="13">
        <v>1999</v>
      </c>
      <c r="K877" s="13">
        <v>472.05</v>
      </c>
      <c r="L877" s="8" t="s">
        <v>1564</v>
      </c>
      <c r="M877" s="19" t="s">
        <v>131</v>
      </c>
      <c r="N877" s="9" t="s">
        <v>22</v>
      </c>
      <c r="O877" s="9" t="s">
        <v>31</v>
      </c>
      <c r="P877">
        <f>DATEVALUE(OnePlusSalesData[[#This Row],[order_date]])</f>
        <v>43555</v>
      </c>
      <c r="Q877" s="28">
        <f>DATEVALUE(OnePlusSalesData[[#This Row],[delivery_date]])</f>
        <v>43558</v>
      </c>
    </row>
    <row r="878" spans="1:17" ht="16" x14ac:dyDescent="0.45">
      <c r="A878" s="2" t="s">
        <v>1821</v>
      </c>
      <c r="B878" s="2" t="s">
        <v>52</v>
      </c>
      <c r="C878" s="3" t="s">
        <v>358</v>
      </c>
      <c r="D878" s="3" t="s">
        <v>18</v>
      </c>
      <c r="E878" s="3" t="s">
        <v>179</v>
      </c>
      <c r="F878" s="4">
        <v>1290</v>
      </c>
      <c r="G878" s="5">
        <v>1</v>
      </c>
      <c r="H878" s="6">
        <v>0.05</v>
      </c>
      <c r="I878" s="7">
        <v>64.5</v>
      </c>
      <c r="J878" s="7">
        <v>1225.5</v>
      </c>
      <c r="K878" s="7">
        <v>314.77</v>
      </c>
      <c r="L878" s="2" t="s">
        <v>483</v>
      </c>
      <c r="M878" s="18" t="s">
        <v>1036</v>
      </c>
      <c r="N878" s="3" t="s">
        <v>22</v>
      </c>
      <c r="O878" s="3" t="s">
        <v>23</v>
      </c>
      <c r="P878">
        <f>DATEVALUE(OnePlusSalesData[[#This Row],[order_date]])</f>
        <v>43565</v>
      </c>
      <c r="Q878" s="28">
        <f>DATEVALUE(OnePlusSalesData[[#This Row],[delivery_date]])</f>
        <v>43572</v>
      </c>
    </row>
    <row r="879" spans="1:17" ht="16" x14ac:dyDescent="0.45">
      <c r="A879" s="8" t="s">
        <v>1822</v>
      </c>
      <c r="B879" s="8" t="s">
        <v>52</v>
      </c>
      <c r="C879" s="9" t="s">
        <v>106</v>
      </c>
      <c r="D879" s="9" t="s">
        <v>27</v>
      </c>
      <c r="E879" s="9" t="s">
        <v>176</v>
      </c>
      <c r="F879" s="10">
        <v>69900</v>
      </c>
      <c r="G879" s="11">
        <v>1</v>
      </c>
      <c r="H879" s="12">
        <v>0.05</v>
      </c>
      <c r="I879" s="13">
        <v>3495</v>
      </c>
      <c r="J879" s="13">
        <v>66405</v>
      </c>
      <c r="K879" s="13">
        <v>11607.49</v>
      </c>
      <c r="L879" s="8" t="s">
        <v>1166</v>
      </c>
      <c r="M879" s="19" t="s">
        <v>668</v>
      </c>
      <c r="N879" s="9" t="s">
        <v>44</v>
      </c>
      <c r="O879" s="9" t="s">
        <v>23</v>
      </c>
      <c r="P879">
        <f>DATEVALUE(OnePlusSalesData[[#This Row],[order_date]])</f>
        <v>43697</v>
      </c>
      <c r="Q879" s="28">
        <f>DATEVALUE(OnePlusSalesData[[#This Row],[delivery_date]])</f>
        <v>43701</v>
      </c>
    </row>
    <row r="880" spans="1:17" ht="16" x14ac:dyDescent="0.45">
      <c r="A880" s="2" t="s">
        <v>1823</v>
      </c>
      <c r="B880" s="2" t="s">
        <v>16</v>
      </c>
      <c r="C880" s="3" t="s">
        <v>17</v>
      </c>
      <c r="D880" s="3" t="s">
        <v>40</v>
      </c>
      <c r="E880" s="3" t="s">
        <v>406</v>
      </c>
      <c r="F880" s="4">
        <v>48999</v>
      </c>
      <c r="G880" s="5">
        <v>1</v>
      </c>
      <c r="H880" s="6">
        <v>0.1</v>
      </c>
      <c r="I880" s="7">
        <v>4899.8999999999996</v>
      </c>
      <c r="J880" s="7">
        <v>44099.1</v>
      </c>
      <c r="K880" s="7">
        <v>9394.3700000000008</v>
      </c>
      <c r="L880" s="2" t="s">
        <v>1456</v>
      </c>
      <c r="M880" s="18" t="s">
        <v>1457</v>
      </c>
      <c r="N880" s="3" t="s">
        <v>92</v>
      </c>
      <c r="O880" s="3" t="s">
        <v>23</v>
      </c>
      <c r="P880">
        <f>DATEVALUE(OnePlusSalesData[[#This Row],[order_date]])</f>
        <v>43546</v>
      </c>
      <c r="Q880" s="28">
        <f>DATEVALUE(OnePlusSalesData[[#This Row],[delivery_date]])</f>
        <v>43552</v>
      </c>
    </row>
    <row r="881" spans="1:17" ht="16" x14ac:dyDescent="0.45">
      <c r="A881" s="8" t="s">
        <v>1824</v>
      </c>
      <c r="B881" s="8" t="s">
        <v>16</v>
      </c>
      <c r="C881" s="9" t="s">
        <v>17</v>
      </c>
      <c r="D881" s="9" t="s">
        <v>34</v>
      </c>
      <c r="E881" s="9" t="s">
        <v>77</v>
      </c>
      <c r="F881" s="10">
        <v>24999</v>
      </c>
      <c r="G881" s="11">
        <v>2</v>
      </c>
      <c r="H881" s="12">
        <v>0.05</v>
      </c>
      <c r="I881" s="13">
        <v>2499.9</v>
      </c>
      <c r="J881" s="13">
        <v>47498.1</v>
      </c>
      <c r="K881" s="13">
        <v>11639.15</v>
      </c>
      <c r="L881" s="8" t="s">
        <v>465</v>
      </c>
      <c r="M881" s="19" t="s">
        <v>1012</v>
      </c>
      <c r="N881" s="9" t="s">
        <v>22</v>
      </c>
      <c r="O881" s="9" t="s">
        <v>96</v>
      </c>
      <c r="P881">
        <f>DATEVALUE(OnePlusSalesData[[#This Row],[order_date]])</f>
        <v>43407</v>
      </c>
      <c r="Q881" s="28">
        <f>DATEVALUE(OnePlusSalesData[[#This Row],[delivery_date]])</f>
        <v>43410</v>
      </c>
    </row>
    <row r="882" spans="1:17" ht="16" x14ac:dyDescent="0.45">
      <c r="A882" s="2" t="s">
        <v>1825</v>
      </c>
      <c r="B882" s="2" t="s">
        <v>25</v>
      </c>
      <c r="C882" s="3" t="s">
        <v>26</v>
      </c>
      <c r="D882" s="3" t="s">
        <v>18</v>
      </c>
      <c r="E882" s="3" t="s">
        <v>19</v>
      </c>
      <c r="F882" s="4">
        <v>1990</v>
      </c>
      <c r="G882" s="5">
        <v>1</v>
      </c>
      <c r="H882" s="6">
        <v>0.05</v>
      </c>
      <c r="I882" s="7">
        <v>99.5</v>
      </c>
      <c r="J882" s="7">
        <v>1890.5</v>
      </c>
      <c r="K882" s="7">
        <v>451.56</v>
      </c>
      <c r="L882" s="2" t="s">
        <v>307</v>
      </c>
      <c r="M882" s="18" t="s">
        <v>982</v>
      </c>
      <c r="N882" s="3" t="s">
        <v>44</v>
      </c>
      <c r="O882" s="3" t="s">
        <v>63</v>
      </c>
      <c r="P882">
        <f>DATEVALUE(OnePlusSalesData[[#This Row],[order_date]])</f>
        <v>43972</v>
      </c>
      <c r="Q882" s="28">
        <f>DATEVALUE(OnePlusSalesData[[#This Row],[delivery_date]])</f>
        <v>43976</v>
      </c>
    </row>
    <row r="883" spans="1:17" ht="16" x14ac:dyDescent="0.45">
      <c r="A883" s="8" t="s">
        <v>1826</v>
      </c>
      <c r="B883" s="8" t="s">
        <v>25</v>
      </c>
      <c r="C883" s="9" t="s">
        <v>172</v>
      </c>
      <c r="D883" s="9" t="s">
        <v>40</v>
      </c>
      <c r="E883" s="9" t="s">
        <v>47</v>
      </c>
      <c r="F883" s="10">
        <v>37999</v>
      </c>
      <c r="G883" s="11">
        <v>1</v>
      </c>
      <c r="H883" s="12">
        <v>0.05</v>
      </c>
      <c r="I883" s="13">
        <v>1899.95</v>
      </c>
      <c r="J883" s="13">
        <v>36099.050000000003</v>
      </c>
      <c r="K883" s="13">
        <v>8446.99</v>
      </c>
      <c r="L883" s="8" t="s">
        <v>799</v>
      </c>
      <c r="M883" s="19" t="s">
        <v>633</v>
      </c>
      <c r="N883" s="9" t="s">
        <v>22</v>
      </c>
      <c r="O883" s="9" t="s">
        <v>31</v>
      </c>
      <c r="P883">
        <f>DATEVALUE(OnePlusSalesData[[#This Row],[order_date]])</f>
        <v>43281</v>
      </c>
      <c r="Q883" s="28">
        <f>DATEVALUE(OnePlusSalesData[[#This Row],[delivery_date]])</f>
        <v>43285</v>
      </c>
    </row>
    <row r="884" spans="1:17" ht="16" x14ac:dyDescent="0.45">
      <c r="A884" s="2" t="s">
        <v>1827</v>
      </c>
      <c r="B884" s="2" t="s">
        <v>16</v>
      </c>
      <c r="C884" s="3" t="s">
        <v>39</v>
      </c>
      <c r="D884" s="3" t="s">
        <v>40</v>
      </c>
      <c r="E884" s="3" t="s">
        <v>73</v>
      </c>
      <c r="F884" s="4">
        <v>32999</v>
      </c>
      <c r="G884" s="5">
        <v>5</v>
      </c>
      <c r="H884" s="6">
        <v>0.08</v>
      </c>
      <c r="I884" s="7">
        <v>13199.6</v>
      </c>
      <c r="J884" s="7">
        <v>151795.4</v>
      </c>
      <c r="K884" s="7">
        <v>33107.18</v>
      </c>
      <c r="L884" s="2" t="s">
        <v>770</v>
      </c>
      <c r="M884" s="18" t="s">
        <v>334</v>
      </c>
      <c r="N884" s="3" t="s">
        <v>22</v>
      </c>
      <c r="O884" s="3" t="s">
        <v>63</v>
      </c>
      <c r="P884">
        <f>DATEVALUE(OnePlusSalesData[[#This Row],[order_date]])</f>
        <v>43382</v>
      </c>
      <c r="Q884" s="28">
        <f>DATEVALUE(OnePlusSalesData[[#This Row],[delivery_date]])</f>
        <v>43386</v>
      </c>
    </row>
    <row r="885" spans="1:17" ht="16" x14ac:dyDescent="0.45">
      <c r="A885" s="8" t="s">
        <v>1828</v>
      </c>
      <c r="B885" s="8" t="s">
        <v>16</v>
      </c>
      <c r="C885" s="9" t="s">
        <v>33</v>
      </c>
      <c r="D885" s="9" t="s">
        <v>27</v>
      </c>
      <c r="E885" s="9" t="s">
        <v>176</v>
      </c>
      <c r="F885" s="10">
        <v>69900</v>
      </c>
      <c r="G885" s="11">
        <v>1</v>
      </c>
      <c r="H885" s="12">
        <v>0</v>
      </c>
      <c r="I885" s="13">
        <v>0</v>
      </c>
      <c r="J885" s="13">
        <v>69900</v>
      </c>
      <c r="K885" s="13">
        <v>17069.28</v>
      </c>
      <c r="L885" s="8" t="s">
        <v>868</v>
      </c>
      <c r="M885" s="19" t="s">
        <v>579</v>
      </c>
      <c r="N885" s="9" t="s">
        <v>22</v>
      </c>
      <c r="O885" s="9" t="s">
        <v>96</v>
      </c>
      <c r="P885">
        <f>DATEVALUE(OnePlusSalesData[[#This Row],[order_date]])</f>
        <v>43349</v>
      </c>
      <c r="Q885" s="28">
        <f>DATEVALUE(OnePlusSalesData[[#This Row],[delivery_date]])</f>
        <v>43353</v>
      </c>
    </row>
    <row r="886" spans="1:17" ht="16" x14ac:dyDescent="0.45">
      <c r="A886" s="2" t="s">
        <v>1829</v>
      </c>
      <c r="B886" s="2" t="s">
        <v>16</v>
      </c>
      <c r="C886" s="3" t="s">
        <v>33</v>
      </c>
      <c r="D886" s="3" t="s">
        <v>40</v>
      </c>
      <c r="E886" s="3" t="s">
        <v>148</v>
      </c>
      <c r="F886" s="4">
        <v>41999</v>
      </c>
      <c r="G886" s="5">
        <v>1</v>
      </c>
      <c r="H886" s="6">
        <v>0.05</v>
      </c>
      <c r="I886" s="7">
        <v>2099.9499999999998</v>
      </c>
      <c r="J886" s="7">
        <v>39899.050000000003</v>
      </c>
      <c r="K886" s="7">
        <v>7167.34</v>
      </c>
      <c r="L886" s="2" t="s">
        <v>254</v>
      </c>
      <c r="M886" s="18" t="s">
        <v>255</v>
      </c>
      <c r="N886" s="3" t="s">
        <v>92</v>
      </c>
      <c r="O886" s="3" t="s">
        <v>23</v>
      </c>
      <c r="P886">
        <f>DATEVALUE(OnePlusSalesData[[#This Row],[order_date]])</f>
        <v>43938</v>
      </c>
      <c r="Q886" s="28">
        <f>DATEVALUE(OnePlusSalesData[[#This Row],[delivery_date]])</f>
        <v>43940</v>
      </c>
    </row>
    <row r="887" spans="1:17" ht="16" x14ac:dyDescent="0.45">
      <c r="A887" s="8" t="s">
        <v>1830</v>
      </c>
      <c r="B887" s="8" t="s">
        <v>25</v>
      </c>
      <c r="C887" s="9" t="s">
        <v>65</v>
      </c>
      <c r="D887" s="9" t="s">
        <v>18</v>
      </c>
      <c r="E887" s="9" t="s">
        <v>124</v>
      </c>
      <c r="F887" s="10">
        <v>3990</v>
      </c>
      <c r="G887" s="11">
        <v>1</v>
      </c>
      <c r="H887" s="12">
        <v>0</v>
      </c>
      <c r="I887" s="13">
        <v>0</v>
      </c>
      <c r="J887" s="13">
        <v>3990</v>
      </c>
      <c r="K887" s="13">
        <v>753.67</v>
      </c>
      <c r="L887" s="8" t="s">
        <v>1831</v>
      </c>
      <c r="M887" s="19" t="s">
        <v>721</v>
      </c>
      <c r="N887" s="9" t="s">
        <v>22</v>
      </c>
      <c r="O887" s="9" t="s">
        <v>63</v>
      </c>
      <c r="P887">
        <f>DATEVALUE(OnePlusSalesData[[#This Row],[order_date]])</f>
        <v>43118</v>
      </c>
      <c r="Q887" s="28">
        <f>DATEVALUE(OnePlusSalesData[[#This Row],[delivery_date]])</f>
        <v>43124</v>
      </c>
    </row>
    <row r="888" spans="1:17" ht="16" x14ac:dyDescent="0.45">
      <c r="A888" s="2" t="s">
        <v>1832</v>
      </c>
      <c r="B888" s="2" t="s">
        <v>25</v>
      </c>
      <c r="C888" s="3" t="s">
        <v>133</v>
      </c>
      <c r="D888" s="3" t="s">
        <v>40</v>
      </c>
      <c r="E888" s="3" t="s">
        <v>47</v>
      </c>
      <c r="F888" s="4">
        <v>37999</v>
      </c>
      <c r="G888" s="5">
        <v>3</v>
      </c>
      <c r="H888" s="6">
        <v>0.1</v>
      </c>
      <c r="I888" s="7">
        <v>11399.7</v>
      </c>
      <c r="J888" s="7">
        <v>102597.3</v>
      </c>
      <c r="K888" s="7">
        <v>26441.21</v>
      </c>
      <c r="L888" s="2" t="s">
        <v>1509</v>
      </c>
      <c r="M888" s="18" t="s">
        <v>1570</v>
      </c>
      <c r="N888" s="3" t="s">
        <v>92</v>
      </c>
      <c r="O888" s="3" t="s">
        <v>31</v>
      </c>
      <c r="P888">
        <f>DATEVALUE(OnePlusSalesData[[#This Row],[order_date]])</f>
        <v>43513</v>
      </c>
      <c r="Q888" s="28">
        <f>DATEVALUE(OnePlusSalesData[[#This Row],[delivery_date]])</f>
        <v>43518</v>
      </c>
    </row>
    <row r="889" spans="1:17" ht="16" x14ac:dyDescent="0.45">
      <c r="A889" s="8" t="s">
        <v>1833</v>
      </c>
      <c r="B889" s="8" t="s">
        <v>25</v>
      </c>
      <c r="C889" s="9" t="s">
        <v>26</v>
      </c>
      <c r="D889" s="9" t="s">
        <v>18</v>
      </c>
      <c r="E889" s="9" t="s">
        <v>19</v>
      </c>
      <c r="F889" s="10">
        <v>1990</v>
      </c>
      <c r="G889" s="11">
        <v>1</v>
      </c>
      <c r="H889" s="12">
        <v>0.08</v>
      </c>
      <c r="I889" s="13">
        <v>159.19999999999999</v>
      </c>
      <c r="J889" s="13">
        <v>1830.8</v>
      </c>
      <c r="K889" s="13">
        <v>447.73</v>
      </c>
      <c r="L889" s="8" t="s">
        <v>773</v>
      </c>
      <c r="M889" s="19" t="s">
        <v>1834</v>
      </c>
      <c r="N889" s="9" t="s">
        <v>50</v>
      </c>
      <c r="O889" s="9" t="s">
        <v>23</v>
      </c>
      <c r="P889">
        <f>DATEVALUE(OnePlusSalesData[[#This Row],[order_date]])</f>
        <v>43646</v>
      </c>
      <c r="Q889" s="28">
        <f>DATEVALUE(OnePlusSalesData[[#This Row],[delivery_date]])</f>
        <v>43652</v>
      </c>
    </row>
    <row r="890" spans="1:17" ht="16" x14ac:dyDescent="0.45">
      <c r="A890" s="2" t="s">
        <v>1835</v>
      </c>
      <c r="B890" s="2" t="s">
        <v>16</v>
      </c>
      <c r="C890" s="3" t="s">
        <v>140</v>
      </c>
      <c r="D890" s="3" t="s">
        <v>18</v>
      </c>
      <c r="E890" s="3" t="s">
        <v>19</v>
      </c>
      <c r="F890" s="4">
        <v>1990</v>
      </c>
      <c r="G890" s="5">
        <v>1</v>
      </c>
      <c r="H890" s="6">
        <v>0.05</v>
      </c>
      <c r="I890" s="7">
        <v>99.5</v>
      </c>
      <c r="J890" s="7">
        <v>1890.5</v>
      </c>
      <c r="K890" s="7">
        <v>310.72000000000003</v>
      </c>
      <c r="L890" s="2" t="s">
        <v>1836</v>
      </c>
      <c r="M890" s="18" t="s">
        <v>1160</v>
      </c>
      <c r="N890" s="3" t="s">
        <v>22</v>
      </c>
      <c r="O890" s="3" t="s">
        <v>23</v>
      </c>
      <c r="P890">
        <f>DATEVALUE(OnePlusSalesData[[#This Row],[order_date]])</f>
        <v>43249</v>
      </c>
      <c r="Q890" s="28">
        <f>DATEVALUE(OnePlusSalesData[[#This Row],[delivery_date]])</f>
        <v>43251</v>
      </c>
    </row>
    <row r="891" spans="1:17" ht="16" x14ac:dyDescent="0.45">
      <c r="A891" s="8" t="s">
        <v>1837</v>
      </c>
      <c r="B891" s="8" t="s">
        <v>16</v>
      </c>
      <c r="C891" s="9" t="s">
        <v>17</v>
      </c>
      <c r="D891" s="9" t="s">
        <v>40</v>
      </c>
      <c r="E891" s="9" t="s">
        <v>41</v>
      </c>
      <c r="F891" s="10">
        <v>37999</v>
      </c>
      <c r="G891" s="11">
        <v>1</v>
      </c>
      <c r="H891" s="12">
        <v>0</v>
      </c>
      <c r="I891" s="13">
        <v>0</v>
      </c>
      <c r="J891" s="13">
        <v>37999</v>
      </c>
      <c r="K891" s="13">
        <v>5344.09</v>
      </c>
      <c r="L891" s="8" t="s">
        <v>462</v>
      </c>
      <c r="M891" s="19" t="s">
        <v>1697</v>
      </c>
      <c r="N891" s="9" t="s">
        <v>22</v>
      </c>
      <c r="O891" s="9" t="s">
        <v>63</v>
      </c>
      <c r="P891">
        <f>DATEVALUE(OnePlusSalesData[[#This Row],[order_date]])</f>
        <v>44009</v>
      </c>
      <c r="Q891" s="28">
        <f>DATEVALUE(OnePlusSalesData[[#This Row],[delivery_date]])</f>
        <v>44016</v>
      </c>
    </row>
    <row r="892" spans="1:17" ht="16" x14ac:dyDescent="0.45">
      <c r="A892" s="2" t="s">
        <v>1838</v>
      </c>
      <c r="B892" s="2" t="s">
        <v>25</v>
      </c>
      <c r="C892" s="3" t="s">
        <v>65</v>
      </c>
      <c r="D892" s="3" t="s">
        <v>40</v>
      </c>
      <c r="E892" s="3" t="s">
        <v>73</v>
      </c>
      <c r="F892" s="4">
        <v>32999</v>
      </c>
      <c r="G892" s="5">
        <v>3</v>
      </c>
      <c r="H892" s="6">
        <v>0.1</v>
      </c>
      <c r="I892" s="7">
        <v>9899.7000000000007</v>
      </c>
      <c r="J892" s="7">
        <v>89097.3</v>
      </c>
      <c r="K892" s="7">
        <v>22325.55</v>
      </c>
      <c r="L892" s="2" t="s">
        <v>1018</v>
      </c>
      <c r="M892" s="18" t="s">
        <v>601</v>
      </c>
      <c r="N892" s="3" t="s">
        <v>22</v>
      </c>
      <c r="O892" s="3" t="s">
        <v>96</v>
      </c>
      <c r="P892">
        <f>DATEVALUE(OnePlusSalesData[[#This Row],[order_date]])</f>
        <v>43990</v>
      </c>
      <c r="Q892" s="28">
        <f>DATEVALUE(OnePlusSalesData[[#This Row],[delivery_date]])</f>
        <v>43995</v>
      </c>
    </row>
    <row r="893" spans="1:17" ht="16" x14ac:dyDescent="0.45">
      <c r="A893" s="8" t="s">
        <v>1839</v>
      </c>
      <c r="B893" s="8" t="s">
        <v>25</v>
      </c>
      <c r="C893" s="9" t="s">
        <v>133</v>
      </c>
      <c r="D893" s="9" t="s">
        <v>40</v>
      </c>
      <c r="E893" s="9" t="s">
        <v>60</v>
      </c>
      <c r="F893" s="10">
        <v>54999</v>
      </c>
      <c r="G893" s="11">
        <v>1</v>
      </c>
      <c r="H893" s="12">
        <v>0.05</v>
      </c>
      <c r="I893" s="13">
        <v>2749.95</v>
      </c>
      <c r="J893" s="13">
        <v>52249.05</v>
      </c>
      <c r="K893" s="13">
        <v>8632.65</v>
      </c>
      <c r="L893" s="8" t="s">
        <v>641</v>
      </c>
      <c r="M893" s="19" t="s">
        <v>925</v>
      </c>
      <c r="N893" s="9" t="s">
        <v>92</v>
      </c>
      <c r="O893" s="9" t="s">
        <v>23</v>
      </c>
      <c r="P893">
        <f>DATEVALUE(OnePlusSalesData[[#This Row],[order_date]])</f>
        <v>43738</v>
      </c>
      <c r="Q893" s="28">
        <f>DATEVALUE(OnePlusSalesData[[#This Row],[delivery_date]])</f>
        <v>43742</v>
      </c>
    </row>
    <row r="894" spans="1:17" ht="16" x14ac:dyDescent="0.45">
      <c r="A894" s="2" t="s">
        <v>1840</v>
      </c>
      <c r="B894" s="2" t="s">
        <v>52</v>
      </c>
      <c r="C894" s="3" t="s">
        <v>53</v>
      </c>
      <c r="D894" s="3" t="s">
        <v>40</v>
      </c>
      <c r="E894" s="3" t="s">
        <v>148</v>
      </c>
      <c r="F894" s="4">
        <v>41999</v>
      </c>
      <c r="G894" s="5">
        <v>2</v>
      </c>
      <c r="H894" s="6">
        <v>0.05</v>
      </c>
      <c r="I894" s="7">
        <v>4199.8999999999996</v>
      </c>
      <c r="J894" s="7">
        <v>79798.100000000006</v>
      </c>
      <c r="K894" s="7">
        <v>18982.36</v>
      </c>
      <c r="L894" s="2" t="s">
        <v>1114</v>
      </c>
      <c r="M894" s="18" t="s">
        <v>1841</v>
      </c>
      <c r="N894" s="3" t="s">
        <v>50</v>
      </c>
      <c r="O894" s="3" t="s">
        <v>63</v>
      </c>
      <c r="P894">
        <f>DATEVALUE(OnePlusSalesData[[#This Row],[order_date]])</f>
        <v>44153</v>
      </c>
      <c r="Q894" s="28">
        <f>DATEVALUE(OnePlusSalesData[[#This Row],[delivery_date]])</f>
        <v>44156</v>
      </c>
    </row>
    <row r="895" spans="1:17" ht="16" x14ac:dyDescent="0.45">
      <c r="A895" s="8" t="s">
        <v>1842</v>
      </c>
      <c r="B895" s="8" t="s">
        <v>25</v>
      </c>
      <c r="C895" s="9" t="s">
        <v>133</v>
      </c>
      <c r="D895" s="9" t="s">
        <v>34</v>
      </c>
      <c r="E895" s="9" t="s">
        <v>77</v>
      </c>
      <c r="F895" s="10">
        <v>24999</v>
      </c>
      <c r="G895" s="11">
        <v>2</v>
      </c>
      <c r="H895" s="12">
        <v>0</v>
      </c>
      <c r="I895" s="13">
        <v>0</v>
      </c>
      <c r="J895" s="13">
        <v>49998</v>
      </c>
      <c r="K895" s="13">
        <v>8354.24</v>
      </c>
      <c r="L895" s="8" t="s">
        <v>1843</v>
      </c>
      <c r="M895" s="19" t="s">
        <v>434</v>
      </c>
      <c r="N895" s="9" t="s">
        <v>22</v>
      </c>
      <c r="O895" s="9" t="s">
        <v>45</v>
      </c>
      <c r="P895">
        <f>DATEVALUE(OnePlusSalesData[[#This Row],[order_date]])</f>
        <v>44143</v>
      </c>
      <c r="Q895" s="28">
        <f>DATEVALUE(OnePlusSalesData[[#This Row],[delivery_date]])</f>
        <v>44150</v>
      </c>
    </row>
    <row r="896" spans="1:17" ht="16" x14ac:dyDescent="0.45">
      <c r="A896" s="2" t="s">
        <v>1844</v>
      </c>
      <c r="B896" s="2" t="s">
        <v>16</v>
      </c>
      <c r="C896" s="3" t="s">
        <v>140</v>
      </c>
      <c r="D896" s="3" t="s">
        <v>34</v>
      </c>
      <c r="E896" s="3" t="s">
        <v>35</v>
      </c>
      <c r="F896" s="4">
        <v>19999</v>
      </c>
      <c r="G896" s="5">
        <v>1</v>
      </c>
      <c r="H896" s="6">
        <v>0.05</v>
      </c>
      <c r="I896" s="7">
        <v>999.95</v>
      </c>
      <c r="J896" s="7">
        <v>18999.05</v>
      </c>
      <c r="K896" s="7">
        <v>4870.08</v>
      </c>
      <c r="L896" s="2" t="s">
        <v>1408</v>
      </c>
      <c r="M896" s="18" t="s">
        <v>1361</v>
      </c>
      <c r="N896" s="3" t="s">
        <v>22</v>
      </c>
      <c r="O896" s="3" t="s">
        <v>31</v>
      </c>
      <c r="P896">
        <f>DATEVALUE(OnePlusSalesData[[#This Row],[order_date]])</f>
        <v>43776</v>
      </c>
      <c r="Q896" s="28">
        <f>DATEVALUE(OnePlusSalesData[[#This Row],[delivery_date]])</f>
        <v>43781</v>
      </c>
    </row>
    <row r="897" spans="1:17" ht="16" x14ac:dyDescent="0.45">
      <c r="A897" s="8" t="s">
        <v>1845</v>
      </c>
      <c r="B897" s="8" t="s">
        <v>52</v>
      </c>
      <c r="C897" s="9" t="s">
        <v>53</v>
      </c>
      <c r="D897" s="9" t="s">
        <v>40</v>
      </c>
      <c r="E897" s="9" t="s">
        <v>73</v>
      </c>
      <c r="F897" s="10">
        <v>32999</v>
      </c>
      <c r="G897" s="11">
        <v>4</v>
      </c>
      <c r="H897" s="12">
        <v>0.08</v>
      </c>
      <c r="I897" s="13">
        <v>10559.68</v>
      </c>
      <c r="J897" s="13">
        <v>121436.32</v>
      </c>
      <c r="K897" s="13">
        <v>20028.79</v>
      </c>
      <c r="L897" s="8" t="s">
        <v>1132</v>
      </c>
      <c r="M897" s="19" t="s">
        <v>287</v>
      </c>
      <c r="N897" s="9" t="s">
        <v>92</v>
      </c>
      <c r="O897" s="9" t="s">
        <v>23</v>
      </c>
      <c r="P897">
        <f>DATEVALUE(OnePlusSalesData[[#This Row],[order_date]])</f>
        <v>43237</v>
      </c>
      <c r="Q897" s="28">
        <f>DATEVALUE(OnePlusSalesData[[#This Row],[delivery_date]])</f>
        <v>43244</v>
      </c>
    </row>
    <row r="898" spans="1:17" ht="16" x14ac:dyDescent="0.45">
      <c r="A898" s="2" t="s">
        <v>1846</v>
      </c>
      <c r="B898" s="2" t="s">
        <v>25</v>
      </c>
      <c r="C898" s="3" t="s">
        <v>120</v>
      </c>
      <c r="D898" s="3" t="s">
        <v>40</v>
      </c>
      <c r="E898" s="3" t="s">
        <v>54</v>
      </c>
      <c r="F898" s="4">
        <v>53999</v>
      </c>
      <c r="G898" s="5">
        <v>5</v>
      </c>
      <c r="H898" s="6">
        <v>0.1</v>
      </c>
      <c r="I898" s="7">
        <v>26999.5</v>
      </c>
      <c r="J898" s="7">
        <v>242995.5</v>
      </c>
      <c r="K898" s="7">
        <v>57161.26</v>
      </c>
      <c r="L898" s="2" t="s">
        <v>1847</v>
      </c>
      <c r="M898" s="18" t="s">
        <v>1231</v>
      </c>
      <c r="N898" s="3" t="s">
        <v>44</v>
      </c>
      <c r="O898" s="3" t="s">
        <v>63</v>
      </c>
      <c r="P898">
        <f>DATEVALUE(OnePlusSalesData[[#This Row],[order_date]])</f>
        <v>43443</v>
      </c>
      <c r="Q898" s="28">
        <f>DATEVALUE(OnePlusSalesData[[#This Row],[delivery_date]])</f>
        <v>43446</v>
      </c>
    </row>
    <row r="899" spans="1:17" ht="16" x14ac:dyDescent="0.45">
      <c r="A899" s="8" t="s">
        <v>1848</v>
      </c>
      <c r="B899" s="8" t="s">
        <v>58</v>
      </c>
      <c r="C899" s="9" t="s">
        <v>221</v>
      </c>
      <c r="D899" s="9" t="s">
        <v>40</v>
      </c>
      <c r="E899" s="9" t="s">
        <v>73</v>
      </c>
      <c r="F899" s="10">
        <v>32999</v>
      </c>
      <c r="G899" s="11">
        <v>3</v>
      </c>
      <c r="H899" s="12">
        <v>0.08</v>
      </c>
      <c r="I899" s="13">
        <v>7919.76</v>
      </c>
      <c r="J899" s="13">
        <v>91077.24</v>
      </c>
      <c r="K899" s="13">
        <v>22125.56</v>
      </c>
      <c r="L899" s="8" t="s">
        <v>713</v>
      </c>
      <c r="M899" s="19" t="s">
        <v>279</v>
      </c>
      <c r="N899" s="9" t="s">
        <v>22</v>
      </c>
      <c r="O899" s="9" t="s">
        <v>63</v>
      </c>
      <c r="P899">
        <f>DATEVALUE(OnePlusSalesData[[#This Row],[order_date]])</f>
        <v>43447</v>
      </c>
      <c r="Q899" s="28">
        <f>DATEVALUE(OnePlusSalesData[[#This Row],[delivery_date]])</f>
        <v>43452</v>
      </c>
    </row>
    <row r="900" spans="1:17" ht="16" x14ac:dyDescent="0.45">
      <c r="A900" s="2" t="s">
        <v>1849</v>
      </c>
      <c r="B900" s="2" t="s">
        <v>25</v>
      </c>
      <c r="C900" s="3" t="s">
        <v>65</v>
      </c>
      <c r="D900" s="3" t="s">
        <v>27</v>
      </c>
      <c r="E900" s="3" t="s">
        <v>28</v>
      </c>
      <c r="F900" s="4">
        <v>12999</v>
      </c>
      <c r="G900" s="5">
        <v>1</v>
      </c>
      <c r="H900" s="6">
        <v>0.12</v>
      </c>
      <c r="I900" s="7">
        <v>1559.88</v>
      </c>
      <c r="J900" s="7">
        <v>11439.12</v>
      </c>
      <c r="K900" s="7">
        <v>2787.8</v>
      </c>
      <c r="L900" s="2" t="s">
        <v>1248</v>
      </c>
      <c r="M900" s="18" t="s">
        <v>83</v>
      </c>
      <c r="N900" s="3" t="s">
        <v>22</v>
      </c>
      <c r="O900" s="3" t="s">
        <v>45</v>
      </c>
      <c r="P900">
        <f>DATEVALUE(OnePlusSalesData[[#This Row],[order_date]])</f>
        <v>43674</v>
      </c>
      <c r="Q900" s="28">
        <f>DATEVALUE(OnePlusSalesData[[#This Row],[delivery_date]])</f>
        <v>43681</v>
      </c>
    </row>
    <row r="901" spans="1:17" ht="16" x14ac:dyDescent="0.45">
      <c r="A901" s="8" t="s">
        <v>1850</v>
      </c>
      <c r="B901" s="8" t="s">
        <v>16</v>
      </c>
      <c r="C901" s="9" t="s">
        <v>140</v>
      </c>
      <c r="D901" s="9" t="s">
        <v>40</v>
      </c>
      <c r="E901" s="9" t="s">
        <v>406</v>
      </c>
      <c r="F901" s="10">
        <v>48999</v>
      </c>
      <c r="G901" s="11">
        <v>4</v>
      </c>
      <c r="H901" s="12">
        <v>0.05</v>
      </c>
      <c r="I901" s="13">
        <v>9799.7999999999993</v>
      </c>
      <c r="J901" s="13">
        <v>186196.2</v>
      </c>
      <c r="K901" s="13">
        <v>36404.019999999997</v>
      </c>
      <c r="L901" s="8" t="s">
        <v>1310</v>
      </c>
      <c r="M901" s="19" t="s">
        <v>1851</v>
      </c>
      <c r="N901" s="9" t="s">
        <v>50</v>
      </c>
      <c r="O901" s="9" t="s">
        <v>63</v>
      </c>
      <c r="P901">
        <f>DATEVALUE(OnePlusSalesData[[#This Row],[order_date]])</f>
        <v>43157</v>
      </c>
      <c r="Q901" s="28">
        <f>DATEVALUE(OnePlusSalesData[[#This Row],[delivery_date]])</f>
        <v>43160</v>
      </c>
    </row>
    <row r="902" spans="1:17" ht="16" x14ac:dyDescent="0.45">
      <c r="A902" s="2" t="s">
        <v>1852</v>
      </c>
      <c r="B902" s="2" t="s">
        <v>25</v>
      </c>
      <c r="C902" s="3" t="s">
        <v>172</v>
      </c>
      <c r="D902" s="3" t="s">
        <v>27</v>
      </c>
      <c r="E902" s="3" t="s">
        <v>28</v>
      </c>
      <c r="F902" s="4">
        <v>12999</v>
      </c>
      <c r="G902" s="5">
        <v>1</v>
      </c>
      <c r="H902" s="6">
        <v>0.08</v>
      </c>
      <c r="I902" s="7">
        <v>1039.92</v>
      </c>
      <c r="J902" s="7">
        <v>11959.08</v>
      </c>
      <c r="K902" s="7">
        <v>2925.65</v>
      </c>
      <c r="L902" s="2" t="s">
        <v>1570</v>
      </c>
      <c r="M902" s="18" t="s">
        <v>1793</v>
      </c>
      <c r="N902" s="3" t="s">
        <v>22</v>
      </c>
      <c r="O902" s="3" t="s">
        <v>96</v>
      </c>
      <c r="P902">
        <f>DATEVALUE(OnePlusSalesData[[#This Row],[order_date]])</f>
        <v>43518</v>
      </c>
      <c r="Q902" s="28">
        <f>DATEVALUE(OnePlusSalesData[[#This Row],[delivery_date]])</f>
        <v>43523</v>
      </c>
    </row>
    <row r="903" spans="1:17" ht="16" x14ac:dyDescent="0.45">
      <c r="A903" s="8" t="s">
        <v>1853</v>
      </c>
      <c r="B903" s="8" t="s">
        <v>52</v>
      </c>
      <c r="C903" s="9" t="s">
        <v>53</v>
      </c>
      <c r="D903" s="9" t="s">
        <v>18</v>
      </c>
      <c r="E903" s="9" t="s">
        <v>102</v>
      </c>
      <c r="F903" s="10">
        <v>1490</v>
      </c>
      <c r="G903" s="11">
        <v>1</v>
      </c>
      <c r="H903" s="12">
        <v>0.05</v>
      </c>
      <c r="I903" s="13">
        <v>74.5</v>
      </c>
      <c r="J903" s="13">
        <v>1415.5</v>
      </c>
      <c r="K903" s="13">
        <v>246.06</v>
      </c>
      <c r="L903" s="8" t="s">
        <v>799</v>
      </c>
      <c r="M903" s="19" t="s">
        <v>1854</v>
      </c>
      <c r="N903" s="9" t="s">
        <v>22</v>
      </c>
      <c r="O903" s="9" t="s">
        <v>23</v>
      </c>
      <c r="P903">
        <f>DATEVALUE(OnePlusSalesData[[#This Row],[order_date]])</f>
        <v>43281</v>
      </c>
      <c r="Q903" s="28">
        <f>DATEVALUE(OnePlusSalesData[[#This Row],[delivery_date]])</f>
        <v>43287</v>
      </c>
    </row>
    <row r="904" spans="1:17" ht="16" x14ac:dyDescent="0.45">
      <c r="A904" s="2" t="s">
        <v>1855</v>
      </c>
      <c r="B904" s="2" t="s">
        <v>52</v>
      </c>
      <c r="C904" s="3" t="s">
        <v>192</v>
      </c>
      <c r="D904" s="3" t="s">
        <v>18</v>
      </c>
      <c r="E904" s="3" t="s">
        <v>124</v>
      </c>
      <c r="F904" s="4">
        <v>3990</v>
      </c>
      <c r="G904" s="5">
        <v>1</v>
      </c>
      <c r="H904" s="6">
        <v>0.05</v>
      </c>
      <c r="I904" s="7">
        <v>199.5</v>
      </c>
      <c r="J904" s="7">
        <v>3790.5</v>
      </c>
      <c r="K904" s="7">
        <v>765.89</v>
      </c>
      <c r="L904" s="2" t="s">
        <v>304</v>
      </c>
      <c r="M904" s="18" t="s">
        <v>1856</v>
      </c>
      <c r="N904" s="3" t="s">
        <v>22</v>
      </c>
      <c r="O904" s="3" t="s">
        <v>63</v>
      </c>
      <c r="P904">
        <f>DATEVALUE(OnePlusSalesData[[#This Row],[order_date]])</f>
        <v>43582</v>
      </c>
      <c r="Q904" s="28">
        <f>DATEVALUE(OnePlusSalesData[[#This Row],[delivery_date]])</f>
        <v>43587</v>
      </c>
    </row>
    <row r="905" spans="1:17" ht="16" x14ac:dyDescent="0.45">
      <c r="A905" s="8" t="s">
        <v>1857</v>
      </c>
      <c r="B905" s="8" t="s">
        <v>52</v>
      </c>
      <c r="C905" s="9" t="s">
        <v>69</v>
      </c>
      <c r="D905" s="9" t="s">
        <v>40</v>
      </c>
      <c r="E905" s="9" t="s">
        <v>98</v>
      </c>
      <c r="F905" s="10">
        <v>34999</v>
      </c>
      <c r="G905" s="11">
        <v>1</v>
      </c>
      <c r="H905" s="12">
        <v>0.08</v>
      </c>
      <c r="I905" s="13">
        <v>2799.92</v>
      </c>
      <c r="J905" s="13">
        <v>32199.08</v>
      </c>
      <c r="K905" s="13">
        <v>6855.99</v>
      </c>
      <c r="L905" s="8" t="s">
        <v>1513</v>
      </c>
      <c r="M905" s="19" t="s">
        <v>127</v>
      </c>
      <c r="N905" s="9" t="s">
        <v>22</v>
      </c>
      <c r="O905" s="9" t="s">
        <v>23</v>
      </c>
      <c r="P905">
        <f>DATEVALUE(OnePlusSalesData[[#This Row],[order_date]])</f>
        <v>43566</v>
      </c>
      <c r="Q905" s="28">
        <f>DATEVALUE(OnePlusSalesData[[#This Row],[delivery_date]])</f>
        <v>43570</v>
      </c>
    </row>
    <row r="906" spans="1:17" ht="16" x14ac:dyDescent="0.45">
      <c r="A906" s="2" t="s">
        <v>1858</v>
      </c>
      <c r="B906" s="2" t="s">
        <v>25</v>
      </c>
      <c r="C906" s="3" t="s">
        <v>26</v>
      </c>
      <c r="D906" s="3" t="s">
        <v>40</v>
      </c>
      <c r="E906" s="3" t="s">
        <v>148</v>
      </c>
      <c r="F906" s="4">
        <v>41999</v>
      </c>
      <c r="G906" s="5">
        <v>1</v>
      </c>
      <c r="H906" s="6">
        <v>0.05</v>
      </c>
      <c r="I906" s="7">
        <v>2099.9499999999998</v>
      </c>
      <c r="J906" s="7">
        <v>39899.050000000003</v>
      </c>
      <c r="K906" s="7">
        <v>6403.05</v>
      </c>
      <c r="L906" s="2" t="s">
        <v>1859</v>
      </c>
      <c r="M906" s="18" t="s">
        <v>291</v>
      </c>
      <c r="N906" s="3" t="s">
        <v>50</v>
      </c>
      <c r="O906" s="3" t="s">
        <v>63</v>
      </c>
      <c r="P906">
        <f>DATEVALUE(OnePlusSalesData[[#This Row],[order_date]])</f>
        <v>43471</v>
      </c>
      <c r="Q906" s="28">
        <f>DATEVALUE(OnePlusSalesData[[#This Row],[delivery_date]])</f>
        <v>43476</v>
      </c>
    </row>
    <row r="907" spans="1:17" ht="16" x14ac:dyDescent="0.45">
      <c r="A907" s="8" t="s">
        <v>1860</v>
      </c>
      <c r="B907" s="8" t="s">
        <v>52</v>
      </c>
      <c r="C907" s="9" t="s">
        <v>106</v>
      </c>
      <c r="D907" s="9" t="s">
        <v>85</v>
      </c>
      <c r="E907" s="9" t="s">
        <v>265</v>
      </c>
      <c r="F907" s="10">
        <v>4990</v>
      </c>
      <c r="G907" s="11">
        <v>1</v>
      </c>
      <c r="H907" s="12">
        <v>0</v>
      </c>
      <c r="I907" s="13">
        <v>0</v>
      </c>
      <c r="J907" s="13">
        <v>4990</v>
      </c>
      <c r="K907" s="13">
        <v>1061.48</v>
      </c>
      <c r="L907" s="8" t="s">
        <v>1134</v>
      </c>
      <c r="M907" s="19" t="s">
        <v>1535</v>
      </c>
      <c r="N907" s="9" t="s">
        <v>92</v>
      </c>
      <c r="O907" s="9" t="s">
        <v>23</v>
      </c>
      <c r="P907">
        <f>DATEVALUE(OnePlusSalesData[[#This Row],[order_date]])</f>
        <v>44002</v>
      </c>
      <c r="Q907" s="28">
        <f>DATEVALUE(OnePlusSalesData[[#This Row],[delivery_date]])</f>
        <v>44006</v>
      </c>
    </row>
    <row r="908" spans="1:17" ht="16" x14ac:dyDescent="0.45">
      <c r="A908" s="2" t="s">
        <v>1861</v>
      </c>
      <c r="B908" s="2" t="s">
        <v>25</v>
      </c>
      <c r="C908" s="3" t="s">
        <v>120</v>
      </c>
      <c r="D908" s="3" t="s">
        <v>40</v>
      </c>
      <c r="E908" s="3" t="s">
        <v>54</v>
      </c>
      <c r="F908" s="4">
        <v>53999</v>
      </c>
      <c r="G908" s="5">
        <v>1</v>
      </c>
      <c r="H908" s="6">
        <v>0.05</v>
      </c>
      <c r="I908" s="7">
        <v>2699.95</v>
      </c>
      <c r="J908" s="7">
        <v>51299.05</v>
      </c>
      <c r="K908" s="7">
        <v>12150.97</v>
      </c>
      <c r="L908" s="2" t="s">
        <v>708</v>
      </c>
      <c r="M908" s="18" t="s">
        <v>1862</v>
      </c>
      <c r="N908" s="3" t="s">
        <v>50</v>
      </c>
      <c r="O908" s="3" t="s">
        <v>45</v>
      </c>
      <c r="P908">
        <f>DATEVALUE(OnePlusSalesData[[#This Row],[order_date]])</f>
        <v>43538</v>
      </c>
      <c r="Q908" s="28">
        <f>DATEVALUE(OnePlusSalesData[[#This Row],[delivery_date]])</f>
        <v>43541</v>
      </c>
    </row>
    <row r="909" spans="1:17" ht="16" x14ac:dyDescent="0.45">
      <c r="A909" s="8" t="s">
        <v>1863</v>
      </c>
      <c r="B909" s="8" t="s">
        <v>16</v>
      </c>
      <c r="C909" s="9" t="s">
        <v>17</v>
      </c>
      <c r="D909" s="9" t="s">
        <v>27</v>
      </c>
      <c r="E909" s="9" t="s">
        <v>159</v>
      </c>
      <c r="F909" s="10">
        <v>22999</v>
      </c>
      <c r="G909" s="11">
        <v>1</v>
      </c>
      <c r="H909" s="12">
        <v>0</v>
      </c>
      <c r="I909" s="13">
        <v>0</v>
      </c>
      <c r="J909" s="13">
        <v>22999</v>
      </c>
      <c r="K909" s="13">
        <v>3224.23</v>
      </c>
      <c r="L909" s="8" t="s">
        <v>865</v>
      </c>
      <c r="M909" s="19" t="s">
        <v>1454</v>
      </c>
      <c r="N909" s="9" t="s">
        <v>22</v>
      </c>
      <c r="O909" s="9" t="s">
        <v>31</v>
      </c>
      <c r="P909">
        <f>DATEVALUE(OnePlusSalesData[[#This Row],[order_date]])</f>
        <v>43855</v>
      </c>
      <c r="Q909" s="28">
        <f>DATEVALUE(OnePlusSalesData[[#This Row],[delivery_date]])</f>
        <v>43860</v>
      </c>
    </row>
    <row r="910" spans="1:17" ht="16" x14ac:dyDescent="0.45">
      <c r="A910" s="2" t="s">
        <v>1864</v>
      </c>
      <c r="B910" s="2" t="s">
        <v>25</v>
      </c>
      <c r="C910" s="3" t="s">
        <v>120</v>
      </c>
      <c r="D910" s="3" t="s">
        <v>40</v>
      </c>
      <c r="E910" s="3" t="s">
        <v>60</v>
      </c>
      <c r="F910" s="4">
        <v>54999</v>
      </c>
      <c r="G910" s="5">
        <v>1</v>
      </c>
      <c r="H910" s="6">
        <v>0.1</v>
      </c>
      <c r="I910" s="7">
        <v>5499.9</v>
      </c>
      <c r="J910" s="7">
        <v>49499.1</v>
      </c>
      <c r="K910" s="7">
        <v>7820.04</v>
      </c>
      <c r="L910" s="2" t="s">
        <v>184</v>
      </c>
      <c r="M910" s="18" t="s">
        <v>1865</v>
      </c>
      <c r="N910" s="3" t="s">
        <v>22</v>
      </c>
      <c r="O910" s="3" t="s">
        <v>23</v>
      </c>
      <c r="P910">
        <f>DATEVALUE(OnePlusSalesData[[#This Row],[order_date]])</f>
        <v>43708</v>
      </c>
      <c r="Q910" s="28">
        <f>DATEVALUE(OnePlusSalesData[[#This Row],[delivery_date]])</f>
        <v>43711</v>
      </c>
    </row>
    <row r="911" spans="1:17" ht="16" x14ac:dyDescent="0.45">
      <c r="A911" s="8" t="s">
        <v>1866</v>
      </c>
      <c r="B911" s="8" t="s">
        <v>16</v>
      </c>
      <c r="C911" s="9" t="s">
        <v>39</v>
      </c>
      <c r="D911" s="9" t="s">
        <v>40</v>
      </c>
      <c r="E911" s="9" t="s">
        <v>41</v>
      </c>
      <c r="F911" s="10">
        <v>37999</v>
      </c>
      <c r="G911" s="11">
        <v>1</v>
      </c>
      <c r="H911" s="12">
        <v>0.1</v>
      </c>
      <c r="I911" s="13">
        <v>3799.9</v>
      </c>
      <c r="J911" s="13">
        <v>34199.1</v>
      </c>
      <c r="K911" s="13">
        <v>4912.55</v>
      </c>
      <c r="L911" s="8" t="s">
        <v>1316</v>
      </c>
      <c r="M911" s="19" t="s">
        <v>1867</v>
      </c>
      <c r="N911" s="9" t="s">
        <v>22</v>
      </c>
      <c r="O911" s="9" t="s">
        <v>146</v>
      </c>
      <c r="P911">
        <f>DATEVALUE(OnePlusSalesData[[#This Row],[order_date]])</f>
        <v>43111</v>
      </c>
      <c r="Q911" s="28">
        <f>DATEVALUE(OnePlusSalesData[[#This Row],[delivery_date]])</f>
        <v>43117</v>
      </c>
    </row>
    <row r="912" spans="1:17" ht="16" x14ac:dyDescent="0.45">
      <c r="A912" s="2" t="s">
        <v>1868</v>
      </c>
      <c r="B912" s="2" t="s">
        <v>58</v>
      </c>
      <c r="C912" s="3" t="s">
        <v>81</v>
      </c>
      <c r="D912" s="3" t="s">
        <v>40</v>
      </c>
      <c r="E912" s="3" t="s">
        <v>73</v>
      </c>
      <c r="F912" s="4">
        <v>32999</v>
      </c>
      <c r="G912" s="5">
        <v>1</v>
      </c>
      <c r="H912" s="6">
        <v>0.08</v>
      </c>
      <c r="I912" s="7">
        <v>2639.92</v>
      </c>
      <c r="J912" s="7">
        <v>30359.08</v>
      </c>
      <c r="K912" s="7">
        <v>6688.43</v>
      </c>
      <c r="L912" s="2" t="s">
        <v>980</v>
      </c>
      <c r="M912" s="18" t="s">
        <v>1256</v>
      </c>
      <c r="N912" s="3" t="s">
        <v>92</v>
      </c>
      <c r="O912" s="3" t="s">
        <v>23</v>
      </c>
      <c r="P912">
        <f>DATEVALUE(OnePlusSalesData[[#This Row],[order_date]])</f>
        <v>43307</v>
      </c>
      <c r="Q912" s="28">
        <f>DATEVALUE(OnePlusSalesData[[#This Row],[delivery_date]])</f>
        <v>43314</v>
      </c>
    </row>
    <row r="913" spans="1:17" ht="16" x14ac:dyDescent="0.45">
      <c r="A913" s="8" t="s">
        <v>1869</v>
      </c>
      <c r="B913" s="8" t="s">
        <v>16</v>
      </c>
      <c r="C913" s="9" t="s">
        <v>140</v>
      </c>
      <c r="D913" s="9" t="s">
        <v>85</v>
      </c>
      <c r="E913" s="9" t="s">
        <v>86</v>
      </c>
      <c r="F913" s="10">
        <v>1999</v>
      </c>
      <c r="G913" s="11">
        <v>2</v>
      </c>
      <c r="H913" s="12">
        <v>0.08</v>
      </c>
      <c r="I913" s="13">
        <v>319.83999999999997</v>
      </c>
      <c r="J913" s="13">
        <v>3678.16</v>
      </c>
      <c r="K913" s="13">
        <v>893.94</v>
      </c>
      <c r="L913" s="8" t="s">
        <v>768</v>
      </c>
      <c r="M913" s="19" t="s">
        <v>1457</v>
      </c>
      <c r="N913" s="9" t="s">
        <v>92</v>
      </c>
      <c r="O913" s="9" t="s">
        <v>23</v>
      </c>
      <c r="P913">
        <f>DATEVALUE(OnePlusSalesData[[#This Row],[order_date]])</f>
        <v>43549</v>
      </c>
      <c r="Q913" s="28">
        <f>DATEVALUE(OnePlusSalesData[[#This Row],[delivery_date]])</f>
        <v>43552</v>
      </c>
    </row>
    <row r="914" spans="1:17" ht="16" x14ac:dyDescent="0.45">
      <c r="A914" s="2" t="s">
        <v>1870</v>
      </c>
      <c r="B914" s="2" t="s">
        <v>52</v>
      </c>
      <c r="C914" s="3" t="s">
        <v>358</v>
      </c>
      <c r="D914" s="3" t="s">
        <v>34</v>
      </c>
      <c r="E914" s="3" t="s">
        <v>77</v>
      </c>
      <c r="F914" s="4">
        <v>24999</v>
      </c>
      <c r="G914" s="5">
        <v>3</v>
      </c>
      <c r="H914" s="6">
        <v>0.08</v>
      </c>
      <c r="I914" s="7">
        <v>5999.76</v>
      </c>
      <c r="J914" s="7">
        <v>68997.240000000005</v>
      </c>
      <c r="K914" s="7">
        <v>11297.53</v>
      </c>
      <c r="L914" s="2" t="s">
        <v>611</v>
      </c>
      <c r="M914" s="18" t="s">
        <v>1871</v>
      </c>
      <c r="N914" s="3" t="s">
        <v>22</v>
      </c>
      <c r="O914" s="3" t="s">
        <v>63</v>
      </c>
      <c r="P914">
        <f>DATEVALUE(OnePlusSalesData[[#This Row],[order_date]])</f>
        <v>43188</v>
      </c>
      <c r="Q914" s="28">
        <f>DATEVALUE(OnePlusSalesData[[#This Row],[delivery_date]])</f>
        <v>43190</v>
      </c>
    </row>
    <row r="915" spans="1:17" ht="16" x14ac:dyDescent="0.45">
      <c r="A915" s="8" t="s">
        <v>1872</v>
      </c>
      <c r="B915" s="8" t="s">
        <v>52</v>
      </c>
      <c r="C915" s="9" t="s">
        <v>192</v>
      </c>
      <c r="D915" s="9" t="s">
        <v>85</v>
      </c>
      <c r="E915" s="9" t="s">
        <v>258</v>
      </c>
      <c r="F915" s="10">
        <v>2999</v>
      </c>
      <c r="G915" s="11">
        <v>5</v>
      </c>
      <c r="H915" s="12">
        <v>0.05</v>
      </c>
      <c r="I915" s="13">
        <v>749.75</v>
      </c>
      <c r="J915" s="13">
        <v>14245.25</v>
      </c>
      <c r="K915" s="13">
        <v>2740.97</v>
      </c>
      <c r="L915" s="8" t="s">
        <v>472</v>
      </c>
      <c r="M915" s="19" t="s">
        <v>521</v>
      </c>
      <c r="N915" s="9" t="s">
        <v>22</v>
      </c>
      <c r="O915" s="9" t="s">
        <v>23</v>
      </c>
      <c r="P915">
        <f>DATEVALUE(OnePlusSalesData[[#This Row],[order_date]])</f>
        <v>43255</v>
      </c>
      <c r="Q915" s="28">
        <f>DATEVALUE(OnePlusSalesData[[#This Row],[delivery_date]])</f>
        <v>43259</v>
      </c>
    </row>
    <row r="916" spans="1:17" ht="16" x14ac:dyDescent="0.45">
      <c r="A916" s="2" t="s">
        <v>1873</v>
      </c>
      <c r="B916" s="2" t="s">
        <v>16</v>
      </c>
      <c r="C916" s="3" t="s">
        <v>152</v>
      </c>
      <c r="D916" s="3" t="s">
        <v>27</v>
      </c>
      <c r="E916" s="3" t="s">
        <v>159</v>
      </c>
      <c r="F916" s="4">
        <v>22999</v>
      </c>
      <c r="G916" s="5">
        <v>1</v>
      </c>
      <c r="H916" s="6">
        <v>0.1</v>
      </c>
      <c r="I916" s="7">
        <v>2299.9</v>
      </c>
      <c r="J916" s="7">
        <v>20699.099999999999</v>
      </c>
      <c r="K916" s="7">
        <v>4648.8</v>
      </c>
      <c r="L916" s="2" t="s">
        <v>99</v>
      </c>
      <c r="M916" s="18" t="s">
        <v>100</v>
      </c>
      <c r="N916" s="3" t="s">
        <v>92</v>
      </c>
      <c r="O916" s="3" t="s">
        <v>63</v>
      </c>
      <c r="P916">
        <f>DATEVALUE(OnePlusSalesData[[#This Row],[order_date]])</f>
        <v>43830</v>
      </c>
      <c r="Q916" s="28">
        <f>DATEVALUE(OnePlusSalesData[[#This Row],[delivery_date]])</f>
        <v>43837</v>
      </c>
    </row>
    <row r="917" spans="1:17" ht="16" x14ac:dyDescent="0.45">
      <c r="A917" s="8" t="s">
        <v>1874</v>
      </c>
      <c r="B917" s="8" t="s">
        <v>58</v>
      </c>
      <c r="C917" s="9" t="s">
        <v>81</v>
      </c>
      <c r="D917" s="9" t="s">
        <v>85</v>
      </c>
      <c r="E917" s="9" t="s">
        <v>265</v>
      </c>
      <c r="F917" s="10">
        <v>4990</v>
      </c>
      <c r="G917" s="11">
        <v>1</v>
      </c>
      <c r="H917" s="12">
        <v>0.05</v>
      </c>
      <c r="I917" s="13">
        <v>249.5</v>
      </c>
      <c r="J917" s="13">
        <v>4740.5</v>
      </c>
      <c r="K917" s="13">
        <v>843.72</v>
      </c>
      <c r="L917" s="8" t="s">
        <v>713</v>
      </c>
      <c r="M917" s="19" t="s">
        <v>279</v>
      </c>
      <c r="N917" s="9" t="s">
        <v>22</v>
      </c>
      <c r="O917" s="9" t="s">
        <v>63</v>
      </c>
      <c r="P917">
        <f>DATEVALUE(OnePlusSalesData[[#This Row],[order_date]])</f>
        <v>43447</v>
      </c>
      <c r="Q917" s="28">
        <f>DATEVALUE(OnePlusSalesData[[#This Row],[delivery_date]])</f>
        <v>43452</v>
      </c>
    </row>
    <row r="918" spans="1:17" ht="16" x14ac:dyDescent="0.45">
      <c r="A918" s="2" t="s">
        <v>1875</v>
      </c>
      <c r="B918" s="2" t="s">
        <v>25</v>
      </c>
      <c r="C918" s="3" t="s">
        <v>172</v>
      </c>
      <c r="D918" s="3" t="s">
        <v>85</v>
      </c>
      <c r="E918" s="3" t="s">
        <v>86</v>
      </c>
      <c r="F918" s="4">
        <v>1999</v>
      </c>
      <c r="G918" s="5">
        <v>1</v>
      </c>
      <c r="H918" s="6">
        <v>0.1</v>
      </c>
      <c r="I918" s="7">
        <v>199.9</v>
      </c>
      <c r="J918" s="7">
        <v>1799.1</v>
      </c>
      <c r="K918" s="7">
        <v>445.88</v>
      </c>
      <c r="L918" s="2" t="s">
        <v>1431</v>
      </c>
      <c r="M918" s="18" t="s">
        <v>429</v>
      </c>
      <c r="N918" s="3" t="s">
        <v>50</v>
      </c>
      <c r="O918" s="3" t="s">
        <v>23</v>
      </c>
      <c r="P918">
        <f>DATEVALUE(OnePlusSalesData[[#This Row],[order_date]])</f>
        <v>43857</v>
      </c>
      <c r="Q918" s="28">
        <f>DATEVALUE(OnePlusSalesData[[#This Row],[delivery_date]])</f>
        <v>43863</v>
      </c>
    </row>
    <row r="919" spans="1:17" ht="16" x14ac:dyDescent="0.45">
      <c r="A919" s="8" t="s">
        <v>1876</v>
      </c>
      <c r="B919" s="8" t="s">
        <v>16</v>
      </c>
      <c r="C919" s="9" t="s">
        <v>17</v>
      </c>
      <c r="D919" s="9" t="s">
        <v>40</v>
      </c>
      <c r="E919" s="9" t="s">
        <v>98</v>
      </c>
      <c r="F919" s="10">
        <v>34999</v>
      </c>
      <c r="G919" s="11">
        <v>1</v>
      </c>
      <c r="H919" s="12">
        <v>0.05</v>
      </c>
      <c r="I919" s="13">
        <v>1749.95</v>
      </c>
      <c r="J919" s="13">
        <v>33249.050000000003</v>
      </c>
      <c r="K919" s="13">
        <v>6348.55</v>
      </c>
      <c r="L919" s="8" t="s">
        <v>1619</v>
      </c>
      <c r="M919" s="19" t="s">
        <v>1620</v>
      </c>
      <c r="N919" s="9" t="s">
        <v>92</v>
      </c>
      <c r="O919" s="9" t="s">
        <v>63</v>
      </c>
      <c r="P919">
        <f>DATEVALUE(OnePlusSalesData[[#This Row],[order_date]])</f>
        <v>44050</v>
      </c>
      <c r="Q919" s="28">
        <f>DATEVALUE(OnePlusSalesData[[#This Row],[delivery_date]])</f>
        <v>44053</v>
      </c>
    </row>
    <row r="920" spans="1:17" ht="16" x14ac:dyDescent="0.45">
      <c r="A920" s="2" t="s">
        <v>1877</v>
      </c>
      <c r="B920" s="2" t="s">
        <v>52</v>
      </c>
      <c r="C920" s="3" t="s">
        <v>192</v>
      </c>
      <c r="D920" s="3" t="s">
        <v>27</v>
      </c>
      <c r="E920" s="3" t="s">
        <v>28</v>
      </c>
      <c r="F920" s="4">
        <v>12999</v>
      </c>
      <c r="G920" s="5">
        <v>1</v>
      </c>
      <c r="H920" s="6">
        <v>0.12</v>
      </c>
      <c r="I920" s="7">
        <v>1559.88</v>
      </c>
      <c r="J920" s="7">
        <v>11439.12</v>
      </c>
      <c r="K920" s="7">
        <v>2868.38</v>
      </c>
      <c r="L920" s="2" t="s">
        <v>525</v>
      </c>
      <c r="M920" s="18" t="s">
        <v>1217</v>
      </c>
      <c r="N920" s="3" t="s">
        <v>22</v>
      </c>
      <c r="O920" s="3" t="s">
        <v>146</v>
      </c>
      <c r="P920">
        <f>DATEVALUE(OnePlusSalesData[[#This Row],[order_date]])</f>
        <v>43663</v>
      </c>
      <c r="Q920" s="28">
        <f>DATEVALUE(OnePlusSalesData[[#This Row],[delivery_date]])</f>
        <v>43666</v>
      </c>
    </row>
    <row r="921" spans="1:17" ht="16" x14ac:dyDescent="0.45">
      <c r="A921" s="8" t="s">
        <v>1878</v>
      </c>
      <c r="B921" s="8" t="s">
        <v>25</v>
      </c>
      <c r="C921" s="9" t="s">
        <v>120</v>
      </c>
      <c r="D921" s="9" t="s">
        <v>18</v>
      </c>
      <c r="E921" s="9" t="s">
        <v>124</v>
      </c>
      <c r="F921" s="10">
        <v>3990</v>
      </c>
      <c r="G921" s="11">
        <v>1</v>
      </c>
      <c r="H921" s="12">
        <v>0.05</v>
      </c>
      <c r="I921" s="13">
        <v>199.5</v>
      </c>
      <c r="J921" s="13">
        <v>3790.5</v>
      </c>
      <c r="K921" s="13">
        <v>650.53</v>
      </c>
      <c r="L921" s="8" t="s">
        <v>781</v>
      </c>
      <c r="M921" s="19" t="s">
        <v>1214</v>
      </c>
      <c r="N921" s="9" t="s">
        <v>22</v>
      </c>
      <c r="O921" s="9" t="s">
        <v>31</v>
      </c>
      <c r="P921">
        <f>DATEVALUE(OnePlusSalesData[[#This Row],[order_date]])</f>
        <v>43425</v>
      </c>
      <c r="Q921" s="28">
        <f>DATEVALUE(OnePlusSalesData[[#This Row],[delivery_date]])</f>
        <v>43431</v>
      </c>
    </row>
    <row r="922" spans="1:17" ht="16" x14ac:dyDescent="0.45">
      <c r="A922" s="2" t="s">
        <v>1879</v>
      </c>
      <c r="B922" s="2" t="s">
        <v>25</v>
      </c>
      <c r="C922" s="3" t="s">
        <v>172</v>
      </c>
      <c r="D922" s="3" t="s">
        <v>34</v>
      </c>
      <c r="E922" s="3" t="s">
        <v>35</v>
      </c>
      <c r="F922" s="4">
        <v>19999</v>
      </c>
      <c r="G922" s="5">
        <v>1</v>
      </c>
      <c r="H922" s="6">
        <v>0.05</v>
      </c>
      <c r="I922" s="7">
        <v>999.95</v>
      </c>
      <c r="J922" s="7">
        <v>18999.05</v>
      </c>
      <c r="K922" s="7">
        <v>4441.2700000000004</v>
      </c>
      <c r="L922" s="2" t="s">
        <v>1836</v>
      </c>
      <c r="M922" s="18" t="s">
        <v>1160</v>
      </c>
      <c r="N922" s="3" t="s">
        <v>50</v>
      </c>
      <c r="O922" s="3" t="s">
        <v>23</v>
      </c>
      <c r="P922">
        <f>DATEVALUE(OnePlusSalesData[[#This Row],[order_date]])</f>
        <v>43249</v>
      </c>
      <c r="Q922" s="28">
        <f>DATEVALUE(OnePlusSalesData[[#This Row],[delivery_date]])</f>
        <v>43251</v>
      </c>
    </row>
    <row r="923" spans="1:17" ht="16" x14ac:dyDescent="0.45">
      <c r="A923" s="8" t="s">
        <v>1880</v>
      </c>
      <c r="B923" s="8" t="s">
        <v>16</v>
      </c>
      <c r="C923" s="9" t="s">
        <v>33</v>
      </c>
      <c r="D923" s="9" t="s">
        <v>40</v>
      </c>
      <c r="E923" s="9" t="s">
        <v>41</v>
      </c>
      <c r="F923" s="10">
        <v>37999</v>
      </c>
      <c r="G923" s="11">
        <v>1</v>
      </c>
      <c r="H923" s="12">
        <v>0.05</v>
      </c>
      <c r="I923" s="13">
        <v>1899.95</v>
      </c>
      <c r="J923" s="13">
        <v>36099.050000000003</v>
      </c>
      <c r="K923" s="13">
        <v>5644.09</v>
      </c>
      <c r="L923" s="8" t="s">
        <v>1881</v>
      </c>
      <c r="M923" s="19" t="s">
        <v>1080</v>
      </c>
      <c r="N923" s="9" t="s">
        <v>50</v>
      </c>
      <c r="O923" s="9" t="s">
        <v>63</v>
      </c>
      <c r="P923">
        <f>DATEVALUE(OnePlusSalesData[[#This Row],[order_date]])</f>
        <v>43696</v>
      </c>
      <c r="Q923" s="28">
        <f>DATEVALUE(OnePlusSalesData[[#This Row],[delivery_date]])</f>
        <v>43699</v>
      </c>
    </row>
    <row r="924" spans="1:17" ht="16" x14ac:dyDescent="0.45">
      <c r="A924" s="2" t="s">
        <v>1882</v>
      </c>
      <c r="B924" s="2" t="s">
        <v>52</v>
      </c>
      <c r="C924" s="3" t="s">
        <v>69</v>
      </c>
      <c r="D924" s="3" t="s">
        <v>40</v>
      </c>
      <c r="E924" s="3" t="s">
        <v>60</v>
      </c>
      <c r="F924" s="4">
        <v>54999</v>
      </c>
      <c r="G924" s="5">
        <v>1</v>
      </c>
      <c r="H924" s="6">
        <v>0.05</v>
      </c>
      <c r="I924" s="7">
        <v>2749.95</v>
      </c>
      <c r="J924" s="7">
        <v>52249.05</v>
      </c>
      <c r="K924" s="7">
        <v>12349.87</v>
      </c>
      <c r="L924" s="2" t="s">
        <v>372</v>
      </c>
      <c r="M924" s="18" t="s">
        <v>1460</v>
      </c>
      <c r="N924" s="3" t="s">
        <v>22</v>
      </c>
      <c r="O924" s="3" t="s">
        <v>96</v>
      </c>
      <c r="P924">
        <f>DATEVALUE(OnePlusSalesData[[#This Row],[order_date]])</f>
        <v>44042</v>
      </c>
      <c r="Q924" s="28">
        <f>DATEVALUE(OnePlusSalesData[[#This Row],[delivery_date]])</f>
        <v>44047</v>
      </c>
    </row>
    <row r="925" spans="1:17" ht="16" x14ac:dyDescent="0.45">
      <c r="A925" s="8" t="s">
        <v>1883</v>
      </c>
      <c r="B925" s="8" t="s">
        <v>58</v>
      </c>
      <c r="C925" s="9" t="s">
        <v>221</v>
      </c>
      <c r="D925" s="9" t="s">
        <v>18</v>
      </c>
      <c r="E925" s="9" t="s">
        <v>102</v>
      </c>
      <c r="F925" s="10">
        <v>1490</v>
      </c>
      <c r="G925" s="11">
        <v>1</v>
      </c>
      <c r="H925" s="12">
        <v>0.05</v>
      </c>
      <c r="I925" s="13">
        <v>74.5</v>
      </c>
      <c r="J925" s="13">
        <v>1415.5</v>
      </c>
      <c r="K925" s="13">
        <v>313.60000000000002</v>
      </c>
      <c r="L925" s="8" t="s">
        <v>619</v>
      </c>
      <c r="M925" s="19" t="s">
        <v>273</v>
      </c>
      <c r="N925" s="9" t="s">
        <v>92</v>
      </c>
      <c r="O925" s="9" t="s">
        <v>45</v>
      </c>
      <c r="P925">
        <f>DATEVALUE(OnePlusSalesData[[#This Row],[order_date]])</f>
        <v>43334</v>
      </c>
      <c r="Q925" s="28">
        <f>DATEVALUE(OnePlusSalesData[[#This Row],[delivery_date]])</f>
        <v>43339</v>
      </c>
    </row>
    <row r="926" spans="1:17" ht="16" x14ac:dyDescent="0.45">
      <c r="A926" s="2" t="s">
        <v>1884</v>
      </c>
      <c r="B926" s="2" t="s">
        <v>25</v>
      </c>
      <c r="C926" s="3" t="s">
        <v>133</v>
      </c>
      <c r="D926" s="3" t="s">
        <v>27</v>
      </c>
      <c r="E926" s="3" t="s">
        <v>28</v>
      </c>
      <c r="F926" s="4">
        <v>12999</v>
      </c>
      <c r="G926" s="5">
        <v>2</v>
      </c>
      <c r="H926" s="6">
        <v>0.1</v>
      </c>
      <c r="I926" s="7">
        <v>2599.8000000000002</v>
      </c>
      <c r="J926" s="7">
        <v>23398.2</v>
      </c>
      <c r="K926" s="7">
        <v>4097.7</v>
      </c>
      <c r="L926" s="2" t="s">
        <v>1162</v>
      </c>
      <c r="M926" s="18" t="s">
        <v>608</v>
      </c>
      <c r="N926" s="3" t="s">
        <v>22</v>
      </c>
      <c r="O926" s="3" t="s">
        <v>23</v>
      </c>
      <c r="P926">
        <f>DATEVALUE(OnePlusSalesData[[#This Row],[order_date]])</f>
        <v>43297</v>
      </c>
      <c r="Q926" s="28">
        <f>DATEVALUE(OnePlusSalesData[[#This Row],[delivery_date]])</f>
        <v>43303</v>
      </c>
    </row>
    <row r="927" spans="1:17" ht="16" x14ac:dyDescent="0.45">
      <c r="A927" s="8" t="s">
        <v>1885</v>
      </c>
      <c r="B927" s="8" t="s">
        <v>16</v>
      </c>
      <c r="C927" s="9" t="s">
        <v>152</v>
      </c>
      <c r="D927" s="9" t="s">
        <v>40</v>
      </c>
      <c r="E927" s="9" t="s">
        <v>47</v>
      </c>
      <c r="F927" s="10">
        <v>37999</v>
      </c>
      <c r="G927" s="11">
        <v>1</v>
      </c>
      <c r="H927" s="12">
        <v>0.15</v>
      </c>
      <c r="I927" s="13">
        <v>5699.85</v>
      </c>
      <c r="J927" s="13">
        <v>32299.15</v>
      </c>
      <c r="K927" s="13">
        <v>5560.67</v>
      </c>
      <c r="L927" s="8" t="s">
        <v>1431</v>
      </c>
      <c r="M927" s="19" t="s">
        <v>1454</v>
      </c>
      <c r="N927" s="9" t="s">
        <v>92</v>
      </c>
      <c r="O927" s="9" t="s">
        <v>23</v>
      </c>
      <c r="P927">
        <f>DATEVALUE(OnePlusSalesData[[#This Row],[order_date]])</f>
        <v>43857</v>
      </c>
      <c r="Q927" s="28">
        <f>DATEVALUE(OnePlusSalesData[[#This Row],[delivery_date]])</f>
        <v>43860</v>
      </c>
    </row>
    <row r="928" spans="1:17" ht="16" x14ac:dyDescent="0.45">
      <c r="A928" s="2" t="s">
        <v>1886</v>
      </c>
      <c r="B928" s="2" t="s">
        <v>25</v>
      </c>
      <c r="C928" s="3" t="s">
        <v>172</v>
      </c>
      <c r="D928" s="3" t="s">
        <v>27</v>
      </c>
      <c r="E928" s="3" t="s">
        <v>176</v>
      </c>
      <c r="F928" s="4">
        <v>69900</v>
      </c>
      <c r="G928" s="5">
        <v>1</v>
      </c>
      <c r="H928" s="6">
        <v>0</v>
      </c>
      <c r="I928" s="7">
        <v>0</v>
      </c>
      <c r="J928" s="7">
        <v>69900</v>
      </c>
      <c r="K928" s="7">
        <v>9942.41</v>
      </c>
      <c r="L928" s="2" t="s">
        <v>910</v>
      </c>
      <c r="M928" s="18" t="s">
        <v>1515</v>
      </c>
      <c r="N928" s="3" t="s">
        <v>92</v>
      </c>
      <c r="O928" s="3" t="s">
        <v>31</v>
      </c>
      <c r="P928">
        <f>DATEVALUE(OnePlusSalesData[[#This Row],[order_date]])</f>
        <v>43163</v>
      </c>
      <c r="Q928" s="28">
        <f>DATEVALUE(OnePlusSalesData[[#This Row],[delivery_date]])</f>
        <v>43166</v>
      </c>
    </row>
    <row r="929" spans="1:17" ht="16" x14ac:dyDescent="0.45">
      <c r="A929" s="8" t="s">
        <v>1887</v>
      </c>
      <c r="B929" s="8" t="s">
        <v>52</v>
      </c>
      <c r="C929" s="9" t="s">
        <v>69</v>
      </c>
      <c r="D929" s="9" t="s">
        <v>40</v>
      </c>
      <c r="E929" s="9" t="s">
        <v>73</v>
      </c>
      <c r="F929" s="10">
        <v>32999</v>
      </c>
      <c r="G929" s="11">
        <v>2</v>
      </c>
      <c r="H929" s="12">
        <v>0.08</v>
      </c>
      <c r="I929" s="13">
        <v>5279.84</v>
      </c>
      <c r="J929" s="13">
        <v>60718.16</v>
      </c>
      <c r="K929" s="13">
        <v>13276.29</v>
      </c>
      <c r="L929" s="8" t="s">
        <v>1888</v>
      </c>
      <c r="M929" s="19" t="s">
        <v>989</v>
      </c>
      <c r="N929" s="9" t="s">
        <v>44</v>
      </c>
      <c r="O929" s="9" t="s">
        <v>23</v>
      </c>
      <c r="P929">
        <f>DATEVALUE(OnePlusSalesData[[#This Row],[order_date]])</f>
        <v>43913</v>
      </c>
      <c r="Q929" s="28">
        <f>DATEVALUE(OnePlusSalesData[[#This Row],[delivery_date]])</f>
        <v>43917</v>
      </c>
    </row>
    <row r="930" spans="1:17" ht="16" x14ac:dyDescent="0.45">
      <c r="A930" s="2" t="s">
        <v>1889</v>
      </c>
      <c r="B930" s="2" t="s">
        <v>16</v>
      </c>
      <c r="C930" s="3" t="s">
        <v>33</v>
      </c>
      <c r="D930" s="3" t="s">
        <v>40</v>
      </c>
      <c r="E930" s="3" t="s">
        <v>73</v>
      </c>
      <c r="F930" s="4">
        <v>32999</v>
      </c>
      <c r="G930" s="5">
        <v>1</v>
      </c>
      <c r="H930" s="6">
        <v>0.05</v>
      </c>
      <c r="I930" s="7">
        <v>1649.95</v>
      </c>
      <c r="J930" s="7">
        <v>31349.05</v>
      </c>
      <c r="K930" s="7">
        <v>7220.85</v>
      </c>
      <c r="L930" s="2" t="s">
        <v>1095</v>
      </c>
      <c r="M930" s="18" t="s">
        <v>1890</v>
      </c>
      <c r="N930" s="3" t="s">
        <v>50</v>
      </c>
      <c r="O930" s="3" t="s">
        <v>31</v>
      </c>
      <c r="P930">
        <f>DATEVALUE(OnePlusSalesData[[#This Row],[order_date]])</f>
        <v>44154</v>
      </c>
      <c r="Q930" s="28">
        <f>DATEVALUE(OnePlusSalesData[[#This Row],[delivery_date]])</f>
        <v>44157</v>
      </c>
    </row>
    <row r="931" spans="1:17" ht="16" x14ac:dyDescent="0.45">
      <c r="A931" s="8" t="s">
        <v>1891</v>
      </c>
      <c r="B931" s="8" t="s">
        <v>52</v>
      </c>
      <c r="C931" s="9" t="s">
        <v>69</v>
      </c>
      <c r="D931" s="9" t="s">
        <v>34</v>
      </c>
      <c r="E931" s="9" t="s">
        <v>77</v>
      </c>
      <c r="F931" s="10">
        <v>24999</v>
      </c>
      <c r="G931" s="11">
        <v>1</v>
      </c>
      <c r="H931" s="12">
        <v>0</v>
      </c>
      <c r="I931" s="13">
        <v>0</v>
      </c>
      <c r="J931" s="13">
        <v>24999</v>
      </c>
      <c r="K931" s="13">
        <v>4608.74</v>
      </c>
      <c r="L931" s="8" t="s">
        <v>1080</v>
      </c>
      <c r="M931" s="19" t="s">
        <v>183</v>
      </c>
      <c r="N931" s="9" t="s">
        <v>22</v>
      </c>
      <c r="O931" s="9" t="s">
        <v>63</v>
      </c>
      <c r="P931">
        <f>DATEVALUE(OnePlusSalesData[[#This Row],[order_date]])</f>
        <v>43699</v>
      </c>
      <c r="Q931" s="28">
        <f>DATEVALUE(OnePlusSalesData[[#This Row],[delivery_date]])</f>
        <v>43705</v>
      </c>
    </row>
    <row r="932" spans="1:17" ht="16" x14ac:dyDescent="0.45">
      <c r="A932" s="2" t="s">
        <v>1892</v>
      </c>
      <c r="B932" s="2" t="s">
        <v>58</v>
      </c>
      <c r="C932" s="3" t="s">
        <v>59</v>
      </c>
      <c r="D932" s="3" t="s">
        <v>18</v>
      </c>
      <c r="E932" s="3" t="s">
        <v>19</v>
      </c>
      <c r="F932" s="4">
        <v>1990</v>
      </c>
      <c r="G932" s="5">
        <v>2</v>
      </c>
      <c r="H932" s="6">
        <v>0</v>
      </c>
      <c r="I932" s="7">
        <v>0</v>
      </c>
      <c r="J932" s="7">
        <v>3980</v>
      </c>
      <c r="K932" s="7">
        <v>960.54</v>
      </c>
      <c r="L932" s="2" t="s">
        <v>415</v>
      </c>
      <c r="M932" s="18" t="s">
        <v>701</v>
      </c>
      <c r="N932" s="3" t="s">
        <v>44</v>
      </c>
      <c r="O932" s="3" t="s">
        <v>63</v>
      </c>
      <c r="P932">
        <f>DATEVALUE(OnePlusSalesData[[#This Row],[order_date]])</f>
        <v>43320</v>
      </c>
      <c r="Q932" s="28">
        <f>DATEVALUE(OnePlusSalesData[[#This Row],[delivery_date]])</f>
        <v>43322</v>
      </c>
    </row>
    <row r="933" spans="1:17" ht="16" x14ac:dyDescent="0.45">
      <c r="A933" s="8" t="s">
        <v>1893</v>
      </c>
      <c r="B933" s="8" t="s">
        <v>52</v>
      </c>
      <c r="C933" s="9" t="s">
        <v>358</v>
      </c>
      <c r="D933" s="9" t="s">
        <v>40</v>
      </c>
      <c r="E933" s="9" t="s">
        <v>148</v>
      </c>
      <c r="F933" s="10">
        <v>41999</v>
      </c>
      <c r="G933" s="11">
        <v>1</v>
      </c>
      <c r="H933" s="12">
        <v>0.05</v>
      </c>
      <c r="I933" s="13">
        <v>2099.9499999999998</v>
      </c>
      <c r="J933" s="13">
        <v>39899.050000000003</v>
      </c>
      <c r="K933" s="13">
        <v>6735.37</v>
      </c>
      <c r="L933" s="8" t="s">
        <v>1894</v>
      </c>
      <c r="M933" s="19" t="s">
        <v>1895</v>
      </c>
      <c r="N933" s="9" t="s">
        <v>22</v>
      </c>
      <c r="O933" s="9" t="s">
        <v>23</v>
      </c>
      <c r="P933">
        <f>DATEVALUE(OnePlusSalesData[[#This Row],[order_date]])</f>
        <v>43517</v>
      </c>
      <c r="Q933" s="28">
        <f>DATEVALUE(OnePlusSalesData[[#This Row],[delivery_date]])</f>
        <v>43524</v>
      </c>
    </row>
    <row r="934" spans="1:17" ht="16" x14ac:dyDescent="0.45">
      <c r="A934" s="2" t="s">
        <v>1896</v>
      </c>
      <c r="B934" s="2" t="s">
        <v>52</v>
      </c>
      <c r="C934" s="3" t="s">
        <v>69</v>
      </c>
      <c r="D934" s="3" t="s">
        <v>27</v>
      </c>
      <c r="E934" s="3" t="s">
        <v>176</v>
      </c>
      <c r="F934" s="4">
        <v>69900</v>
      </c>
      <c r="G934" s="5">
        <v>1</v>
      </c>
      <c r="H934" s="6">
        <v>0.08</v>
      </c>
      <c r="I934" s="7">
        <v>5592</v>
      </c>
      <c r="J934" s="7">
        <v>64308</v>
      </c>
      <c r="K934" s="7">
        <v>13666.17</v>
      </c>
      <c r="L934" s="2" t="s">
        <v>429</v>
      </c>
      <c r="M934" s="18" t="s">
        <v>1599</v>
      </c>
      <c r="N934" s="3" t="s">
        <v>22</v>
      </c>
      <c r="O934" s="3" t="s">
        <v>31</v>
      </c>
      <c r="P934">
        <f>DATEVALUE(OnePlusSalesData[[#This Row],[order_date]])</f>
        <v>43863</v>
      </c>
      <c r="Q934" s="28">
        <f>DATEVALUE(OnePlusSalesData[[#This Row],[delivery_date]])</f>
        <v>43869</v>
      </c>
    </row>
    <row r="935" spans="1:17" ht="16" x14ac:dyDescent="0.45">
      <c r="A935" s="8" t="s">
        <v>1897</v>
      </c>
      <c r="B935" s="8" t="s">
        <v>16</v>
      </c>
      <c r="C935" s="9" t="s">
        <v>33</v>
      </c>
      <c r="D935" s="9" t="s">
        <v>40</v>
      </c>
      <c r="E935" s="9" t="s">
        <v>47</v>
      </c>
      <c r="F935" s="10">
        <v>37999</v>
      </c>
      <c r="G935" s="11">
        <v>1</v>
      </c>
      <c r="H935" s="12">
        <v>0.12</v>
      </c>
      <c r="I935" s="13">
        <v>4559.88</v>
      </c>
      <c r="J935" s="13">
        <v>33439.120000000003</v>
      </c>
      <c r="K935" s="13">
        <v>7043.29</v>
      </c>
      <c r="L935" s="8" t="s">
        <v>1417</v>
      </c>
      <c r="M935" s="19" t="s">
        <v>1898</v>
      </c>
      <c r="N935" s="9" t="s">
        <v>92</v>
      </c>
      <c r="O935" s="9" t="s">
        <v>63</v>
      </c>
      <c r="P935">
        <f>DATEVALUE(OnePlusSalesData[[#This Row],[order_date]])</f>
        <v>43350</v>
      </c>
      <c r="Q935" s="28">
        <f>DATEVALUE(OnePlusSalesData[[#This Row],[delivery_date]])</f>
        <v>43355</v>
      </c>
    </row>
    <row r="936" spans="1:17" ht="16" x14ac:dyDescent="0.45">
      <c r="A936" s="2" t="s">
        <v>1899</v>
      </c>
      <c r="B936" s="2" t="s">
        <v>58</v>
      </c>
      <c r="C936" s="3" t="s">
        <v>59</v>
      </c>
      <c r="D936" s="3" t="s">
        <v>85</v>
      </c>
      <c r="E936" s="3" t="s">
        <v>258</v>
      </c>
      <c r="F936" s="4">
        <v>2999</v>
      </c>
      <c r="G936" s="5">
        <v>1</v>
      </c>
      <c r="H936" s="6">
        <v>0.05</v>
      </c>
      <c r="I936" s="7">
        <v>149.94999999999999</v>
      </c>
      <c r="J936" s="7">
        <v>2849.05</v>
      </c>
      <c r="K936" s="7">
        <v>562.62</v>
      </c>
      <c r="L936" s="2" t="s">
        <v>1900</v>
      </c>
      <c r="M936" s="18" t="s">
        <v>128</v>
      </c>
      <c r="N936" s="3" t="s">
        <v>50</v>
      </c>
      <c r="O936" s="3" t="s">
        <v>31</v>
      </c>
      <c r="P936">
        <f>DATEVALUE(OnePlusSalesData[[#This Row],[order_date]])</f>
        <v>43574</v>
      </c>
      <c r="Q936" s="28">
        <f>DATEVALUE(OnePlusSalesData[[#This Row],[delivery_date]])</f>
        <v>43577</v>
      </c>
    </row>
    <row r="937" spans="1:17" ht="16" x14ac:dyDescent="0.45">
      <c r="A937" s="8" t="s">
        <v>1901</v>
      </c>
      <c r="B937" s="8" t="s">
        <v>16</v>
      </c>
      <c r="C937" s="9" t="s">
        <v>39</v>
      </c>
      <c r="D937" s="9" t="s">
        <v>27</v>
      </c>
      <c r="E937" s="9" t="s">
        <v>28</v>
      </c>
      <c r="F937" s="10">
        <v>12999</v>
      </c>
      <c r="G937" s="11">
        <v>1</v>
      </c>
      <c r="H937" s="12">
        <v>0.08</v>
      </c>
      <c r="I937" s="13">
        <v>1039.92</v>
      </c>
      <c r="J937" s="13">
        <v>11959.08</v>
      </c>
      <c r="K937" s="13">
        <v>2476.2600000000002</v>
      </c>
      <c r="L937" s="8" t="s">
        <v>1164</v>
      </c>
      <c r="M937" s="19" t="s">
        <v>1661</v>
      </c>
      <c r="N937" s="9" t="s">
        <v>50</v>
      </c>
      <c r="O937" s="9" t="s">
        <v>96</v>
      </c>
      <c r="P937">
        <f>DATEVALUE(OnePlusSalesData[[#This Row],[order_date]])</f>
        <v>43883</v>
      </c>
      <c r="Q937" s="28">
        <f>DATEVALUE(OnePlusSalesData[[#This Row],[delivery_date]])</f>
        <v>43886</v>
      </c>
    </row>
    <row r="938" spans="1:17" ht="16" x14ac:dyDescent="0.45">
      <c r="A938" s="2" t="s">
        <v>1902</v>
      </c>
      <c r="B938" s="2" t="s">
        <v>25</v>
      </c>
      <c r="C938" s="3" t="s">
        <v>120</v>
      </c>
      <c r="D938" s="3" t="s">
        <v>40</v>
      </c>
      <c r="E938" s="3" t="s">
        <v>47</v>
      </c>
      <c r="F938" s="4">
        <v>37999</v>
      </c>
      <c r="G938" s="5">
        <v>1</v>
      </c>
      <c r="H938" s="6">
        <v>0</v>
      </c>
      <c r="I938" s="7">
        <v>0</v>
      </c>
      <c r="J938" s="7">
        <v>37999</v>
      </c>
      <c r="K938" s="7">
        <v>7598.46</v>
      </c>
      <c r="L938" s="2" t="s">
        <v>1617</v>
      </c>
      <c r="M938" s="18" t="s">
        <v>1903</v>
      </c>
      <c r="N938" s="3" t="s">
        <v>22</v>
      </c>
      <c r="O938" s="3" t="s">
        <v>23</v>
      </c>
      <c r="P938">
        <f>DATEVALUE(OnePlusSalesData[[#This Row],[order_date]])</f>
        <v>43768</v>
      </c>
      <c r="Q938" s="28">
        <f>DATEVALUE(OnePlusSalesData[[#This Row],[delivery_date]])</f>
        <v>43772</v>
      </c>
    </row>
    <row r="939" spans="1:17" ht="16" x14ac:dyDescent="0.45">
      <c r="A939" s="8" t="s">
        <v>1904</v>
      </c>
      <c r="B939" s="8" t="s">
        <v>52</v>
      </c>
      <c r="C939" s="9" t="s">
        <v>69</v>
      </c>
      <c r="D939" s="9" t="s">
        <v>18</v>
      </c>
      <c r="E939" s="9" t="s">
        <v>124</v>
      </c>
      <c r="F939" s="10">
        <v>3990</v>
      </c>
      <c r="G939" s="11">
        <v>2</v>
      </c>
      <c r="H939" s="12">
        <v>0.05</v>
      </c>
      <c r="I939" s="13">
        <v>399</v>
      </c>
      <c r="J939" s="13">
        <v>7581</v>
      </c>
      <c r="K939" s="13">
        <v>1593.97</v>
      </c>
      <c r="L939" s="8" t="s">
        <v>386</v>
      </c>
      <c r="M939" s="19" t="s">
        <v>532</v>
      </c>
      <c r="N939" s="9" t="s">
        <v>22</v>
      </c>
      <c r="O939" s="9" t="s">
        <v>31</v>
      </c>
      <c r="P939">
        <f>DATEVALUE(OnePlusSalesData[[#This Row],[order_date]])</f>
        <v>44082</v>
      </c>
      <c r="Q939" s="28">
        <f>DATEVALUE(OnePlusSalesData[[#This Row],[delivery_date]])</f>
        <v>44088</v>
      </c>
    </row>
    <row r="940" spans="1:17" ht="16" x14ac:dyDescent="0.45">
      <c r="A940" s="2" t="s">
        <v>1905</v>
      </c>
      <c r="B940" s="2" t="s">
        <v>25</v>
      </c>
      <c r="C940" s="3" t="s">
        <v>133</v>
      </c>
      <c r="D940" s="3" t="s">
        <v>85</v>
      </c>
      <c r="E940" s="3" t="s">
        <v>86</v>
      </c>
      <c r="F940" s="4">
        <v>1999</v>
      </c>
      <c r="G940" s="5">
        <v>1</v>
      </c>
      <c r="H940" s="6">
        <v>0.05</v>
      </c>
      <c r="I940" s="7">
        <v>99.95</v>
      </c>
      <c r="J940" s="7">
        <v>1899.05</v>
      </c>
      <c r="K940" s="7">
        <v>267.22000000000003</v>
      </c>
      <c r="L940" s="2" t="s">
        <v>1564</v>
      </c>
      <c r="M940" s="18" t="s">
        <v>482</v>
      </c>
      <c r="N940" s="3" t="s">
        <v>50</v>
      </c>
      <c r="O940" s="3" t="s">
        <v>31</v>
      </c>
      <c r="P940">
        <f>DATEVALUE(OnePlusSalesData[[#This Row],[order_date]])</f>
        <v>43555</v>
      </c>
      <c r="Q940" s="28">
        <f>DATEVALUE(OnePlusSalesData[[#This Row],[delivery_date]])</f>
        <v>43560</v>
      </c>
    </row>
    <row r="941" spans="1:17" ht="16" x14ac:dyDescent="0.45">
      <c r="A941" s="8" t="s">
        <v>1906</v>
      </c>
      <c r="B941" s="8" t="s">
        <v>16</v>
      </c>
      <c r="C941" s="9" t="s">
        <v>33</v>
      </c>
      <c r="D941" s="9" t="s">
        <v>34</v>
      </c>
      <c r="E941" s="9" t="s">
        <v>35</v>
      </c>
      <c r="F941" s="10">
        <v>19999</v>
      </c>
      <c r="G941" s="11">
        <v>2</v>
      </c>
      <c r="H941" s="12">
        <v>0.1</v>
      </c>
      <c r="I941" s="13">
        <v>3999.8</v>
      </c>
      <c r="J941" s="13">
        <v>35998.199999999997</v>
      </c>
      <c r="K941" s="13">
        <v>7839.6</v>
      </c>
      <c r="L941" s="8" t="s">
        <v>301</v>
      </c>
      <c r="M941" s="19" t="s">
        <v>1907</v>
      </c>
      <c r="N941" s="9" t="s">
        <v>50</v>
      </c>
      <c r="O941" s="9" t="s">
        <v>146</v>
      </c>
      <c r="P941">
        <f>DATEVALUE(OnePlusSalesData[[#This Row],[order_date]])</f>
        <v>43208</v>
      </c>
      <c r="Q941" s="28">
        <f>DATEVALUE(OnePlusSalesData[[#This Row],[delivery_date]])</f>
        <v>43214</v>
      </c>
    </row>
    <row r="942" spans="1:17" ht="16" x14ac:dyDescent="0.45">
      <c r="A942" s="2" t="s">
        <v>1908</v>
      </c>
      <c r="B942" s="2" t="s">
        <v>52</v>
      </c>
      <c r="C942" s="3" t="s">
        <v>69</v>
      </c>
      <c r="D942" s="3" t="s">
        <v>40</v>
      </c>
      <c r="E942" s="3" t="s">
        <v>60</v>
      </c>
      <c r="F942" s="4">
        <v>54999</v>
      </c>
      <c r="G942" s="5">
        <v>2</v>
      </c>
      <c r="H942" s="6">
        <v>0.05</v>
      </c>
      <c r="I942" s="7">
        <v>5499.9</v>
      </c>
      <c r="J942" s="7">
        <v>104498.1</v>
      </c>
      <c r="K942" s="7">
        <v>23623.5</v>
      </c>
      <c r="L942" s="2" t="s">
        <v>586</v>
      </c>
      <c r="M942" s="18" t="s">
        <v>1217</v>
      </c>
      <c r="N942" s="3" t="s">
        <v>92</v>
      </c>
      <c r="O942" s="3" t="s">
        <v>45</v>
      </c>
      <c r="P942">
        <f>DATEVALUE(OnePlusSalesData[[#This Row],[order_date]])</f>
        <v>43660</v>
      </c>
      <c r="Q942" s="28">
        <f>DATEVALUE(OnePlusSalesData[[#This Row],[delivery_date]])</f>
        <v>43666</v>
      </c>
    </row>
    <row r="943" spans="1:17" ht="16" x14ac:dyDescent="0.45">
      <c r="A943" s="8" t="s">
        <v>1909</v>
      </c>
      <c r="B943" s="8" t="s">
        <v>25</v>
      </c>
      <c r="C943" s="9" t="s">
        <v>120</v>
      </c>
      <c r="D943" s="9" t="s">
        <v>40</v>
      </c>
      <c r="E943" s="9" t="s">
        <v>41</v>
      </c>
      <c r="F943" s="10">
        <v>37999</v>
      </c>
      <c r="G943" s="11">
        <v>3</v>
      </c>
      <c r="H943" s="12">
        <v>0.1</v>
      </c>
      <c r="I943" s="13">
        <v>11399.7</v>
      </c>
      <c r="J943" s="13">
        <v>102597.3</v>
      </c>
      <c r="K943" s="13">
        <v>22769.14</v>
      </c>
      <c r="L943" s="8" t="s">
        <v>1735</v>
      </c>
      <c r="M943" s="19" t="s">
        <v>1085</v>
      </c>
      <c r="N943" s="9" t="s">
        <v>22</v>
      </c>
      <c r="O943" s="9" t="s">
        <v>146</v>
      </c>
      <c r="P943">
        <f>DATEVALUE(OnePlusSalesData[[#This Row],[order_date]])</f>
        <v>43998</v>
      </c>
      <c r="Q943" s="28">
        <f>DATEVALUE(OnePlusSalesData[[#This Row],[delivery_date]])</f>
        <v>44003</v>
      </c>
    </row>
    <row r="944" spans="1:17" ht="16" x14ac:dyDescent="0.45">
      <c r="A944" s="2" t="s">
        <v>1910</v>
      </c>
      <c r="B944" s="2" t="s">
        <v>52</v>
      </c>
      <c r="C944" s="3" t="s">
        <v>192</v>
      </c>
      <c r="D944" s="3" t="s">
        <v>18</v>
      </c>
      <c r="E944" s="3" t="s">
        <v>102</v>
      </c>
      <c r="F944" s="4">
        <v>1490</v>
      </c>
      <c r="G944" s="5">
        <v>1</v>
      </c>
      <c r="H944" s="6">
        <v>0.05</v>
      </c>
      <c r="I944" s="7">
        <v>74.5</v>
      </c>
      <c r="J944" s="7">
        <v>1415.5</v>
      </c>
      <c r="K944" s="7">
        <v>246.43</v>
      </c>
      <c r="L944" s="2" t="s">
        <v>1264</v>
      </c>
      <c r="M944" s="18" t="s">
        <v>1867</v>
      </c>
      <c r="N944" s="3" t="s">
        <v>92</v>
      </c>
      <c r="O944" s="3" t="s">
        <v>23</v>
      </c>
      <c r="P944">
        <f>DATEVALUE(OnePlusSalesData[[#This Row],[order_date]])</f>
        <v>43113</v>
      </c>
      <c r="Q944" s="28">
        <f>DATEVALUE(OnePlusSalesData[[#This Row],[delivery_date]])</f>
        <v>43117</v>
      </c>
    </row>
    <row r="945" spans="1:17" ht="16" x14ac:dyDescent="0.45">
      <c r="A945" s="8" t="s">
        <v>1911</v>
      </c>
      <c r="B945" s="8" t="s">
        <v>16</v>
      </c>
      <c r="C945" s="9" t="s">
        <v>33</v>
      </c>
      <c r="D945" s="9" t="s">
        <v>40</v>
      </c>
      <c r="E945" s="9" t="s">
        <v>148</v>
      </c>
      <c r="F945" s="10">
        <v>41999</v>
      </c>
      <c r="G945" s="11">
        <v>1</v>
      </c>
      <c r="H945" s="12">
        <v>0.05</v>
      </c>
      <c r="I945" s="13">
        <v>2099.9499999999998</v>
      </c>
      <c r="J945" s="13">
        <v>39899.050000000003</v>
      </c>
      <c r="K945" s="13">
        <v>6164.15</v>
      </c>
      <c r="L945" s="8" t="s">
        <v>1684</v>
      </c>
      <c r="M945" s="19" t="s">
        <v>1843</v>
      </c>
      <c r="N945" s="9" t="s">
        <v>22</v>
      </c>
      <c r="O945" s="9" t="s">
        <v>23</v>
      </c>
      <c r="P945">
        <f>DATEVALUE(OnePlusSalesData[[#This Row],[order_date]])</f>
        <v>44137</v>
      </c>
      <c r="Q945" s="28">
        <f>DATEVALUE(OnePlusSalesData[[#This Row],[delivery_date]])</f>
        <v>44143</v>
      </c>
    </row>
    <row r="946" spans="1:17" ht="16" x14ac:dyDescent="0.45">
      <c r="A946" s="2" t="s">
        <v>1912</v>
      </c>
      <c r="B946" s="2" t="s">
        <v>16</v>
      </c>
      <c r="C946" s="3" t="s">
        <v>140</v>
      </c>
      <c r="D946" s="3" t="s">
        <v>27</v>
      </c>
      <c r="E946" s="3" t="s">
        <v>176</v>
      </c>
      <c r="F946" s="4">
        <v>69900</v>
      </c>
      <c r="G946" s="5">
        <v>1</v>
      </c>
      <c r="H946" s="6">
        <v>0.08</v>
      </c>
      <c r="I946" s="7">
        <v>5592</v>
      </c>
      <c r="J946" s="7">
        <v>64308</v>
      </c>
      <c r="K946" s="7">
        <v>14873.11</v>
      </c>
      <c r="L946" s="2" t="s">
        <v>781</v>
      </c>
      <c r="M946" s="18" t="s">
        <v>284</v>
      </c>
      <c r="N946" s="3" t="s">
        <v>44</v>
      </c>
      <c r="O946" s="3" t="s">
        <v>63</v>
      </c>
      <c r="P946">
        <f>DATEVALUE(OnePlusSalesData[[#This Row],[order_date]])</f>
        <v>43425</v>
      </c>
      <c r="Q946" s="28">
        <f>DATEVALUE(OnePlusSalesData[[#This Row],[delivery_date]])</f>
        <v>43429</v>
      </c>
    </row>
    <row r="947" spans="1:17" ht="16" x14ac:dyDescent="0.45">
      <c r="A947" s="8" t="s">
        <v>1913</v>
      </c>
      <c r="B947" s="8" t="s">
        <v>52</v>
      </c>
      <c r="C947" s="9" t="s">
        <v>192</v>
      </c>
      <c r="D947" s="9" t="s">
        <v>85</v>
      </c>
      <c r="E947" s="9" t="s">
        <v>258</v>
      </c>
      <c r="F947" s="10">
        <v>2999</v>
      </c>
      <c r="G947" s="11">
        <v>3</v>
      </c>
      <c r="H947" s="12">
        <v>0.05</v>
      </c>
      <c r="I947" s="13">
        <v>449.85</v>
      </c>
      <c r="J947" s="13">
        <v>8547.15</v>
      </c>
      <c r="K947" s="13">
        <v>1415.44</v>
      </c>
      <c r="L947" s="8" t="s">
        <v>1914</v>
      </c>
      <c r="M947" s="19" t="s">
        <v>1292</v>
      </c>
      <c r="N947" s="9" t="s">
        <v>22</v>
      </c>
      <c r="O947" s="9" t="s">
        <v>63</v>
      </c>
      <c r="P947">
        <f>DATEVALUE(OnePlusSalesData[[#This Row],[order_date]])</f>
        <v>43732</v>
      </c>
      <c r="Q947" s="28">
        <f>DATEVALUE(OnePlusSalesData[[#This Row],[delivery_date]])</f>
        <v>43734</v>
      </c>
    </row>
    <row r="948" spans="1:17" ht="16" x14ac:dyDescent="0.45">
      <c r="A948" s="2" t="s">
        <v>1915</v>
      </c>
      <c r="B948" s="2" t="s">
        <v>25</v>
      </c>
      <c r="C948" s="3" t="s">
        <v>120</v>
      </c>
      <c r="D948" s="3" t="s">
        <v>27</v>
      </c>
      <c r="E948" s="3" t="s">
        <v>159</v>
      </c>
      <c r="F948" s="4">
        <v>22999</v>
      </c>
      <c r="G948" s="5">
        <v>1</v>
      </c>
      <c r="H948" s="6">
        <v>0.1</v>
      </c>
      <c r="I948" s="7">
        <v>2299.9</v>
      </c>
      <c r="J948" s="7">
        <v>20699.099999999999</v>
      </c>
      <c r="K948" s="7">
        <v>4865.0200000000004</v>
      </c>
      <c r="L948" s="2" t="s">
        <v>1242</v>
      </c>
      <c r="M948" s="18" t="s">
        <v>662</v>
      </c>
      <c r="N948" s="3" t="s">
        <v>22</v>
      </c>
      <c r="O948" s="3" t="s">
        <v>23</v>
      </c>
      <c r="P948">
        <f>DATEVALUE(OnePlusSalesData[[#This Row],[order_date]])</f>
        <v>43689</v>
      </c>
      <c r="Q948" s="28">
        <f>DATEVALUE(OnePlusSalesData[[#This Row],[delivery_date]])</f>
        <v>43695</v>
      </c>
    </row>
    <row r="949" spans="1:17" ht="16" x14ac:dyDescent="0.45">
      <c r="A949" s="8" t="s">
        <v>1916</v>
      </c>
      <c r="B949" s="8" t="s">
        <v>25</v>
      </c>
      <c r="C949" s="9" t="s">
        <v>26</v>
      </c>
      <c r="D949" s="9" t="s">
        <v>85</v>
      </c>
      <c r="E949" s="9" t="s">
        <v>86</v>
      </c>
      <c r="F949" s="10">
        <v>1999</v>
      </c>
      <c r="G949" s="11">
        <v>1</v>
      </c>
      <c r="H949" s="12">
        <v>0.08</v>
      </c>
      <c r="I949" s="13">
        <v>159.91999999999999</v>
      </c>
      <c r="J949" s="13">
        <v>1839.08</v>
      </c>
      <c r="K949" s="13">
        <v>332.32</v>
      </c>
      <c r="L949" s="8" t="s">
        <v>1917</v>
      </c>
      <c r="M949" s="19" t="s">
        <v>1271</v>
      </c>
      <c r="N949" s="9" t="s">
        <v>92</v>
      </c>
      <c r="O949" s="9" t="s">
        <v>23</v>
      </c>
      <c r="P949">
        <f>DATEVALUE(OnePlusSalesData[[#This Row],[order_date]])</f>
        <v>43685</v>
      </c>
      <c r="Q949" s="28">
        <f>DATEVALUE(OnePlusSalesData[[#This Row],[delivery_date]])</f>
        <v>43692</v>
      </c>
    </row>
    <row r="950" spans="1:17" ht="16" x14ac:dyDescent="0.45">
      <c r="A950" s="2" t="s">
        <v>1918</v>
      </c>
      <c r="B950" s="2" t="s">
        <v>25</v>
      </c>
      <c r="C950" s="3" t="s">
        <v>120</v>
      </c>
      <c r="D950" s="3" t="s">
        <v>27</v>
      </c>
      <c r="E950" s="3" t="s">
        <v>159</v>
      </c>
      <c r="F950" s="4">
        <v>22999</v>
      </c>
      <c r="G950" s="5">
        <v>1</v>
      </c>
      <c r="H950" s="6">
        <v>0.08</v>
      </c>
      <c r="I950" s="7">
        <v>1839.92</v>
      </c>
      <c r="J950" s="7">
        <v>21159.08</v>
      </c>
      <c r="K950" s="7">
        <v>4400.5200000000004</v>
      </c>
      <c r="L950" s="2" t="s">
        <v>573</v>
      </c>
      <c r="M950" s="18" t="s">
        <v>229</v>
      </c>
      <c r="N950" s="3" t="s">
        <v>22</v>
      </c>
      <c r="O950" s="3" t="s">
        <v>23</v>
      </c>
      <c r="P950">
        <f>DATEVALUE(OnePlusSalesData[[#This Row],[order_date]])</f>
        <v>43891</v>
      </c>
      <c r="Q950" s="28">
        <f>DATEVALUE(OnePlusSalesData[[#This Row],[delivery_date]])</f>
        <v>43897</v>
      </c>
    </row>
    <row r="951" spans="1:17" ht="16" x14ac:dyDescent="0.45">
      <c r="A951" s="8" t="s">
        <v>1919</v>
      </c>
      <c r="B951" s="8" t="s">
        <v>25</v>
      </c>
      <c r="C951" s="9" t="s">
        <v>172</v>
      </c>
      <c r="D951" s="9" t="s">
        <v>40</v>
      </c>
      <c r="E951" s="9" t="s">
        <v>41</v>
      </c>
      <c r="F951" s="10">
        <v>37999</v>
      </c>
      <c r="G951" s="11">
        <v>4</v>
      </c>
      <c r="H951" s="12">
        <v>0.05</v>
      </c>
      <c r="I951" s="13">
        <v>7599.8</v>
      </c>
      <c r="J951" s="13">
        <v>144396.20000000001</v>
      </c>
      <c r="K951" s="13">
        <v>31089.47</v>
      </c>
      <c r="L951" s="8" t="s">
        <v>1723</v>
      </c>
      <c r="M951" s="19" t="s">
        <v>633</v>
      </c>
      <c r="N951" s="9" t="s">
        <v>22</v>
      </c>
      <c r="O951" s="9" t="s">
        <v>23</v>
      </c>
      <c r="P951">
        <f>DATEVALUE(OnePlusSalesData[[#This Row],[order_date]])</f>
        <v>43280</v>
      </c>
      <c r="Q951" s="28">
        <f>DATEVALUE(OnePlusSalesData[[#This Row],[delivery_date]])</f>
        <v>43285</v>
      </c>
    </row>
    <row r="952" spans="1:17" ht="16" x14ac:dyDescent="0.45">
      <c r="A952" s="2" t="s">
        <v>1920</v>
      </c>
      <c r="B952" s="2" t="s">
        <v>16</v>
      </c>
      <c r="C952" s="3" t="s">
        <v>33</v>
      </c>
      <c r="D952" s="3" t="s">
        <v>27</v>
      </c>
      <c r="E952" s="3" t="s">
        <v>176</v>
      </c>
      <c r="F952" s="4">
        <v>69900</v>
      </c>
      <c r="G952" s="5">
        <v>1</v>
      </c>
      <c r="H952" s="6">
        <v>0.05</v>
      </c>
      <c r="I952" s="7">
        <v>3495</v>
      </c>
      <c r="J952" s="7">
        <v>66405</v>
      </c>
      <c r="K952" s="7">
        <v>10467.36</v>
      </c>
      <c r="L952" s="2" t="s">
        <v>1921</v>
      </c>
      <c r="M952" s="18" t="s">
        <v>480</v>
      </c>
      <c r="N952" s="3" t="s">
        <v>92</v>
      </c>
      <c r="O952" s="3" t="s">
        <v>23</v>
      </c>
      <c r="P952">
        <f>DATEVALUE(OnePlusSalesData[[#This Row],[order_date]])</f>
        <v>43474</v>
      </c>
      <c r="Q952" s="28">
        <f>DATEVALUE(OnePlusSalesData[[#This Row],[delivery_date]])</f>
        <v>43481</v>
      </c>
    </row>
    <row r="953" spans="1:17" ht="16" x14ac:dyDescent="0.45">
      <c r="A953" s="8" t="s">
        <v>1922</v>
      </c>
      <c r="B953" s="8" t="s">
        <v>25</v>
      </c>
      <c r="C953" s="9" t="s">
        <v>133</v>
      </c>
      <c r="D953" s="9" t="s">
        <v>40</v>
      </c>
      <c r="E953" s="9" t="s">
        <v>60</v>
      </c>
      <c r="F953" s="10">
        <v>54999</v>
      </c>
      <c r="G953" s="11">
        <v>1</v>
      </c>
      <c r="H953" s="12">
        <v>0.08</v>
      </c>
      <c r="I953" s="13">
        <v>4399.92</v>
      </c>
      <c r="J953" s="13">
        <v>50599.08</v>
      </c>
      <c r="K953" s="13">
        <v>10759.45</v>
      </c>
      <c r="L953" s="8" t="s">
        <v>1923</v>
      </c>
      <c r="M953" s="19" t="s">
        <v>1924</v>
      </c>
      <c r="N953" s="9" t="s">
        <v>22</v>
      </c>
      <c r="O953" s="9" t="s">
        <v>63</v>
      </c>
      <c r="P953">
        <f>DATEVALUE(OnePlusSalesData[[#This Row],[order_date]])</f>
        <v>43683</v>
      </c>
      <c r="Q953" s="28">
        <f>DATEVALUE(OnePlusSalesData[[#This Row],[delivery_date]])</f>
        <v>43687</v>
      </c>
    </row>
    <row r="954" spans="1:17" ht="16" x14ac:dyDescent="0.45">
      <c r="A954" s="2" t="s">
        <v>1925</v>
      </c>
      <c r="B954" s="2" t="s">
        <v>16</v>
      </c>
      <c r="C954" s="3" t="s">
        <v>152</v>
      </c>
      <c r="D954" s="3" t="s">
        <v>27</v>
      </c>
      <c r="E954" s="3" t="s">
        <v>28</v>
      </c>
      <c r="F954" s="4">
        <v>12999</v>
      </c>
      <c r="G954" s="5">
        <v>2</v>
      </c>
      <c r="H954" s="6">
        <v>0.05</v>
      </c>
      <c r="I954" s="7">
        <v>1299.9000000000001</v>
      </c>
      <c r="J954" s="7">
        <v>24698.1</v>
      </c>
      <c r="K954" s="7">
        <v>4819.88</v>
      </c>
      <c r="L954" s="2" t="s">
        <v>1412</v>
      </c>
      <c r="M954" s="18" t="s">
        <v>1926</v>
      </c>
      <c r="N954" s="3" t="s">
        <v>22</v>
      </c>
      <c r="O954" s="3" t="s">
        <v>96</v>
      </c>
      <c r="P954">
        <f>DATEVALUE(OnePlusSalesData[[#This Row],[order_date]])</f>
        <v>43636</v>
      </c>
      <c r="Q954" s="28">
        <f>DATEVALUE(OnePlusSalesData[[#This Row],[delivery_date]])</f>
        <v>43643</v>
      </c>
    </row>
    <row r="955" spans="1:17" ht="16" x14ac:dyDescent="0.45">
      <c r="A955" s="8" t="s">
        <v>1927</v>
      </c>
      <c r="B955" s="8" t="s">
        <v>52</v>
      </c>
      <c r="C955" s="9" t="s">
        <v>53</v>
      </c>
      <c r="D955" s="9" t="s">
        <v>18</v>
      </c>
      <c r="E955" s="9" t="s">
        <v>124</v>
      </c>
      <c r="F955" s="10">
        <v>3990</v>
      </c>
      <c r="G955" s="11">
        <v>2</v>
      </c>
      <c r="H955" s="12">
        <v>0.05</v>
      </c>
      <c r="I955" s="13">
        <v>399</v>
      </c>
      <c r="J955" s="13">
        <v>7581</v>
      </c>
      <c r="K955" s="13">
        <v>1417.45</v>
      </c>
      <c r="L955" s="8" t="s">
        <v>1928</v>
      </c>
      <c r="M955" s="19" t="s">
        <v>459</v>
      </c>
      <c r="N955" s="9" t="s">
        <v>22</v>
      </c>
      <c r="O955" s="9" t="s">
        <v>63</v>
      </c>
      <c r="P955">
        <f>DATEVALUE(OnePlusSalesData[[#This Row],[order_date]])</f>
        <v>43996</v>
      </c>
      <c r="Q955" s="28">
        <f>DATEVALUE(OnePlusSalesData[[#This Row],[delivery_date]])</f>
        <v>44000</v>
      </c>
    </row>
    <row r="956" spans="1:17" ht="16" x14ac:dyDescent="0.45">
      <c r="A956" s="2" t="s">
        <v>1929</v>
      </c>
      <c r="B956" s="2" t="s">
        <v>16</v>
      </c>
      <c r="C956" s="3" t="s">
        <v>17</v>
      </c>
      <c r="D956" s="3" t="s">
        <v>40</v>
      </c>
      <c r="E956" s="3" t="s">
        <v>148</v>
      </c>
      <c r="F956" s="4">
        <v>41999</v>
      </c>
      <c r="G956" s="5">
        <v>1</v>
      </c>
      <c r="H956" s="6">
        <v>0.05</v>
      </c>
      <c r="I956" s="7">
        <v>2099.9499999999998</v>
      </c>
      <c r="J956" s="7">
        <v>39899.050000000003</v>
      </c>
      <c r="K956" s="7">
        <v>9407.91</v>
      </c>
      <c r="L956" s="2" t="s">
        <v>588</v>
      </c>
      <c r="M956" s="18" t="s">
        <v>1203</v>
      </c>
      <c r="N956" s="3" t="s">
        <v>22</v>
      </c>
      <c r="O956" s="3" t="s">
        <v>23</v>
      </c>
      <c r="P956">
        <f>DATEVALUE(OnePlusSalesData[[#This Row],[order_date]])</f>
        <v>43345</v>
      </c>
      <c r="Q956" s="28">
        <f>DATEVALUE(OnePlusSalesData[[#This Row],[delivery_date]])</f>
        <v>43347</v>
      </c>
    </row>
    <row r="957" spans="1:17" ht="16" x14ac:dyDescent="0.45">
      <c r="A957" s="8" t="s">
        <v>1930</v>
      </c>
      <c r="B957" s="8" t="s">
        <v>16</v>
      </c>
      <c r="C957" s="9" t="s">
        <v>17</v>
      </c>
      <c r="D957" s="9" t="s">
        <v>40</v>
      </c>
      <c r="E957" s="9" t="s">
        <v>47</v>
      </c>
      <c r="F957" s="10">
        <v>37999</v>
      </c>
      <c r="G957" s="11">
        <v>1</v>
      </c>
      <c r="H957" s="12">
        <v>0.08</v>
      </c>
      <c r="I957" s="13">
        <v>3039.92</v>
      </c>
      <c r="J957" s="13">
        <v>34959.08</v>
      </c>
      <c r="K957" s="13">
        <v>8808.76</v>
      </c>
      <c r="L957" s="8" t="s">
        <v>1661</v>
      </c>
      <c r="M957" s="19" t="s">
        <v>1931</v>
      </c>
      <c r="N957" s="9" t="s">
        <v>22</v>
      </c>
      <c r="O957" s="9" t="s">
        <v>23</v>
      </c>
      <c r="P957">
        <f>DATEVALUE(OnePlusSalesData[[#This Row],[order_date]])</f>
        <v>43886</v>
      </c>
      <c r="Q957" s="28">
        <f>DATEVALUE(OnePlusSalesData[[#This Row],[delivery_date]])</f>
        <v>43893</v>
      </c>
    </row>
    <row r="958" spans="1:17" ht="16" x14ac:dyDescent="0.45">
      <c r="A958" s="2" t="s">
        <v>1932</v>
      </c>
      <c r="B958" s="2" t="s">
        <v>58</v>
      </c>
      <c r="C958" s="3" t="s">
        <v>81</v>
      </c>
      <c r="D958" s="3" t="s">
        <v>18</v>
      </c>
      <c r="E958" s="3" t="s">
        <v>102</v>
      </c>
      <c r="F958" s="4">
        <v>1490</v>
      </c>
      <c r="G958" s="5">
        <v>2</v>
      </c>
      <c r="H958" s="6">
        <v>0.05</v>
      </c>
      <c r="I958" s="7">
        <v>149</v>
      </c>
      <c r="J958" s="7">
        <v>2831</v>
      </c>
      <c r="K958" s="7">
        <v>438.58</v>
      </c>
      <c r="L958" s="2" t="s">
        <v>991</v>
      </c>
      <c r="M958" s="18" t="s">
        <v>1933</v>
      </c>
      <c r="N958" s="3" t="s">
        <v>22</v>
      </c>
      <c r="O958" s="3" t="s">
        <v>23</v>
      </c>
      <c r="P958">
        <f>DATEVALUE(OnePlusSalesData[[#This Row],[order_date]])</f>
        <v>44033</v>
      </c>
      <c r="Q958" s="28">
        <f>DATEVALUE(OnePlusSalesData[[#This Row],[delivery_date]])</f>
        <v>44037</v>
      </c>
    </row>
    <row r="959" spans="1:17" ht="16" x14ac:dyDescent="0.45">
      <c r="A959" s="8" t="s">
        <v>1934</v>
      </c>
      <c r="B959" s="8" t="s">
        <v>16</v>
      </c>
      <c r="C959" s="9" t="s">
        <v>39</v>
      </c>
      <c r="D959" s="9" t="s">
        <v>40</v>
      </c>
      <c r="E959" s="9" t="s">
        <v>60</v>
      </c>
      <c r="F959" s="10">
        <v>54999</v>
      </c>
      <c r="G959" s="11">
        <v>2</v>
      </c>
      <c r="H959" s="12">
        <v>0.1</v>
      </c>
      <c r="I959" s="13">
        <v>10999.8</v>
      </c>
      <c r="J959" s="13">
        <v>98998.2</v>
      </c>
      <c r="K959" s="13">
        <v>22456.07</v>
      </c>
      <c r="L959" s="8" t="s">
        <v>1166</v>
      </c>
      <c r="M959" s="19" t="s">
        <v>668</v>
      </c>
      <c r="N959" s="9" t="s">
        <v>22</v>
      </c>
      <c r="O959" s="9" t="s">
        <v>63</v>
      </c>
      <c r="P959">
        <f>DATEVALUE(OnePlusSalesData[[#This Row],[order_date]])</f>
        <v>43697</v>
      </c>
      <c r="Q959" s="28">
        <f>DATEVALUE(OnePlusSalesData[[#This Row],[delivery_date]])</f>
        <v>43701</v>
      </c>
    </row>
    <row r="960" spans="1:17" ht="16" x14ac:dyDescent="0.45">
      <c r="A960" s="2" t="s">
        <v>1935</v>
      </c>
      <c r="B960" s="2" t="s">
        <v>52</v>
      </c>
      <c r="C960" s="3" t="s">
        <v>358</v>
      </c>
      <c r="D960" s="3" t="s">
        <v>85</v>
      </c>
      <c r="E960" s="3" t="s">
        <v>86</v>
      </c>
      <c r="F960" s="4">
        <v>1999</v>
      </c>
      <c r="G960" s="5">
        <v>2</v>
      </c>
      <c r="H960" s="6">
        <v>0</v>
      </c>
      <c r="I960" s="7">
        <v>0</v>
      </c>
      <c r="J960" s="7">
        <v>3998</v>
      </c>
      <c r="K960" s="7">
        <v>1003.33</v>
      </c>
      <c r="L960" s="2" t="s">
        <v>1936</v>
      </c>
      <c r="M960" s="18" t="s">
        <v>153</v>
      </c>
      <c r="N960" s="3" t="s">
        <v>22</v>
      </c>
      <c r="O960" s="3" t="s">
        <v>23</v>
      </c>
      <c r="P960">
        <f>DATEVALUE(OnePlusSalesData[[#This Row],[order_date]])</f>
        <v>43671</v>
      </c>
      <c r="Q960" s="28">
        <f>DATEVALUE(OnePlusSalesData[[#This Row],[delivery_date]])</f>
        <v>43675</v>
      </c>
    </row>
    <row r="961" spans="1:17" ht="16" x14ac:dyDescent="0.45">
      <c r="A961" s="8" t="s">
        <v>1937</v>
      </c>
      <c r="B961" s="8" t="s">
        <v>16</v>
      </c>
      <c r="C961" s="9" t="s">
        <v>17</v>
      </c>
      <c r="D961" s="9" t="s">
        <v>85</v>
      </c>
      <c r="E961" s="9" t="s">
        <v>258</v>
      </c>
      <c r="F961" s="10">
        <v>2999</v>
      </c>
      <c r="G961" s="11">
        <v>1</v>
      </c>
      <c r="H961" s="12">
        <v>0.05</v>
      </c>
      <c r="I961" s="13">
        <v>149.94999999999999</v>
      </c>
      <c r="J961" s="13">
        <v>2849.05</v>
      </c>
      <c r="K961" s="13">
        <v>410.55</v>
      </c>
      <c r="L961" s="8" t="s">
        <v>818</v>
      </c>
      <c r="M961" s="19" t="s">
        <v>1767</v>
      </c>
      <c r="N961" s="9" t="s">
        <v>92</v>
      </c>
      <c r="O961" s="9" t="s">
        <v>63</v>
      </c>
      <c r="P961">
        <f>DATEVALUE(OnePlusSalesData[[#This Row],[order_date]])</f>
        <v>43116</v>
      </c>
      <c r="Q961" s="28">
        <f>DATEVALUE(OnePlusSalesData[[#This Row],[delivery_date]])</f>
        <v>43121</v>
      </c>
    </row>
    <row r="962" spans="1:17" ht="16" x14ac:dyDescent="0.45">
      <c r="A962" s="2" t="s">
        <v>1938</v>
      </c>
      <c r="B962" s="2" t="s">
        <v>52</v>
      </c>
      <c r="C962" s="3" t="s">
        <v>106</v>
      </c>
      <c r="D962" s="3" t="s">
        <v>40</v>
      </c>
      <c r="E962" s="3" t="s">
        <v>406</v>
      </c>
      <c r="F962" s="4">
        <v>48999</v>
      </c>
      <c r="G962" s="5">
        <v>1</v>
      </c>
      <c r="H962" s="6">
        <v>0</v>
      </c>
      <c r="I962" s="7">
        <v>0</v>
      </c>
      <c r="J962" s="7">
        <v>48999</v>
      </c>
      <c r="K962" s="7">
        <v>11850.65</v>
      </c>
      <c r="L962" s="2" t="s">
        <v>1340</v>
      </c>
      <c r="M962" s="18" t="s">
        <v>1939</v>
      </c>
      <c r="N962" s="3" t="s">
        <v>22</v>
      </c>
      <c r="O962" s="3" t="s">
        <v>23</v>
      </c>
      <c r="P962">
        <f>DATEVALUE(OnePlusSalesData[[#This Row],[order_date]])</f>
        <v>43331</v>
      </c>
      <c r="Q962" s="28">
        <f>DATEVALUE(OnePlusSalesData[[#This Row],[delivery_date]])</f>
        <v>43336</v>
      </c>
    </row>
    <row r="963" spans="1:17" ht="16" x14ac:dyDescent="0.45">
      <c r="A963" s="8" t="s">
        <v>1940</v>
      </c>
      <c r="B963" s="8" t="s">
        <v>16</v>
      </c>
      <c r="C963" s="9" t="s">
        <v>17</v>
      </c>
      <c r="D963" s="9" t="s">
        <v>85</v>
      </c>
      <c r="E963" s="9" t="s">
        <v>86</v>
      </c>
      <c r="F963" s="10">
        <v>1999</v>
      </c>
      <c r="G963" s="11">
        <v>1</v>
      </c>
      <c r="H963" s="12">
        <v>0.12</v>
      </c>
      <c r="I963" s="13">
        <v>239.88</v>
      </c>
      <c r="J963" s="13">
        <v>1759.12</v>
      </c>
      <c r="K963" s="13">
        <v>411.04</v>
      </c>
      <c r="L963" s="8" t="s">
        <v>1859</v>
      </c>
      <c r="M963" s="19" t="s">
        <v>1941</v>
      </c>
      <c r="N963" s="9" t="s">
        <v>50</v>
      </c>
      <c r="O963" s="9" t="s">
        <v>63</v>
      </c>
      <c r="P963">
        <f>DATEVALUE(OnePlusSalesData[[#This Row],[order_date]])</f>
        <v>43471</v>
      </c>
      <c r="Q963" s="28">
        <f>DATEVALUE(OnePlusSalesData[[#This Row],[delivery_date]])</f>
        <v>43475</v>
      </c>
    </row>
    <row r="964" spans="1:17" ht="16" x14ac:dyDescent="0.45">
      <c r="A964" s="2" t="s">
        <v>1942</v>
      </c>
      <c r="B964" s="2" t="s">
        <v>25</v>
      </c>
      <c r="C964" s="3" t="s">
        <v>172</v>
      </c>
      <c r="D964" s="3" t="s">
        <v>18</v>
      </c>
      <c r="E964" s="3" t="s">
        <v>179</v>
      </c>
      <c r="F964" s="4">
        <v>1290</v>
      </c>
      <c r="G964" s="5">
        <v>2</v>
      </c>
      <c r="H964" s="6">
        <v>0.1</v>
      </c>
      <c r="I964" s="7">
        <v>258</v>
      </c>
      <c r="J964" s="7">
        <v>2322</v>
      </c>
      <c r="K964" s="7">
        <v>568.17999999999995</v>
      </c>
      <c r="L964" s="2" t="s">
        <v>1943</v>
      </c>
      <c r="M964" s="18" t="s">
        <v>864</v>
      </c>
      <c r="N964" s="3" t="s">
        <v>22</v>
      </c>
      <c r="O964" s="3" t="s">
        <v>31</v>
      </c>
      <c r="P964">
        <f>DATEVALUE(OnePlusSalesData[[#This Row],[order_date]])</f>
        <v>43846</v>
      </c>
      <c r="Q964" s="28">
        <f>DATEVALUE(OnePlusSalesData[[#This Row],[delivery_date]])</f>
        <v>43853</v>
      </c>
    </row>
    <row r="965" spans="1:17" ht="16" x14ac:dyDescent="0.45">
      <c r="A965" s="8" t="s">
        <v>1944</v>
      </c>
      <c r="B965" s="8" t="s">
        <v>52</v>
      </c>
      <c r="C965" s="9" t="s">
        <v>192</v>
      </c>
      <c r="D965" s="9" t="s">
        <v>85</v>
      </c>
      <c r="E965" s="9" t="s">
        <v>265</v>
      </c>
      <c r="F965" s="10">
        <v>4990</v>
      </c>
      <c r="G965" s="11">
        <v>1</v>
      </c>
      <c r="H965" s="12">
        <v>0.05</v>
      </c>
      <c r="I965" s="13">
        <v>249.5</v>
      </c>
      <c r="J965" s="13">
        <v>4740.5</v>
      </c>
      <c r="K965" s="13">
        <v>685.4</v>
      </c>
      <c r="L965" s="8" t="s">
        <v>1945</v>
      </c>
      <c r="M965" s="19" t="s">
        <v>474</v>
      </c>
      <c r="N965" s="9" t="s">
        <v>50</v>
      </c>
      <c r="O965" s="9" t="s">
        <v>23</v>
      </c>
      <c r="P965">
        <f>DATEVALUE(OnePlusSalesData[[#This Row],[order_date]])</f>
        <v>43393</v>
      </c>
      <c r="Q965" s="28">
        <f>DATEVALUE(OnePlusSalesData[[#This Row],[delivery_date]])</f>
        <v>43395</v>
      </c>
    </row>
    <row r="966" spans="1:17" ht="16" x14ac:dyDescent="0.45">
      <c r="A966" s="2" t="s">
        <v>1946</v>
      </c>
      <c r="B966" s="2" t="s">
        <v>16</v>
      </c>
      <c r="C966" s="3" t="s">
        <v>33</v>
      </c>
      <c r="D966" s="3" t="s">
        <v>85</v>
      </c>
      <c r="E966" s="3" t="s">
        <v>228</v>
      </c>
      <c r="F966" s="4">
        <v>5990</v>
      </c>
      <c r="G966" s="5">
        <v>1</v>
      </c>
      <c r="H966" s="6">
        <v>0</v>
      </c>
      <c r="I966" s="7">
        <v>0</v>
      </c>
      <c r="J966" s="7">
        <v>5990</v>
      </c>
      <c r="K966" s="7">
        <v>961.75</v>
      </c>
      <c r="L966" s="2" t="s">
        <v>153</v>
      </c>
      <c r="M966" s="18" t="s">
        <v>154</v>
      </c>
      <c r="N966" s="3" t="s">
        <v>22</v>
      </c>
      <c r="O966" s="3" t="s">
        <v>63</v>
      </c>
      <c r="P966">
        <f>DATEVALUE(OnePlusSalesData[[#This Row],[order_date]])</f>
        <v>43675</v>
      </c>
      <c r="Q966" s="28">
        <f>DATEVALUE(OnePlusSalesData[[#This Row],[delivery_date]])</f>
        <v>43682</v>
      </c>
    </row>
    <row r="967" spans="1:17" ht="16" x14ac:dyDescent="0.45">
      <c r="A967" s="8" t="s">
        <v>1947</v>
      </c>
      <c r="B967" s="8" t="s">
        <v>25</v>
      </c>
      <c r="C967" s="9" t="s">
        <v>65</v>
      </c>
      <c r="D967" s="9" t="s">
        <v>40</v>
      </c>
      <c r="E967" s="9" t="s">
        <v>60</v>
      </c>
      <c r="F967" s="10">
        <v>54999</v>
      </c>
      <c r="G967" s="11">
        <v>1</v>
      </c>
      <c r="H967" s="12">
        <v>0.05</v>
      </c>
      <c r="I967" s="13">
        <v>2749.95</v>
      </c>
      <c r="J967" s="13">
        <v>52249.05</v>
      </c>
      <c r="K967" s="13">
        <v>10213.82</v>
      </c>
      <c r="L967" s="8" t="s">
        <v>562</v>
      </c>
      <c r="M967" s="19" t="s">
        <v>1100</v>
      </c>
      <c r="N967" s="9" t="s">
        <v>44</v>
      </c>
      <c r="O967" s="9" t="s">
        <v>23</v>
      </c>
      <c r="P967">
        <f>DATEVALUE(OnePlusSalesData[[#This Row],[order_date]])</f>
        <v>43583</v>
      </c>
      <c r="Q967" s="28">
        <f>DATEVALUE(OnePlusSalesData[[#This Row],[delivery_date]])</f>
        <v>43590</v>
      </c>
    </row>
    <row r="968" spans="1:17" ht="16" x14ac:dyDescent="0.45">
      <c r="A968" s="2" t="s">
        <v>1948</v>
      </c>
      <c r="B968" s="2" t="s">
        <v>58</v>
      </c>
      <c r="C968" s="3" t="s">
        <v>81</v>
      </c>
      <c r="D968" s="3" t="s">
        <v>85</v>
      </c>
      <c r="E968" s="3" t="s">
        <v>265</v>
      </c>
      <c r="F968" s="4">
        <v>4990</v>
      </c>
      <c r="G968" s="5">
        <v>1</v>
      </c>
      <c r="H968" s="6">
        <v>0.08</v>
      </c>
      <c r="I968" s="7">
        <v>399.2</v>
      </c>
      <c r="J968" s="7">
        <v>4590.8</v>
      </c>
      <c r="K968" s="7">
        <v>793.96</v>
      </c>
      <c r="L968" s="2" t="s">
        <v>1471</v>
      </c>
      <c r="M968" s="18" t="s">
        <v>78</v>
      </c>
      <c r="N968" s="3" t="s">
        <v>22</v>
      </c>
      <c r="O968" s="3" t="s">
        <v>23</v>
      </c>
      <c r="P968">
        <f>DATEVALUE(OnePlusSalesData[[#This Row],[order_date]])</f>
        <v>43961</v>
      </c>
      <c r="Q968" s="28">
        <f>DATEVALUE(OnePlusSalesData[[#This Row],[delivery_date]])</f>
        <v>43964</v>
      </c>
    </row>
    <row r="969" spans="1:17" ht="16" x14ac:dyDescent="0.45">
      <c r="A969" s="8" t="s">
        <v>1949</v>
      </c>
      <c r="B969" s="8" t="s">
        <v>16</v>
      </c>
      <c r="C969" s="9" t="s">
        <v>140</v>
      </c>
      <c r="D969" s="9" t="s">
        <v>40</v>
      </c>
      <c r="E969" s="9" t="s">
        <v>41</v>
      </c>
      <c r="F969" s="10">
        <v>37999</v>
      </c>
      <c r="G969" s="11">
        <v>1</v>
      </c>
      <c r="H969" s="12">
        <v>0.05</v>
      </c>
      <c r="I969" s="13">
        <v>1899.95</v>
      </c>
      <c r="J969" s="13">
        <v>36099.050000000003</v>
      </c>
      <c r="K969" s="13">
        <v>8454.2099999999991</v>
      </c>
      <c r="L969" s="8" t="s">
        <v>187</v>
      </c>
      <c r="M969" s="19" t="s">
        <v>1479</v>
      </c>
      <c r="N969" s="9" t="s">
        <v>22</v>
      </c>
      <c r="O969" s="9" t="s">
        <v>23</v>
      </c>
      <c r="P969">
        <f>DATEVALUE(OnePlusSalesData[[#This Row],[order_date]])</f>
        <v>43835</v>
      </c>
      <c r="Q969" s="28">
        <f>DATEVALUE(OnePlusSalesData[[#This Row],[delivery_date]])</f>
        <v>43839</v>
      </c>
    </row>
    <row r="970" spans="1:17" ht="16" x14ac:dyDescent="0.45">
      <c r="A970" s="2" t="s">
        <v>1950</v>
      </c>
      <c r="B970" s="2" t="s">
        <v>16</v>
      </c>
      <c r="C970" s="3" t="s">
        <v>17</v>
      </c>
      <c r="D970" s="3" t="s">
        <v>18</v>
      </c>
      <c r="E970" s="3" t="s">
        <v>102</v>
      </c>
      <c r="F970" s="4">
        <v>1490</v>
      </c>
      <c r="G970" s="5">
        <v>1</v>
      </c>
      <c r="H970" s="6">
        <v>0.08</v>
      </c>
      <c r="I970" s="7">
        <v>119.2</v>
      </c>
      <c r="J970" s="7">
        <v>1370.8</v>
      </c>
      <c r="K970" s="7">
        <v>285.89999999999998</v>
      </c>
      <c r="L970" s="2" t="s">
        <v>811</v>
      </c>
      <c r="M970" s="18" t="s">
        <v>225</v>
      </c>
      <c r="N970" s="3" t="s">
        <v>92</v>
      </c>
      <c r="O970" s="3" t="s">
        <v>63</v>
      </c>
      <c r="P970">
        <f>DATEVALUE(OnePlusSalesData[[#This Row],[order_date]])</f>
        <v>43975</v>
      </c>
      <c r="Q970" s="28">
        <f>DATEVALUE(OnePlusSalesData[[#This Row],[delivery_date]])</f>
        <v>43977</v>
      </c>
    </row>
    <row r="971" spans="1:17" ht="16" x14ac:dyDescent="0.45">
      <c r="A971" s="8" t="s">
        <v>1951</v>
      </c>
      <c r="B971" s="8" t="s">
        <v>16</v>
      </c>
      <c r="C971" s="9" t="s">
        <v>17</v>
      </c>
      <c r="D971" s="9" t="s">
        <v>27</v>
      </c>
      <c r="E971" s="9" t="s">
        <v>159</v>
      </c>
      <c r="F971" s="10">
        <v>22999</v>
      </c>
      <c r="G971" s="11">
        <v>1</v>
      </c>
      <c r="H971" s="12">
        <v>0.08</v>
      </c>
      <c r="I971" s="13">
        <v>1839.92</v>
      </c>
      <c r="J971" s="13">
        <v>21159.08</v>
      </c>
      <c r="K971" s="13">
        <v>4601</v>
      </c>
      <c r="L971" s="8" t="s">
        <v>996</v>
      </c>
      <c r="M971" s="19" t="s">
        <v>1031</v>
      </c>
      <c r="N971" s="9" t="s">
        <v>92</v>
      </c>
      <c r="O971" s="9" t="s">
        <v>63</v>
      </c>
      <c r="P971">
        <f>DATEVALUE(OnePlusSalesData[[#This Row],[order_date]])</f>
        <v>43273</v>
      </c>
      <c r="Q971" s="28">
        <f>DATEVALUE(OnePlusSalesData[[#This Row],[delivery_date]])</f>
        <v>43277</v>
      </c>
    </row>
    <row r="972" spans="1:17" ht="16" x14ac:dyDescent="0.45">
      <c r="A972" s="2" t="s">
        <v>1952</v>
      </c>
      <c r="B972" s="2" t="s">
        <v>16</v>
      </c>
      <c r="C972" s="3" t="s">
        <v>152</v>
      </c>
      <c r="D972" s="3" t="s">
        <v>85</v>
      </c>
      <c r="E972" s="3" t="s">
        <v>258</v>
      </c>
      <c r="F972" s="4">
        <v>2999</v>
      </c>
      <c r="G972" s="5">
        <v>3</v>
      </c>
      <c r="H972" s="6">
        <v>0.08</v>
      </c>
      <c r="I972" s="7">
        <v>719.76</v>
      </c>
      <c r="J972" s="7">
        <v>8277.24</v>
      </c>
      <c r="K972" s="7">
        <v>1667.95</v>
      </c>
      <c r="L972" s="2" t="s">
        <v>1953</v>
      </c>
      <c r="M972" s="18" t="s">
        <v>991</v>
      </c>
      <c r="N972" s="3" t="s">
        <v>22</v>
      </c>
      <c r="O972" s="3" t="s">
        <v>63</v>
      </c>
      <c r="P972">
        <f>DATEVALUE(OnePlusSalesData[[#This Row],[order_date]])</f>
        <v>44031</v>
      </c>
      <c r="Q972" s="28">
        <f>DATEVALUE(OnePlusSalesData[[#This Row],[delivery_date]])</f>
        <v>44033</v>
      </c>
    </row>
    <row r="973" spans="1:17" ht="16" x14ac:dyDescent="0.45">
      <c r="A973" s="8" t="s">
        <v>1954</v>
      </c>
      <c r="B973" s="8" t="s">
        <v>16</v>
      </c>
      <c r="C973" s="9" t="s">
        <v>152</v>
      </c>
      <c r="D973" s="9" t="s">
        <v>18</v>
      </c>
      <c r="E973" s="9" t="s">
        <v>124</v>
      </c>
      <c r="F973" s="10">
        <v>3990</v>
      </c>
      <c r="G973" s="11">
        <v>1</v>
      </c>
      <c r="H973" s="12">
        <v>0.12</v>
      </c>
      <c r="I973" s="13">
        <v>478.8</v>
      </c>
      <c r="J973" s="13">
        <v>3511.2</v>
      </c>
      <c r="K973" s="13">
        <v>824.76</v>
      </c>
      <c r="L973" s="8" t="s">
        <v>1152</v>
      </c>
      <c r="M973" s="19" t="s">
        <v>55</v>
      </c>
      <c r="N973" s="9" t="s">
        <v>44</v>
      </c>
      <c r="O973" s="9" t="s">
        <v>96</v>
      </c>
      <c r="P973">
        <f>DATEVALUE(OnePlusSalesData[[#This Row],[order_date]])</f>
        <v>43497</v>
      </c>
      <c r="Q973" s="28">
        <f>DATEVALUE(OnePlusSalesData[[#This Row],[delivery_date]])</f>
        <v>43502</v>
      </c>
    </row>
    <row r="974" spans="1:17" ht="16" x14ac:dyDescent="0.45">
      <c r="A974" s="2" t="s">
        <v>1955</v>
      </c>
      <c r="B974" s="2" t="s">
        <v>16</v>
      </c>
      <c r="C974" s="3" t="s">
        <v>17</v>
      </c>
      <c r="D974" s="3" t="s">
        <v>18</v>
      </c>
      <c r="E974" s="3" t="s">
        <v>102</v>
      </c>
      <c r="F974" s="4">
        <v>1490</v>
      </c>
      <c r="G974" s="5">
        <v>1</v>
      </c>
      <c r="H974" s="6">
        <v>0.08</v>
      </c>
      <c r="I974" s="7">
        <v>119.2</v>
      </c>
      <c r="J974" s="7">
        <v>1370.8</v>
      </c>
      <c r="K974" s="7">
        <v>247.94</v>
      </c>
      <c r="L974" s="2" t="s">
        <v>605</v>
      </c>
      <c r="M974" s="18" t="s">
        <v>356</v>
      </c>
      <c r="N974" s="3" t="s">
        <v>22</v>
      </c>
      <c r="O974" s="3" t="s">
        <v>31</v>
      </c>
      <c r="P974">
        <f>DATEVALUE(OnePlusSalesData[[#This Row],[order_date]])</f>
        <v>43597</v>
      </c>
      <c r="Q974" s="28">
        <f>DATEVALUE(OnePlusSalesData[[#This Row],[delivery_date]])</f>
        <v>43599</v>
      </c>
    </row>
    <row r="975" spans="1:17" ht="16" x14ac:dyDescent="0.45">
      <c r="A975" s="8" t="s">
        <v>1956</v>
      </c>
      <c r="B975" s="8" t="s">
        <v>16</v>
      </c>
      <c r="C975" s="9" t="s">
        <v>33</v>
      </c>
      <c r="D975" s="9" t="s">
        <v>27</v>
      </c>
      <c r="E975" s="9" t="s">
        <v>176</v>
      </c>
      <c r="F975" s="10">
        <v>69900</v>
      </c>
      <c r="G975" s="11">
        <v>1</v>
      </c>
      <c r="H975" s="12">
        <v>0.05</v>
      </c>
      <c r="I975" s="13">
        <v>3495</v>
      </c>
      <c r="J975" s="13">
        <v>66405</v>
      </c>
      <c r="K975" s="13">
        <v>9888.34</v>
      </c>
      <c r="L975" s="8" t="s">
        <v>1957</v>
      </c>
      <c r="M975" s="19" t="s">
        <v>1958</v>
      </c>
      <c r="N975" s="9" t="s">
        <v>50</v>
      </c>
      <c r="O975" s="9" t="s">
        <v>23</v>
      </c>
      <c r="P975">
        <f>DATEVALUE(OnePlusSalesData[[#This Row],[order_date]])</f>
        <v>43799</v>
      </c>
      <c r="Q975" s="28">
        <f>DATEVALUE(OnePlusSalesData[[#This Row],[delivery_date]])</f>
        <v>43806</v>
      </c>
    </row>
    <row r="976" spans="1:17" ht="16" x14ac:dyDescent="0.45">
      <c r="A976" s="2" t="s">
        <v>1959</v>
      </c>
      <c r="B976" s="2" t="s">
        <v>52</v>
      </c>
      <c r="C976" s="3" t="s">
        <v>69</v>
      </c>
      <c r="D976" s="3" t="s">
        <v>27</v>
      </c>
      <c r="E976" s="3" t="s">
        <v>176</v>
      </c>
      <c r="F976" s="4">
        <v>69900</v>
      </c>
      <c r="G976" s="5">
        <v>1</v>
      </c>
      <c r="H976" s="6">
        <v>0.05</v>
      </c>
      <c r="I976" s="7">
        <v>3495</v>
      </c>
      <c r="J976" s="7">
        <v>66405</v>
      </c>
      <c r="K976" s="7">
        <v>13421.56</v>
      </c>
      <c r="L976" s="2" t="s">
        <v>1310</v>
      </c>
      <c r="M976" s="18" t="s">
        <v>1851</v>
      </c>
      <c r="N976" s="3" t="s">
        <v>22</v>
      </c>
      <c r="O976" s="3" t="s">
        <v>23</v>
      </c>
      <c r="P976">
        <f>DATEVALUE(OnePlusSalesData[[#This Row],[order_date]])</f>
        <v>43157</v>
      </c>
      <c r="Q976" s="28">
        <f>DATEVALUE(OnePlusSalesData[[#This Row],[delivery_date]])</f>
        <v>43160</v>
      </c>
    </row>
    <row r="977" spans="1:17" ht="16" x14ac:dyDescent="0.45">
      <c r="A977" s="8" t="s">
        <v>1960</v>
      </c>
      <c r="B977" s="8" t="s">
        <v>58</v>
      </c>
      <c r="C977" s="9" t="s">
        <v>81</v>
      </c>
      <c r="D977" s="9" t="s">
        <v>40</v>
      </c>
      <c r="E977" s="9" t="s">
        <v>148</v>
      </c>
      <c r="F977" s="10">
        <v>41999</v>
      </c>
      <c r="G977" s="11">
        <v>1</v>
      </c>
      <c r="H977" s="12">
        <v>0.08</v>
      </c>
      <c r="I977" s="13">
        <v>3359.92</v>
      </c>
      <c r="J977" s="13">
        <v>38639.08</v>
      </c>
      <c r="K977" s="13">
        <v>7096.76</v>
      </c>
      <c r="L977" s="8" t="s">
        <v>1389</v>
      </c>
      <c r="M977" s="19" t="s">
        <v>222</v>
      </c>
      <c r="N977" s="9" t="s">
        <v>22</v>
      </c>
      <c r="O977" s="9" t="s">
        <v>45</v>
      </c>
      <c r="P977">
        <f>DATEVALUE(OnePlusSalesData[[#This Row],[order_date]])</f>
        <v>43849</v>
      </c>
      <c r="Q977" s="28">
        <f>DATEVALUE(OnePlusSalesData[[#This Row],[delivery_date]])</f>
        <v>43852</v>
      </c>
    </row>
    <row r="978" spans="1:17" ht="16" x14ac:dyDescent="0.45">
      <c r="A978" s="2" t="s">
        <v>1961</v>
      </c>
      <c r="B978" s="2" t="s">
        <v>52</v>
      </c>
      <c r="C978" s="3" t="s">
        <v>53</v>
      </c>
      <c r="D978" s="3" t="s">
        <v>40</v>
      </c>
      <c r="E978" s="3" t="s">
        <v>98</v>
      </c>
      <c r="F978" s="4">
        <v>34999</v>
      </c>
      <c r="G978" s="5">
        <v>1</v>
      </c>
      <c r="H978" s="6">
        <v>0.05</v>
      </c>
      <c r="I978" s="7">
        <v>1749.95</v>
      </c>
      <c r="J978" s="7">
        <v>33249.050000000003</v>
      </c>
      <c r="K978" s="7">
        <v>8549.2800000000007</v>
      </c>
      <c r="L978" s="2" t="s">
        <v>1156</v>
      </c>
      <c r="M978" s="18" t="s">
        <v>1962</v>
      </c>
      <c r="N978" s="3" t="s">
        <v>22</v>
      </c>
      <c r="O978" s="3" t="s">
        <v>31</v>
      </c>
      <c r="P978">
        <f>DATEVALUE(OnePlusSalesData[[#This Row],[order_date]])</f>
        <v>43272</v>
      </c>
      <c r="Q978" s="28">
        <f>DATEVALUE(OnePlusSalesData[[#This Row],[delivery_date]])</f>
        <v>43274</v>
      </c>
    </row>
    <row r="979" spans="1:17" ht="16" x14ac:dyDescent="0.45">
      <c r="A979" s="8" t="s">
        <v>1963</v>
      </c>
      <c r="B979" s="8" t="s">
        <v>16</v>
      </c>
      <c r="C979" s="9" t="s">
        <v>152</v>
      </c>
      <c r="D979" s="9" t="s">
        <v>40</v>
      </c>
      <c r="E979" s="9" t="s">
        <v>47</v>
      </c>
      <c r="F979" s="10">
        <v>37999</v>
      </c>
      <c r="G979" s="11">
        <v>4</v>
      </c>
      <c r="H979" s="12">
        <v>0.05</v>
      </c>
      <c r="I979" s="13">
        <v>7599.8</v>
      </c>
      <c r="J979" s="13">
        <v>144396.20000000001</v>
      </c>
      <c r="K979" s="13">
        <v>22149.119999999999</v>
      </c>
      <c r="L979" s="8" t="s">
        <v>1217</v>
      </c>
      <c r="M979" s="19" t="s">
        <v>655</v>
      </c>
      <c r="N979" s="9" t="s">
        <v>44</v>
      </c>
      <c r="O979" s="9" t="s">
        <v>23</v>
      </c>
      <c r="P979">
        <f>DATEVALUE(OnePlusSalesData[[#This Row],[order_date]])</f>
        <v>43666</v>
      </c>
      <c r="Q979" s="28">
        <f>DATEVALUE(OnePlusSalesData[[#This Row],[delivery_date]])</f>
        <v>43673</v>
      </c>
    </row>
    <row r="980" spans="1:17" ht="16" x14ac:dyDescent="0.45">
      <c r="A980" s="2" t="s">
        <v>1964</v>
      </c>
      <c r="B980" s="2" t="s">
        <v>16</v>
      </c>
      <c r="C980" s="3" t="s">
        <v>39</v>
      </c>
      <c r="D980" s="3" t="s">
        <v>40</v>
      </c>
      <c r="E980" s="3" t="s">
        <v>148</v>
      </c>
      <c r="F980" s="4">
        <v>41999</v>
      </c>
      <c r="G980" s="5">
        <v>4</v>
      </c>
      <c r="H980" s="6">
        <v>0.1</v>
      </c>
      <c r="I980" s="7">
        <v>16799.599999999999</v>
      </c>
      <c r="J980" s="7">
        <v>151196.4</v>
      </c>
      <c r="K980" s="7">
        <v>34626.99</v>
      </c>
      <c r="L980" s="2" t="s">
        <v>1271</v>
      </c>
      <c r="M980" s="18" t="s">
        <v>1080</v>
      </c>
      <c r="N980" s="3" t="s">
        <v>22</v>
      </c>
      <c r="O980" s="3" t="s">
        <v>31</v>
      </c>
      <c r="P980">
        <f>DATEVALUE(OnePlusSalesData[[#This Row],[order_date]])</f>
        <v>43692</v>
      </c>
      <c r="Q980" s="28">
        <f>DATEVALUE(OnePlusSalesData[[#This Row],[delivery_date]])</f>
        <v>43699</v>
      </c>
    </row>
    <row r="981" spans="1:17" ht="16" x14ac:dyDescent="0.45">
      <c r="A981" s="8" t="s">
        <v>1965</v>
      </c>
      <c r="B981" s="8" t="s">
        <v>25</v>
      </c>
      <c r="C981" s="9" t="s">
        <v>133</v>
      </c>
      <c r="D981" s="9" t="s">
        <v>40</v>
      </c>
      <c r="E981" s="9" t="s">
        <v>47</v>
      </c>
      <c r="F981" s="10">
        <v>37999</v>
      </c>
      <c r="G981" s="11">
        <v>1</v>
      </c>
      <c r="H981" s="12">
        <v>0.05</v>
      </c>
      <c r="I981" s="13">
        <v>1899.95</v>
      </c>
      <c r="J981" s="13">
        <v>36099.050000000003</v>
      </c>
      <c r="K981" s="13">
        <v>5516.88</v>
      </c>
      <c r="L981" s="8" t="s">
        <v>874</v>
      </c>
      <c r="M981" s="19" t="s">
        <v>251</v>
      </c>
      <c r="N981" s="9" t="s">
        <v>92</v>
      </c>
      <c r="O981" s="9" t="s">
        <v>63</v>
      </c>
      <c r="P981">
        <f>DATEVALUE(OnePlusSalesData[[#This Row],[order_date]])</f>
        <v>43764</v>
      </c>
      <c r="Q981" s="28">
        <f>DATEVALUE(OnePlusSalesData[[#This Row],[delivery_date]])</f>
        <v>43767</v>
      </c>
    </row>
    <row r="982" spans="1:17" ht="16" x14ac:dyDescent="0.45">
      <c r="A982" s="2" t="s">
        <v>1966</v>
      </c>
      <c r="B982" s="2" t="s">
        <v>52</v>
      </c>
      <c r="C982" s="3" t="s">
        <v>192</v>
      </c>
      <c r="D982" s="3" t="s">
        <v>85</v>
      </c>
      <c r="E982" s="3" t="s">
        <v>265</v>
      </c>
      <c r="F982" s="4">
        <v>4990</v>
      </c>
      <c r="G982" s="5">
        <v>1</v>
      </c>
      <c r="H982" s="6">
        <v>0.05</v>
      </c>
      <c r="I982" s="7">
        <v>249.5</v>
      </c>
      <c r="J982" s="7">
        <v>4740.5</v>
      </c>
      <c r="K982" s="7">
        <v>851.84</v>
      </c>
      <c r="L982" s="2" t="s">
        <v>1642</v>
      </c>
      <c r="M982" s="18" t="s">
        <v>1219</v>
      </c>
      <c r="N982" s="3" t="s">
        <v>92</v>
      </c>
      <c r="O982" s="3" t="s">
        <v>63</v>
      </c>
      <c r="P982">
        <f>DATEVALUE(OnePlusSalesData[[#This Row],[order_date]])</f>
        <v>43805</v>
      </c>
      <c r="Q982" s="28">
        <f>DATEVALUE(OnePlusSalesData[[#This Row],[delivery_date]])</f>
        <v>43808</v>
      </c>
    </row>
    <row r="983" spans="1:17" ht="16" x14ac:dyDescent="0.45">
      <c r="A983" s="8" t="s">
        <v>1967</v>
      </c>
      <c r="B983" s="8" t="s">
        <v>58</v>
      </c>
      <c r="C983" s="9" t="s">
        <v>59</v>
      </c>
      <c r="D983" s="9" t="s">
        <v>27</v>
      </c>
      <c r="E983" s="9" t="s">
        <v>176</v>
      </c>
      <c r="F983" s="10">
        <v>69900</v>
      </c>
      <c r="G983" s="11">
        <v>2</v>
      </c>
      <c r="H983" s="12">
        <v>0.05</v>
      </c>
      <c r="I983" s="13">
        <v>6990</v>
      </c>
      <c r="J983" s="13">
        <v>132810</v>
      </c>
      <c r="K983" s="13">
        <v>19725.330000000002</v>
      </c>
      <c r="L983" s="8" t="s">
        <v>623</v>
      </c>
      <c r="M983" s="19" t="s">
        <v>1447</v>
      </c>
      <c r="N983" s="9" t="s">
        <v>92</v>
      </c>
      <c r="O983" s="9" t="s">
        <v>31</v>
      </c>
      <c r="P983">
        <f>DATEVALUE(OnePlusSalesData[[#This Row],[order_date]])</f>
        <v>43922</v>
      </c>
      <c r="Q983" s="28">
        <f>DATEVALUE(OnePlusSalesData[[#This Row],[delivery_date]])</f>
        <v>43925</v>
      </c>
    </row>
    <row r="984" spans="1:17" ht="16" x14ac:dyDescent="0.45">
      <c r="A984" s="2" t="s">
        <v>1968</v>
      </c>
      <c r="B984" s="2" t="s">
        <v>58</v>
      </c>
      <c r="C984" s="3" t="s">
        <v>59</v>
      </c>
      <c r="D984" s="3" t="s">
        <v>40</v>
      </c>
      <c r="E984" s="3" t="s">
        <v>406</v>
      </c>
      <c r="F984" s="4">
        <v>48999</v>
      </c>
      <c r="G984" s="5">
        <v>2</v>
      </c>
      <c r="H984" s="6">
        <v>0.05</v>
      </c>
      <c r="I984" s="7">
        <v>4899.8999999999996</v>
      </c>
      <c r="J984" s="7">
        <v>93098.1</v>
      </c>
      <c r="K984" s="7">
        <v>14799.91</v>
      </c>
      <c r="L984" s="2" t="s">
        <v>347</v>
      </c>
      <c r="M984" s="18" t="s">
        <v>177</v>
      </c>
      <c r="N984" s="3" t="s">
        <v>92</v>
      </c>
      <c r="O984" s="3" t="s">
        <v>31</v>
      </c>
      <c r="P984">
        <f>DATEVALUE(OnePlusSalesData[[#This Row],[order_date]])</f>
        <v>43614</v>
      </c>
      <c r="Q984" s="28">
        <f>DATEVALUE(OnePlusSalesData[[#This Row],[delivery_date]])</f>
        <v>43616</v>
      </c>
    </row>
    <row r="985" spans="1:17" ht="16" x14ac:dyDescent="0.45">
      <c r="A985" s="8" t="s">
        <v>1969</v>
      </c>
      <c r="B985" s="8" t="s">
        <v>16</v>
      </c>
      <c r="C985" s="9" t="s">
        <v>152</v>
      </c>
      <c r="D985" s="9" t="s">
        <v>18</v>
      </c>
      <c r="E985" s="9" t="s">
        <v>179</v>
      </c>
      <c r="F985" s="10">
        <v>1290</v>
      </c>
      <c r="G985" s="11">
        <v>1</v>
      </c>
      <c r="H985" s="12">
        <v>0.05</v>
      </c>
      <c r="I985" s="13">
        <v>64.5</v>
      </c>
      <c r="J985" s="13">
        <v>1225.5</v>
      </c>
      <c r="K985" s="13">
        <v>239.37</v>
      </c>
      <c r="L985" s="8" t="s">
        <v>276</v>
      </c>
      <c r="M985" s="19" t="s">
        <v>781</v>
      </c>
      <c r="N985" s="9" t="s">
        <v>22</v>
      </c>
      <c r="O985" s="9" t="s">
        <v>63</v>
      </c>
      <c r="P985">
        <f>DATEVALUE(OnePlusSalesData[[#This Row],[order_date]])</f>
        <v>43421</v>
      </c>
      <c r="Q985" s="28">
        <f>DATEVALUE(OnePlusSalesData[[#This Row],[delivery_date]])</f>
        <v>43425</v>
      </c>
    </row>
    <row r="986" spans="1:17" ht="16" x14ac:dyDescent="0.45">
      <c r="A986" s="2" t="s">
        <v>1970</v>
      </c>
      <c r="B986" s="2" t="s">
        <v>58</v>
      </c>
      <c r="C986" s="3" t="s">
        <v>59</v>
      </c>
      <c r="D986" s="3" t="s">
        <v>18</v>
      </c>
      <c r="E986" s="3" t="s">
        <v>19</v>
      </c>
      <c r="F986" s="4">
        <v>1990</v>
      </c>
      <c r="G986" s="5">
        <v>3</v>
      </c>
      <c r="H986" s="6">
        <v>0.05</v>
      </c>
      <c r="I986" s="7">
        <v>298.5</v>
      </c>
      <c r="J986" s="7">
        <v>5671.5</v>
      </c>
      <c r="K986" s="7">
        <v>1241.45</v>
      </c>
      <c r="L986" s="2" t="s">
        <v>1971</v>
      </c>
      <c r="M986" s="18" t="s">
        <v>1972</v>
      </c>
      <c r="N986" s="3" t="s">
        <v>50</v>
      </c>
      <c r="O986" s="3" t="s">
        <v>63</v>
      </c>
      <c r="P986">
        <f>DATEVALUE(OnePlusSalesData[[#This Row],[order_date]])</f>
        <v>43260</v>
      </c>
      <c r="Q986" s="28">
        <f>DATEVALUE(OnePlusSalesData[[#This Row],[delivery_date]])</f>
        <v>43262</v>
      </c>
    </row>
    <row r="987" spans="1:17" ht="16" x14ac:dyDescent="0.45">
      <c r="A987" s="8" t="s">
        <v>1973</v>
      </c>
      <c r="B987" s="8" t="s">
        <v>16</v>
      </c>
      <c r="C987" s="9" t="s">
        <v>140</v>
      </c>
      <c r="D987" s="9" t="s">
        <v>27</v>
      </c>
      <c r="E987" s="9" t="s">
        <v>159</v>
      </c>
      <c r="F987" s="10">
        <v>22999</v>
      </c>
      <c r="G987" s="11">
        <v>1</v>
      </c>
      <c r="H987" s="12">
        <v>0.05</v>
      </c>
      <c r="I987" s="13">
        <v>1149.95</v>
      </c>
      <c r="J987" s="13">
        <v>21849.05</v>
      </c>
      <c r="K987" s="13">
        <v>4866.9399999999996</v>
      </c>
      <c r="L987" s="8" t="s">
        <v>1974</v>
      </c>
      <c r="M987" s="19" t="s">
        <v>941</v>
      </c>
      <c r="N987" s="9" t="s">
        <v>22</v>
      </c>
      <c r="O987" s="9" t="s">
        <v>63</v>
      </c>
      <c r="P987">
        <f>DATEVALUE(OnePlusSalesData[[#This Row],[order_date]])</f>
        <v>43530</v>
      </c>
      <c r="Q987" s="28">
        <f>DATEVALUE(OnePlusSalesData[[#This Row],[delivery_date]])</f>
        <v>43535</v>
      </c>
    </row>
    <row r="988" spans="1:17" ht="16" x14ac:dyDescent="0.45">
      <c r="A988" s="2" t="s">
        <v>1975</v>
      </c>
      <c r="B988" s="2" t="s">
        <v>52</v>
      </c>
      <c r="C988" s="3" t="s">
        <v>53</v>
      </c>
      <c r="D988" s="3" t="s">
        <v>18</v>
      </c>
      <c r="E988" s="3" t="s">
        <v>124</v>
      </c>
      <c r="F988" s="4">
        <v>3990</v>
      </c>
      <c r="G988" s="5">
        <v>1</v>
      </c>
      <c r="H988" s="6">
        <v>0.08</v>
      </c>
      <c r="I988" s="7">
        <v>319.2</v>
      </c>
      <c r="J988" s="7">
        <v>3670.8</v>
      </c>
      <c r="K988" s="7">
        <v>692.27</v>
      </c>
      <c r="L988" s="2" t="s">
        <v>145</v>
      </c>
      <c r="M988" s="18" t="s">
        <v>389</v>
      </c>
      <c r="N988" s="3" t="s">
        <v>44</v>
      </c>
      <c r="O988" s="3" t="s">
        <v>31</v>
      </c>
      <c r="P988">
        <f>DATEVALUE(OnePlusSalesData[[#This Row],[order_date]])</f>
        <v>43862</v>
      </c>
      <c r="Q988" s="28">
        <f>DATEVALUE(OnePlusSalesData[[#This Row],[delivery_date]])</f>
        <v>43865</v>
      </c>
    </row>
    <row r="989" spans="1:17" ht="16" x14ac:dyDescent="0.45">
      <c r="A989" s="8" t="s">
        <v>1976</v>
      </c>
      <c r="B989" s="8" t="s">
        <v>52</v>
      </c>
      <c r="C989" s="9" t="s">
        <v>69</v>
      </c>
      <c r="D989" s="9" t="s">
        <v>40</v>
      </c>
      <c r="E989" s="9" t="s">
        <v>60</v>
      </c>
      <c r="F989" s="10">
        <v>54999</v>
      </c>
      <c r="G989" s="11">
        <v>1</v>
      </c>
      <c r="H989" s="12">
        <v>0.05</v>
      </c>
      <c r="I989" s="13">
        <v>2749.95</v>
      </c>
      <c r="J989" s="13">
        <v>52249.05</v>
      </c>
      <c r="K989" s="13">
        <v>9880.48</v>
      </c>
      <c r="L989" s="8" t="s">
        <v>1468</v>
      </c>
      <c r="M989" s="19" t="s">
        <v>1268</v>
      </c>
      <c r="N989" s="9" t="s">
        <v>22</v>
      </c>
      <c r="O989" s="9" t="s">
        <v>63</v>
      </c>
      <c r="P989">
        <f>DATEVALUE(OnePlusSalesData[[#This Row],[order_date]])</f>
        <v>43934</v>
      </c>
      <c r="Q989" s="28">
        <f>DATEVALUE(OnePlusSalesData[[#This Row],[delivery_date]])</f>
        <v>43936</v>
      </c>
    </row>
    <row r="990" spans="1:17" ht="16" x14ac:dyDescent="0.45">
      <c r="A990" s="2" t="s">
        <v>1977</v>
      </c>
      <c r="B990" s="2" t="s">
        <v>52</v>
      </c>
      <c r="C990" s="3" t="s">
        <v>106</v>
      </c>
      <c r="D990" s="3" t="s">
        <v>85</v>
      </c>
      <c r="E990" s="3" t="s">
        <v>265</v>
      </c>
      <c r="F990" s="4">
        <v>4990</v>
      </c>
      <c r="G990" s="5">
        <v>1</v>
      </c>
      <c r="H990" s="6">
        <v>0.08</v>
      </c>
      <c r="I990" s="7">
        <v>399.2</v>
      </c>
      <c r="J990" s="7">
        <v>4590.8</v>
      </c>
      <c r="K990" s="7">
        <v>758.65</v>
      </c>
      <c r="L990" s="2" t="s">
        <v>1978</v>
      </c>
      <c r="M990" s="18" t="s">
        <v>889</v>
      </c>
      <c r="N990" s="3" t="s">
        <v>22</v>
      </c>
      <c r="O990" s="3" t="s">
        <v>63</v>
      </c>
      <c r="P990">
        <f>DATEVALUE(OnePlusSalesData[[#This Row],[order_date]])</f>
        <v>43317</v>
      </c>
      <c r="Q990" s="28">
        <f>DATEVALUE(OnePlusSalesData[[#This Row],[delivery_date]])</f>
        <v>43319</v>
      </c>
    </row>
    <row r="991" spans="1:17" ht="16" x14ac:dyDescent="0.45">
      <c r="A991" s="8" t="s">
        <v>1979</v>
      </c>
      <c r="B991" s="8" t="s">
        <v>25</v>
      </c>
      <c r="C991" s="9" t="s">
        <v>26</v>
      </c>
      <c r="D991" s="9" t="s">
        <v>85</v>
      </c>
      <c r="E991" s="9" t="s">
        <v>258</v>
      </c>
      <c r="F991" s="10">
        <v>2999</v>
      </c>
      <c r="G991" s="11">
        <v>1</v>
      </c>
      <c r="H991" s="12">
        <v>0.12</v>
      </c>
      <c r="I991" s="13">
        <v>359.88</v>
      </c>
      <c r="J991" s="13">
        <v>2639.12</v>
      </c>
      <c r="K991" s="13">
        <v>629.30999999999995</v>
      </c>
      <c r="L991" s="8" t="s">
        <v>1224</v>
      </c>
      <c r="M991" s="19" t="s">
        <v>1597</v>
      </c>
      <c r="N991" s="9" t="s">
        <v>22</v>
      </c>
      <c r="O991" s="9" t="s">
        <v>23</v>
      </c>
      <c r="P991">
        <f>DATEVALUE(OnePlusSalesData[[#This Row],[order_date]])</f>
        <v>43479</v>
      </c>
      <c r="Q991" s="28">
        <f>DATEVALUE(OnePlusSalesData[[#This Row],[delivery_date]])</f>
        <v>43483</v>
      </c>
    </row>
    <row r="992" spans="1:17" ht="16" x14ac:dyDescent="0.45">
      <c r="A992" s="2" t="s">
        <v>1980</v>
      </c>
      <c r="B992" s="2" t="s">
        <v>25</v>
      </c>
      <c r="C992" s="3" t="s">
        <v>65</v>
      </c>
      <c r="D992" s="3" t="s">
        <v>85</v>
      </c>
      <c r="E992" s="3" t="s">
        <v>228</v>
      </c>
      <c r="F992" s="4">
        <v>5990</v>
      </c>
      <c r="G992" s="5">
        <v>2</v>
      </c>
      <c r="H992" s="6">
        <v>0.08</v>
      </c>
      <c r="I992" s="7">
        <v>958.4</v>
      </c>
      <c r="J992" s="7">
        <v>11021.6</v>
      </c>
      <c r="K992" s="7">
        <v>2265.23</v>
      </c>
      <c r="L992" s="2" t="s">
        <v>463</v>
      </c>
      <c r="M992" s="18" t="s">
        <v>778</v>
      </c>
      <c r="N992" s="3" t="s">
        <v>44</v>
      </c>
      <c r="O992" s="3" t="s">
        <v>23</v>
      </c>
      <c r="P992">
        <f>DATEVALUE(OnePlusSalesData[[#This Row],[order_date]])</f>
        <v>44011</v>
      </c>
      <c r="Q992" s="28">
        <f>DATEVALUE(OnePlusSalesData[[#This Row],[delivery_date]])</f>
        <v>44015</v>
      </c>
    </row>
    <row r="993" spans="1:17" ht="16" x14ac:dyDescent="0.45">
      <c r="A993" s="8" t="s">
        <v>1981</v>
      </c>
      <c r="B993" s="8" t="s">
        <v>25</v>
      </c>
      <c r="C993" s="9" t="s">
        <v>133</v>
      </c>
      <c r="D993" s="9" t="s">
        <v>34</v>
      </c>
      <c r="E993" s="9" t="s">
        <v>77</v>
      </c>
      <c r="F993" s="10">
        <v>24999</v>
      </c>
      <c r="G993" s="11">
        <v>1</v>
      </c>
      <c r="H993" s="12">
        <v>0.08</v>
      </c>
      <c r="I993" s="13">
        <v>1999.92</v>
      </c>
      <c r="J993" s="13">
        <v>22999.08</v>
      </c>
      <c r="K993" s="13">
        <v>5157.58</v>
      </c>
      <c r="L993" s="8" t="s">
        <v>323</v>
      </c>
      <c r="M993" s="19" t="s">
        <v>1368</v>
      </c>
      <c r="N993" s="9" t="s">
        <v>22</v>
      </c>
      <c r="O993" s="9" t="s">
        <v>23</v>
      </c>
      <c r="P993">
        <f>DATEVALUE(OnePlusSalesData[[#This Row],[order_date]])</f>
        <v>43220</v>
      </c>
      <c r="Q993" s="28">
        <f>DATEVALUE(OnePlusSalesData[[#This Row],[delivery_date]])</f>
        <v>43224</v>
      </c>
    </row>
    <row r="994" spans="1:17" ht="16" x14ac:dyDescent="0.45">
      <c r="A994" s="2" t="s">
        <v>1982</v>
      </c>
      <c r="B994" s="2" t="s">
        <v>58</v>
      </c>
      <c r="C994" s="3" t="s">
        <v>59</v>
      </c>
      <c r="D994" s="3" t="s">
        <v>40</v>
      </c>
      <c r="E994" s="3" t="s">
        <v>406</v>
      </c>
      <c r="F994" s="4">
        <v>48999</v>
      </c>
      <c r="G994" s="5">
        <v>1</v>
      </c>
      <c r="H994" s="6">
        <v>0.1</v>
      </c>
      <c r="I994" s="7">
        <v>4899.8999999999996</v>
      </c>
      <c r="J994" s="7">
        <v>44099.1</v>
      </c>
      <c r="K994" s="7">
        <v>8719.17</v>
      </c>
      <c r="L994" s="2" t="s">
        <v>558</v>
      </c>
      <c r="M994" s="18" t="s">
        <v>486</v>
      </c>
      <c r="N994" s="3" t="s">
        <v>50</v>
      </c>
      <c r="O994" s="3" t="s">
        <v>31</v>
      </c>
      <c r="P994">
        <f>DATEVALUE(OnePlusSalesData[[#This Row],[order_date]])</f>
        <v>43234</v>
      </c>
      <c r="Q994" s="28">
        <f>DATEVALUE(OnePlusSalesData[[#This Row],[delivery_date]])</f>
        <v>43238</v>
      </c>
    </row>
    <row r="995" spans="1:17" ht="16" x14ac:dyDescent="0.45">
      <c r="A995" s="8" t="s">
        <v>1983</v>
      </c>
      <c r="B995" s="8" t="s">
        <v>25</v>
      </c>
      <c r="C995" s="9" t="s">
        <v>133</v>
      </c>
      <c r="D995" s="9" t="s">
        <v>34</v>
      </c>
      <c r="E995" s="9" t="s">
        <v>35</v>
      </c>
      <c r="F995" s="10">
        <v>19999</v>
      </c>
      <c r="G995" s="11">
        <v>4</v>
      </c>
      <c r="H995" s="12">
        <v>0.05</v>
      </c>
      <c r="I995" s="13">
        <v>3999.8</v>
      </c>
      <c r="J995" s="13">
        <v>75996.2</v>
      </c>
      <c r="K995" s="13">
        <v>16104.75</v>
      </c>
      <c r="L995" s="8" t="s">
        <v>840</v>
      </c>
      <c r="M995" s="19" t="s">
        <v>1138</v>
      </c>
      <c r="N995" s="9" t="s">
        <v>22</v>
      </c>
      <c r="O995" s="9" t="s">
        <v>23</v>
      </c>
      <c r="P995">
        <f>DATEVALUE(OnePlusSalesData[[#This Row],[order_date]])</f>
        <v>43818</v>
      </c>
      <c r="Q995" s="28">
        <f>DATEVALUE(OnePlusSalesData[[#This Row],[delivery_date]])</f>
        <v>43822</v>
      </c>
    </row>
    <row r="996" spans="1:17" ht="16" x14ac:dyDescent="0.45">
      <c r="A996" s="2" t="s">
        <v>1984</v>
      </c>
      <c r="B996" s="2" t="s">
        <v>52</v>
      </c>
      <c r="C996" s="3" t="s">
        <v>69</v>
      </c>
      <c r="D996" s="3" t="s">
        <v>40</v>
      </c>
      <c r="E996" s="3" t="s">
        <v>73</v>
      </c>
      <c r="F996" s="4">
        <v>32999</v>
      </c>
      <c r="G996" s="5">
        <v>1</v>
      </c>
      <c r="H996" s="6">
        <v>0.12</v>
      </c>
      <c r="I996" s="7">
        <v>3959.88</v>
      </c>
      <c r="J996" s="7">
        <v>29039.119999999999</v>
      </c>
      <c r="K996" s="7">
        <v>7348.03</v>
      </c>
      <c r="L996" s="2" t="s">
        <v>1152</v>
      </c>
      <c r="M996" s="18" t="s">
        <v>427</v>
      </c>
      <c r="N996" s="3" t="s">
        <v>22</v>
      </c>
      <c r="O996" s="3" t="s">
        <v>63</v>
      </c>
      <c r="P996">
        <f>DATEVALUE(OnePlusSalesData[[#This Row],[order_date]])</f>
        <v>43497</v>
      </c>
      <c r="Q996" s="28">
        <f>DATEVALUE(OnePlusSalesData[[#This Row],[delivery_date]])</f>
        <v>43501</v>
      </c>
    </row>
    <row r="997" spans="1:17" ht="16" x14ac:dyDescent="0.45">
      <c r="A997" s="8" t="s">
        <v>1985</v>
      </c>
      <c r="B997" s="8" t="s">
        <v>16</v>
      </c>
      <c r="C997" s="9" t="s">
        <v>39</v>
      </c>
      <c r="D997" s="9" t="s">
        <v>27</v>
      </c>
      <c r="E997" s="9" t="s">
        <v>176</v>
      </c>
      <c r="F997" s="10">
        <v>69900</v>
      </c>
      <c r="G997" s="11">
        <v>1</v>
      </c>
      <c r="H997" s="12">
        <v>0.1</v>
      </c>
      <c r="I997" s="13">
        <v>6990</v>
      </c>
      <c r="J997" s="13">
        <v>62910</v>
      </c>
      <c r="K997" s="13">
        <v>13597.63</v>
      </c>
      <c r="L997" s="8" t="s">
        <v>1100</v>
      </c>
      <c r="M997" s="19" t="s">
        <v>355</v>
      </c>
      <c r="N997" s="9" t="s">
        <v>22</v>
      </c>
      <c r="O997" s="9" t="s">
        <v>23</v>
      </c>
      <c r="P997">
        <f>DATEVALUE(OnePlusSalesData[[#This Row],[order_date]])</f>
        <v>43590</v>
      </c>
      <c r="Q997" s="28">
        <f>DATEVALUE(OnePlusSalesData[[#This Row],[delivery_date]])</f>
        <v>43594</v>
      </c>
    </row>
    <row r="998" spans="1:17" ht="16" x14ac:dyDescent="0.45">
      <c r="A998" s="2" t="s">
        <v>1986</v>
      </c>
      <c r="B998" s="2" t="s">
        <v>52</v>
      </c>
      <c r="C998" s="3" t="s">
        <v>69</v>
      </c>
      <c r="D998" s="3" t="s">
        <v>27</v>
      </c>
      <c r="E998" s="3" t="s">
        <v>176</v>
      </c>
      <c r="F998" s="4">
        <v>69900</v>
      </c>
      <c r="G998" s="5">
        <v>1</v>
      </c>
      <c r="H998" s="6">
        <v>0.05</v>
      </c>
      <c r="I998" s="7">
        <v>3495</v>
      </c>
      <c r="J998" s="7">
        <v>66405</v>
      </c>
      <c r="K998" s="7">
        <v>12869.56</v>
      </c>
      <c r="L998" s="2" t="s">
        <v>295</v>
      </c>
      <c r="M998" s="18" t="s">
        <v>1644</v>
      </c>
      <c r="N998" s="3" t="s">
        <v>22</v>
      </c>
      <c r="O998" s="3" t="s">
        <v>23</v>
      </c>
      <c r="P998">
        <f>DATEVALUE(OnePlusSalesData[[#This Row],[order_date]])</f>
        <v>43831</v>
      </c>
      <c r="Q998" s="28">
        <f>DATEVALUE(OnePlusSalesData[[#This Row],[delivery_date]])</f>
        <v>43833</v>
      </c>
    </row>
    <row r="999" spans="1:17" ht="16" x14ac:dyDescent="0.45">
      <c r="A999" s="8" t="s">
        <v>1987</v>
      </c>
      <c r="B999" s="8" t="s">
        <v>52</v>
      </c>
      <c r="C999" s="9" t="s">
        <v>69</v>
      </c>
      <c r="D999" s="9" t="s">
        <v>34</v>
      </c>
      <c r="E999" s="9" t="s">
        <v>35</v>
      </c>
      <c r="F999" s="10">
        <v>19999</v>
      </c>
      <c r="G999" s="11">
        <v>2</v>
      </c>
      <c r="H999" s="12">
        <v>0</v>
      </c>
      <c r="I999" s="13">
        <v>0</v>
      </c>
      <c r="J999" s="13">
        <v>39998</v>
      </c>
      <c r="K999" s="13">
        <v>8600.27</v>
      </c>
      <c r="L999" s="8" t="s">
        <v>78</v>
      </c>
      <c r="M999" s="19" t="s">
        <v>870</v>
      </c>
      <c r="N999" s="9" t="s">
        <v>22</v>
      </c>
      <c r="O999" s="9" t="s">
        <v>31</v>
      </c>
      <c r="P999">
        <f>DATEVALUE(OnePlusSalesData[[#This Row],[order_date]])</f>
        <v>43964</v>
      </c>
      <c r="Q999" s="28">
        <f>DATEVALUE(OnePlusSalesData[[#This Row],[delivery_date]])</f>
        <v>43969</v>
      </c>
    </row>
    <row r="1000" spans="1:17" ht="16" x14ac:dyDescent="0.45">
      <c r="A1000" s="2" t="s">
        <v>1988</v>
      </c>
      <c r="B1000" s="2" t="s">
        <v>25</v>
      </c>
      <c r="C1000" s="3" t="s">
        <v>26</v>
      </c>
      <c r="D1000" s="3" t="s">
        <v>18</v>
      </c>
      <c r="E1000" s="3" t="s">
        <v>19</v>
      </c>
      <c r="F1000" s="4">
        <v>1990</v>
      </c>
      <c r="G1000" s="5">
        <v>2</v>
      </c>
      <c r="H1000" s="6">
        <v>0.05</v>
      </c>
      <c r="I1000" s="7">
        <v>199</v>
      </c>
      <c r="J1000" s="7">
        <v>3781</v>
      </c>
      <c r="K1000" s="7">
        <v>944.44</v>
      </c>
      <c r="L1000" s="2" t="s">
        <v>443</v>
      </c>
      <c r="M1000" s="18" t="s">
        <v>369</v>
      </c>
      <c r="N1000" s="3" t="s">
        <v>22</v>
      </c>
      <c r="O1000" s="3" t="s">
        <v>23</v>
      </c>
      <c r="P1000">
        <f>DATEVALUE(OnePlusSalesData[[#This Row],[order_date]])</f>
        <v>44056</v>
      </c>
      <c r="Q1000" s="28">
        <f>DATEVALUE(OnePlusSalesData[[#This Row],[delivery_date]])</f>
        <v>44062</v>
      </c>
    </row>
    <row r="1001" spans="1:17" ht="16" x14ac:dyDescent="0.45">
      <c r="A1001" s="8" t="s">
        <v>1989</v>
      </c>
      <c r="B1001" s="8" t="s">
        <v>16</v>
      </c>
      <c r="C1001" s="9" t="s">
        <v>152</v>
      </c>
      <c r="D1001" s="9" t="s">
        <v>18</v>
      </c>
      <c r="E1001" s="9" t="s">
        <v>19</v>
      </c>
      <c r="F1001" s="10">
        <v>1990</v>
      </c>
      <c r="G1001" s="11">
        <v>1</v>
      </c>
      <c r="H1001" s="12">
        <v>0.1</v>
      </c>
      <c r="I1001" s="13">
        <v>199</v>
      </c>
      <c r="J1001" s="13">
        <v>1791</v>
      </c>
      <c r="K1001" s="13">
        <v>321.07</v>
      </c>
      <c r="L1001" s="8" t="s">
        <v>174</v>
      </c>
      <c r="M1001" s="19" t="s">
        <v>553</v>
      </c>
      <c r="N1001" s="9" t="s">
        <v>22</v>
      </c>
      <c r="O1001" s="9" t="s">
        <v>63</v>
      </c>
      <c r="P1001">
        <f>DATEVALUE(OnePlusSalesData[[#This Row],[order_date]])</f>
        <v>43460</v>
      </c>
      <c r="Q1001" s="28">
        <f>DATEVALUE(OnePlusSalesData[[#This Row],[delivery_date]])</f>
        <v>43467</v>
      </c>
    </row>
    <row r="1002" spans="1:17" ht="16" x14ac:dyDescent="0.45">
      <c r="A1002" s="2" t="s">
        <v>1990</v>
      </c>
      <c r="B1002" s="2" t="s">
        <v>16</v>
      </c>
      <c r="C1002" s="3" t="s">
        <v>140</v>
      </c>
      <c r="D1002" s="3" t="s">
        <v>18</v>
      </c>
      <c r="E1002" s="3" t="s">
        <v>19</v>
      </c>
      <c r="F1002" s="4">
        <v>1990</v>
      </c>
      <c r="G1002" s="5">
        <v>1</v>
      </c>
      <c r="H1002" s="6">
        <v>0.1</v>
      </c>
      <c r="I1002" s="7">
        <v>199</v>
      </c>
      <c r="J1002" s="7">
        <v>1791</v>
      </c>
      <c r="K1002" s="7">
        <v>419.74</v>
      </c>
      <c r="L1002" s="2" t="s">
        <v>781</v>
      </c>
      <c r="M1002" s="18" t="s">
        <v>1372</v>
      </c>
      <c r="N1002" s="3" t="s">
        <v>22</v>
      </c>
      <c r="O1002" s="3" t="s">
        <v>23</v>
      </c>
      <c r="P1002">
        <f>DATEVALUE(OnePlusSalesData[[#This Row],[order_date]])</f>
        <v>43425</v>
      </c>
      <c r="Q1002" s="28">
        <f>DATEVALUE(OnePlusSalesData[[#This Row],[delivery_date]])</f>
        <v>43428</v>
      </c>
    </row>
    <row r="1003" spans="1:17" ht="16" x14ac:dyDescent="0.45">
      <c r="A1003" s="8" t="s">
        <v>1991</v>
      </c>
      <c r="B1003" s="8" t="s">
        <v>16</v>
      </c>
      <c r="C1003" s="9" t="s">
        <v>17</v>
      </c>
      <c r="D1003" s="9" t="s">
        <v>34</v>
      </c>
      <c r="E1003" s="9" t="s">
        <v>77</v>
      </c>
      <c r="F1003" s="10">
        <v>24999</v>
      </c>
      <c r="G1003" s="11">
        <v>5</v>
      </c>
      <c r="H1003" s="12">
        <v>0.08</v>
      </c>
      <c r="I1003" s="13">
        <v>9999.6</v>
      </c>
      <c r="J1003" s="13">
        <v>114995.4</v>
      </c>
      <c r="K1003" s="13">
        <v>19933.77</v>
      </c>
      <c r="L1003" s="8" t="s">
        <v>1201</v>
      </c>
      <c r="M1003" s="19" t="s">
        <v>670</v>
      </c>
      <c r="N1003" s="9" t="s">
        <v>50</v>
      </c>
      <c r="O1003" s="9" t="s">
        <v>45</v>
      </c>
      <c r="P1003">
        <f>DATEVALUE(OnePlusSalesData[[#This Row],[order_date]])</f>
        <v>43584</v>
      </c>
      <c r="Q1003" s="28">
        <f>DATEVALUE(OnePlusSalesData[[#This Row],[delivery_date]])</f>
        <v>43591</v>
      </c>
    </row>
    <row r="1004" spans="1:17" ht="16" x14ac:dyDescent="0.45">
      <c r="A1004" s="2" t="s">
        <v>1992</v>
      </c>
      <c r="B1004" s="2" t="s">
        <v>58</v>
      </c>
      <c r="C1004" s="3" t="s">
        <v>257</v>
      </c>
      <c r="D1004" s="3" t="s">
        <v>40</v>
      </c>
      <c r="E1004" s="3" t="s">
        <v>406</v>
      </c>
      <c r="F1004" s="4">
        <v>48999</v>
      </c>
      <c r="G1004" s="5">
        <v>2</v>
      </c>
      <c r="H1004" s="6">
        <v>0.08</v>
      </c>
      <c r="I1004" s="7">
        <v>7839.84</v>
      </c>
      <c r="J1004" s="7">
        <v>90158.16</v>
      </c>
      <c r="K1004" s="7">
        <v>17678.47</v>
      </c>
      <c r="L1004" s="2" t="s">
        <v>195</v>
      </c>
      <c r="M1004" s="18" t="s">
        <v>813</v>
      </c>
      <c r="N1004" s="3" t="s">
        <v>22</v>
      </c>
      <c r="O1004" s="3" t="s">
        <v>31</v>
      </c>
      <c r="P1004">
        <f>DATEVALUE(OnePlusSalesData[[#This Row],[order_date]])</f>
        <v>43840</v>
      </c>
      <c r="Q1004" s="28">
        <f>DATEVALUE(OnePlusSalesData[[#This Row],[delivery_date]])</f>
        <v>43843</v>
      </c>
    </row>
    <row r="1005" spans="1:17" ht="16" x14ac:dyDescent="0.45">
      <c r="A1005" s="8" t="s">
        <v>1993</v>
      </c>
      <c r="B1005" s="8" t="s">
        <v>16</v>
      </c>
      <c r="C1005" s="9" t="s">
        <v>17</v>
      </c>
      <c r="D1005" s="9" t="s">
        <v>18</v>
      </c>
      <c r="E1005" s="9" t="s">
        <v>124</v>
      </c>
      <c r="F1005" s="10">
        <v>3990</v>
      </c>
      <c r="G1005" s="11">
        <v>4</v>
      </c>
      <c r="H1005" s="12">
        <v>0.12</v>
      </c>
      <c r="I1005" s="13">
        <v>1915.2</v>
      </c>
      <c r="J1005" s="13">
        <v>14044.8</v>
      </c>
      <c r="K1005" s="13">
        <v>3442.18</v>
      </c>
      <c r="L1005" s="8" t="s">
        <v>395</v>
      </c>
      <c r="M1005" s="19" t="s">
        <v>1009</v>
      </c>
      <c r="N1005" s="9" t="s">
        <v>22</v>
      </c>
      <c r="O1005" s="9" t="s">
        <v>23</v>
      </c>
      <c r="P1005">
        <f>DATEVALUE(OnePlusSalesData[[#This Row],[order_date]])</f>
        <v>43167</v>
      </c>
      <c r="Q1005" s="28">
        <f>DATEVALUE(OnePlusSalesData[[#This Row],[delivery_date]])</f>
        <v>43172</v>
      </c>
    </row>
    <row r="1006" spans="1:17" ht="16" x14ac:dyDescent="0.45">
      <c r="A1006" s="2" t="s">
        <v>1994</v>
      </c>
      <c r="B1006" s="2" t="s">
        <v>16</v>
      </c>
      <c r="C1006" s="3" t="s">
        <v>39</v>
      </c>
      <c r="D1006" s="3" t="s">
        <v>40</v>
      </c>
      <c r="E1006" s="3" t="s">
        <v>60</v>
      </c>
      <c r="F1006" s="4">
        <v>54999</v>
      </c>
      <c r="G1006" s="5">
        <v>1</v>
      </c>
      <c r="H1006" s="6">
        <v>0</v>
      </c>
      <c r="I1006" s="7">
        <v>0</v>
      </c>
      <c r="J1006" s="7">
        <v>54999</v>
      </c>
      <c r="K1006" s="7">
        <v>12752.76</v>
      </c>
      <c r="L1006" s="2" t="s">
        <v>780</v>
      </c>
      <c r="M1006" s="18" t="s">
        <v>289</v>
      </c>
      <c r="N1006" s="3" t="s">
        <v>50</v>
      </c>
      <c r="O1006" s="3" t="s">
        <v>31</v>
      </c>
      <c r="P1006">
        <f>DATEVALUE(OnePlusSalesData[[#This Row],[order_date]])</f>
        <v>43422</v>
      </c>
      <c r="Q1006" s="28">
        <f>DATEVALUE(OnePlusSalesData[[#This Row],[delivery_date]])</f>
        <v>43427</v>
      </c>
    </row>
    <row r="1007" spans="1:17" ht="16" x14ac:dyDescent="0.45">
      <c r="A1007" s="8" t="s">
        <v>1995</v>
      </c>
      <c r="B1007" s="8" t="s">
        <v>25</v>
      </c>
      <c r="C1007" s="9" t="s">
        <v>65</v>
      </c>
      <c r="D1007" s="9" t="s">
        <v>40</v>
      </c>
      <c r="E1007" s="9" t="s">
        <v>54</v>
      </c>
      <c r="F1007" s="10">
        <v>53999</v>
      </c>
      <c r="G1007" s="11">
        <v>2</v>
      </c>
      <c r="H1007" s="12">
        <v>0.08</v>
      </c>
      <c r="I1007" s="13">
        <v>8639.84</v>
      </c>
      <c r="J1007" s="13">
        <v>99358.16</v>
      </c>
      <c r="K1007" s="13">
        <v>24690.799999999999</v>
      </c>
      <c r="L1007" s="8" t="s">
        <v>969</v>
      </c>
      <c r="M1007" s="19" t="s">
        <v>1023</v>
      </c>
      <c r="N1007" s="9" t="s">
        <v>22</v>
      </c>
      <c r="O1007" s="9" t="s">
        <v>63</v>
      </c>
      <c r="P1007">
        <f>DATEVALUE(OnePlusSalesData[[#This Row],[order_date]])</f>
        <v>44020</v>
      </c>
      <c r="Q1007" s="28">
        <f>DATEVALUE(OnePlusSalesData[[#This Row],[delivery_date]])</f>
        <v>44026</v>
      </c>
    </row>
    <row r="1008" spans="1:17" ht="16" x14ac:dyDescent="0.45">
      <c r="A1008" s="2" t="s">
        <v>1996</v>
      </c>
      <c r="B1008" s="2" t="s">
        <v>58</v>
      </c>
      <c r="C1008" s="3" t="s">
        <v>81</v>
      </c>
      <c r="D1008" s="3" t="s">
        <v>27</v>
      </c>
      <c r="E1008" s="3" t="s">
        <v>159</v>
      </c>
      <c r="F1008" s="4">
        <v>22999</v>
      </c>
      <c r="G1008" s="5">
        <v>1</v>
      </c>
      <c r="H1008" s="6">
        <v>0.1</v>
      </c>
      <c r="I1008" s="7">
        <v>2299.9</v>
      </c>
      <c r="J1008" s="7">
        <v>20699.099999999999</v>
      </c>
      <c r="K1008" s="7">
        <v>4428.51</v>
      </c>
      <c r="L1008" s="2" t="s">
        <v>680</v>
      </c>
      <c r="M1008" s="18" t="s">
        <v>1233</v>
      </c>
      <c r="N1008" s="3" t="s">
        <v>50</v>
      </c>
      <c r="O1008" s="3" t="s">
        <v>23</v>
      </c>
      <c r="P1008">
        <f>DATEVALUE(OnePlusSalesData[[#This Row],[order_date]])</f>
        <v>43693</v>
      </c>
      <c r="Q1008" s="28">
        <f>DATEVALUE(OnePlusSalesData[[#This Row],[delivery_date]])</f>
        <v>43700</v>
      </c>
    </row>
    <row r="1009" spans="1:17" ht="16" x14ac:dyDescent="0.45">
      <c r="A1009" s="8" t="s">
        <v>1997</v>
      </c>
      <c r="B1009" s="8" t="s">
        <v>58</v>
      </c>
      <c r="C1009" s="9" t="s">
        <v>257</v>
      </c>
      <c r="D1009" s="9" t="s">
        <v>85</v>
      </c>
      <c r="E1009" s="9" t="s">
        <v>228</v>
      </c>
      <c r="F1009" s="10">
        <v>5990</v>
      </c>
      <c r="G1009" s="11">
        <v>1</v>
      </c>
      <c r="H1009" s="12">
        <v>0</v>
      </c>
      <c r="I1009" s="13">
        <v>0</v>
      </c>
      <c r="J1009" s="13">
        <v>5990</v>
      </c>
      <c r="K1009" s="13">
        <v>1103.8800000000001</v>
      </c>
      <c r="L1009" s="8" t="s">
        <v>1547</v>
      </c>
      <c r="M1009" s="19" t="s">
        <v>1168</v>
      </c>
      <c r="N1009" s="9" t="s">
        <v>44</v>
      </c>
      <c r="O1009" s="9" t="s">
        <v>23</v>
      </c>
      <c r="P1009">
        <f>DATEVALUE(OnePlusSalesData[[#This Row],[order_date]])</f>
        <v>43321</v>
      </c>
      <c r="Q1009" s="28">
        <f>DATEVALUE(OnePlusSalesData[[#This Row],[delivery_date]])</f>
        <v>43326</v>
      </c>
    </row>
    <row r="1010" spans="1:17" ht="16" x14ac:dyDescent="0.45">
      <c r="A1010" s="2" t="s">
        <v>1998</v>
      </c>
      <c r="B1010" s="2" t="s">
        <v>16</v>
      </c>
      <c r="C1010" s="3" t="s">
        <v>152</v>
      </c>
      <c r="D1010" s="3" t="s">
        <v>34</v>
      </c>
      <c r="E1010" s="3" t="s">
        <v>77</v>
      </c>
      <c r="F1010" s="4">
        <v>24999</v>
      </c>
      <c r="G1010" s="5">
        <v>2</v>
      </c>
      <c r="H1010" s="6">
        <v>0</v>
      </c>
      <c r="I1010" s="7">
        <v>0</v>
      </c>
      <c r="J1010" s="7">
        <v>49998</v>
      </c>
      <c r="K1010" s="7">
        <v>12990.01</v>
      </c>
      <c r="L1010" s="2" t="s">
        <v>1021</v>
      </c>
      <c r="M1010" s="18" t="s">
        <v>1999</v>
      </c>
      <c r="N1010" s="3" t="s">
        <v>22</v>
      </c>
      <c r="O1010" s="3" t="s">
        <v>31</v>
      </c>
      <c r="P1010">
        <f>DATEVALUE(OnePlusSalesData[[#This Row],[order_date]])</f>
        <v>43712</v>
      </c>
      <c r="Q1010" s="28">
        <f>DATEVALUE(OnePlusSalesData[[#This Row],[delivery_date]])</f>
        <v>43714</v>
      </c>
    </row>
    <row r="1011" spans="1:17" ht="16" x14ac:dyDescent="0.45">
      <c r="A1011" s="8" t="s">
        <v>2000</v>
      </c>
      <c r="B1011" s="8" t="s">
        <v>16</v>
      </c>
      <c r="C1011" s="9" t="s">
        <v>39</v>
      </c>
      <c r="D1011" s="9" t="s">
        <v>40</v>
      </c>
      <c r="E1011" s="9" t="s">
        <v>60</v>
      </c>
      <c r="F1011" s="10">
        <v>54999</v>
      </c>
      <c r="G1011" s="11">
        <v>3</v>
      </c>
      <c r="H1011" s="12">
        <v>0</v>
      </c>
      <c r="I1011" s="13">
        <v>0</v>
      </c>
      <c r="J1011" s="13">
        <v>164997</v>
      </c>
      <c r="K1011" s="13">
        <v>24648.75</v>
      </c>
      <c r="L1011" s="8" t="s">
        <v>1279</v>
      </c>
      <c r="M1011" s="19" t="s">
        <v>1538</v>
      </c>
      <c r="N1011" s="9" t="s">
        <v>50</v>
      </c>
      <c r="O1011" s="9" t="s">
        <v>23</v>
      </c>
      <c r="P1011">
        <f>DATEVALUE(OnePlusSalesData[[#This Row],[order_date]])</f>
        <v>43542</v>
      </c>
      <c r="Q1011" s="28">
        <f>DATEVALUE(OnePlusSalesData[[#This Row],[delivery_date]])</f>
        <v>43544</v>
      </c>
    </row>
    <row r="1012" spans="1:17" ht="16" x14ac:dyDescent="0.45">
      <c r="A1012" s="2" t="s">
        <v>2001</v>
      </c>
      <c r="B1012" s="2" t="s">
        <v>58</v>
      </c>
      <c r="C1012" s="3" t="s">
        <v>257</v>
      </c>
      <c r="D1012" s="3" t="s">
        <v>34</v>
      </c>
      <c r="E1012" s="3" t="s">
        <v>35</v>
      </c>
      <c r="F1012" s="4">
        <v>19999</v>
      </c>
      <c r="G1012" s="5">
        <v>1</v>
      </c>
      <c r="H1012" s="6">
        <v>0.1</v>
      </c>
      <c r="I1012" s="7">
        <v>1999.9</v>
      </c>
      <c r="J1012" s="7">
        <v>17999.099999999999</v>
      </c>
      <c r="K1012" s="7">
        <v>3425.41</v>
      </c>
      <c r="L1012" s="2" t="s">
        <v>751</v>
      </c>
      <c r="M1012" s="18" t="s">
        <v>1599</v>
      </c>
      <c r="N1012" s="3" t="s">
        <v>22</v>
      </c>
      <c r="O1012" s="3" t="s">
        <v>31</v>
      </c>
      <c r="P1012">
        <f>DATEVALUE(OnePlusSalesData[[#This Row],[order_date]])</f>
        <v>43864</v>
      </c>
      <c r="Q1012" s="28">
        <f>DATEVALUE(OnePlusSalesData[[#This Row],[delivery_date]])</f>
        <v>43869</v>
      </c>
    </row>
    <row r="1013" spans="1:17" ht="16" x14ac:dyDescent="0.45">
      <c r="A1013" s="8" t="s">
        <v>2002</v>
      </c>
      <c r="B1013" s="8" t="s">
        <v>52</v>
      </c>
      <c r="C1013" s="9" t="s">
        <v>53</v>
      </c>
      <c r="D1013" s="9" t="s">
        <v>18</v>
      </c>
      <c r="E1013" s="9" t="s">
        <v>124</v>
      </c>
      <c r="F1013" s="10">
        <v>3990</v>
      </c>
      <c r="G1013" s="11">
        <v>2</v>
      </c>
      <c r="H1013" s="12">
        <v>0.1</v>
      </c>
      <c r="I1013" s="13">
        <v>798</v>
      </c>
      <c r="J1013" s="13">
        <v>7182</v>
      </c>
      <c r="K1013" s="13">
        <v>1074.3</v>
      </c>
      <c r="L1013" s="8" t="s">
        <v>723</v>
      </c>
      <c r="M1013" s="19" t="s">
        <v>862</v>
      </c>
      <c r="N1013" s="9" t="s">
        <v>22</v>
      </c>
      <c r="O1013" s="9" t="s">
        <v>63</v>
      </c>
      <c r="P1013">
        <f>DATEVALUE(OnePlusSalesData[[#This Row],[order_date]])</f>
        <v>43620</v>
      </c>
      <c r="Q1013" s="28">
        <f>DATEVALUE(OnePlusSalesData[[#This Row],[delivery_date]])</f>
        <v>43623</v>
      </c>
    </row>
    <row r="1014" spans="1:17" ht="16" x14ac:dyDescent="0.45">
      <c r="A1014" s="2" t="s">
        <v>2003</v>
      </c>
      <c r="B1014" s="2" t="s">
        <v>58</v>
      </c>
      <c r="C1014" s="3" t="s">
        <v>81</v>
      </c>
      <c r="D1014" s="3" t="s">
        <v>40</v>
      </c>
      <c r="E1014" s="3" t="s">
        <v>406</v>
      </c>
      <c r="F1014" s="4">
        <v>48999</v>
      </c>
      <c r="G1014" s="5">
        <v>1</v>
      </c>
      <c r="H1014" s="6">
        <v>0</v>
      </c>
      <c r="I1014" s="7">
        <v>0</v>
      </c>
      <c r="J1014" s="7">
        <v>48999</v>
      </c>
      <c r="K1014" s="7">
        <v>12660.05</v>
      </c>
      <c r="L1014" s="2" t="s">
        <v>696</v>
      </c>
      <c r="M1014" s="18" t="s">
        <v>1678</v>
      </c>
      <c r="N1014" s="3" t="s">
        <v>50</v>
      </c>
      <c r="O1014" s="3" t="s">
        <v>45</v>
      </c>
      <c r="P1014">
        <f>DATEVALUE(OnePlusSalesData[[#This Row],[order_date]])</f>
        <v>44086</v>
      </c>
      <c r="Q1014" s="28">
        <f>DATEVALUE(OnePlusSalesData[[#This Row],[delivery_date]])</f>
        <v>44091</v>
      </c>
    </row>
    <row r="1015" spans="1:17" ht="16" x14ac:dyDescent="0.45">
      <c r="A1015" s="8" t="s">
        <v>2004</v>
      </c>
      <c r="B1015" s="8" t="s">
        <v>52</v>
      </c>
      <c r="C1015" s="9" t="s">
        <v>53</v>
      </c>
      <c r="D1015" s="9" t="s">
        <v>40</v>
      </c>
      <c r="E1015" s="9" t="s">
        <v>148</v>
      </c>
      <c r="F1015" s="10">
        <v>41999</v>
      </c>
      <c r="G1015" s="11">
        <v>1</v>
      </c>
      <c r="H1015" s="12">
        <v>0.08</v>
      </c>
      <c r="I1015" s="13">
        <v>3359.92</v>
      </c>
      <c r="J1015" s="13">
        <v>38639.08</v>
      </c>
      <c r="K1015" s="13">
        <v>8746.4699999999993</v>
      </c>
      <c r="L1015" s="8" t="s">
        <v>1331</v>
      </c>
      <c r="M1015" s="19" t="s">
        <v>2005</v>
      </c>
      <c r="N1015" s="9" t="s">
        <v>22</v>
      </c>
      <c r="O1015" s="9" t="s">
        <v>23</v>
      </c>
      <c r="P1015">
        <f>DATEVALUE(OnePlusSalesData[[#This Row],[order_date]])</f>
        <v>43797</v>
      </c>
      <c r="Q1015" s="28">
        <f>DATEVALUE(OnePlusSalesData[[#This Row],[delivery_date]])</f>
        <v>43801</v>
      </c>
    </row>
    <row r="1016" spans="1:17" ht="16" x14ac:dyDescent="0.45">
      <c r="A1016" s="2" t="s">
        <v>2006</v>
      </c>
      <c r="B1016" s="2" t="s">
        <v>52</v>
      </c>
      <c r="C1016" s="3" t="s">
        <v>192</v>
      </c>
      <c r="D1016" s="3" t="s">
        <v>40</v>
      </c>
      <c r="E1016" s="3" t="s">
        <v>406</v>
      </c>
      <c r="F1016" s="4">
        <v>48999</v>
      </c>
      <c r="G1016" s="5">
        <v>1</v>
      </c>
      <c r="H1016" s="6">
        <v>0</v>
      </c>
      <c r="I1016" s="7">
        <v>0</v>
      </c>
      <c r="J1016" s="7">
        <v>48999</v>
      </c>
      <c r="K1016" s="7">
        <v>10898.91</v>
      </c>
      <c r="L1016" s="2" t="s">
        <v>231</v>
      </c>
      <c r="M1016" s="18" t="s">
        <v>728</v>
      </c>
      <c r="N1016" s="3" t="s">
        <v>22</v>
      </c>
      <c r="O1016" s="3" t="s">
        <v>23</v>
      </c>
      <c r="P1016">
        <f>DATEVALUE(OnePlusSalesData[[#This Row],[order_date]])</f>
        <v>43871</v>
      </c>
      <c r="Q1016" s="28">
        <f>DATEVALUE(OnePlusSalesData[[#This Row],[delivery_date]])</f>
        <v>43876</v>
      </c>
    </row>
    <row r="1017" spans="1:17" ht="16" x14ac:dyDescent="0.45">
      <c r="A1017" s="8" t="s">
        <v>2007</v>
      </c>
      <c r="B1017" s="8" t="s">
        <v>25</v>
      </c>
      <c r="C1017" s="9" t="s">
        <v>133</v>
      </c>
      <c r="D1017" s="9" t="s">
        <v>27</v>
      </c>
      <c r="E1017" s="9" t="s">
        <v>28</v>
      </c>
      <c r="F1017" s="10">
        <v>12999</v>
      </c>
      <c r="G1017" s="11">
        <v>1</v>
      </c>
      <c r="H1017" s="12">
        <v>0.08</v>
      </c>
      <c r="I1017" s="13">
        <v>1039.92</v>
      </c>
      <c r="J1017" s="13">
        <v>11959.08</v>
      </c>
      <c r="K1017" s="13">
        <v>1798.93</v>
      </c>
      <c r="L1017" s="8" t="s">
        <v>1012</v>
      </c>
      <c r="M1017" s="19" t="s">
        <v>466</v>
      </c>
      <c r="N1017" s="9" t="s">
        <v>22</v>
      </c>
      <c r="O1017" s="9" t="s">
        <v>23</v>
      </c>
      <c r="P1017">
        <f>DATEVALUE(OnePlusSalesData[[#This Row],[order_date]])</f>
        <v>43410</v>
      </c>
      <c r="Q1017" s="28">
        <f>DATEVALUE(OnePlusSalesData[[#This Row],[delivery_date]])</f>
        <v>43412</v>
      </c>
    </row>
    <row r="1018" spans="1:17" ht="16" x14ac:dyDescent="0.45">
      <c r="A1018" s="2" t="s">
        <v>2008</v>
      </c>
      <c r="B1018" s="2" t="s">
        <v>16</v>
      </c>
      <c r="C1018" s="3" t="s">
        <v>17</v>
      </c>
      <c r="D1018" s="3" t="s">
        <v>85</v>
      </c>
      <c r="E1018" s="3" t="s">
        <v>265</v>
      </c>
      <c r="F1018" s="4">
        <v>4990</v>
      </c>
      <c r="G1018" s="5">
        <v>1</v>
      </c>
      <c r="H1018" s="6">
        <v>0.05</v>
      </c>
      <c r="I1018" s="7">
        <v>249.5</v>
      </c>
      <c r="J1018" s="7">
        <v>4740.5</v>
      </c>
      <c r="K1018" s="7">
        <v>963.81</v>
      </c>
      <c r="L1018" s="2" t="s">
        <v>1888</v>
      </c>
      <c r="M1018" s="18" t="s">
        <v>2009</v>
      </c>
      <c r="N1018" s="3" t="s">
        <v>22</v>
      </c>
      <c r="O1018" s="3" t="s">
        <v>63</v>
      </c>
      <c r="P1018">
        <f>DATEVALUE(OnePlusSalesData[[#This Row],[order_date]])</f>
        <v>43913</v>
      </c>
      <c r="Q1018" s="28">
        <f>DATEVALUE(OnePlusSalesData[[#This Row],[delivery_date]])</f>
        <v>43919</v>
      </c>
    </row>
    <row r="1019" spans="1:17" ht="16" x14ac:dyDescent="0.45">
      <c r="A1019" s="8" t="s">
        <v>2010</v>
      </c>
      <c r="B1019" s="8" t="s">
        <v>16</v>
      </c>
      <c r="C1019" s="9" t="s">
        <v>17</v>
      </c>
      <c r="D1019" s="9" t="s">
        <v>27</v>
      </c>
      <c r="E1019" s="9" t="s">
        <v>28</v>
      </c>
      <c r="F1019" s="10">
        <v>12999</v>
      </c>
      <c r="G1019" s="11">
        <v>1</v>
      </c>
      <c r="H1019" s="12">
        <v>0.08</v>
      </c>
      <c r="I1019" s="13">
        <v>1039.92</v>
      </c>
      <c r="J1019" s="13">
        <v>11959.08</v>
      </c>
      <c r="K1019" s="13">
        <v>1759.68</v>
      </c>
      <c r="L1019" s="8" t="s">
        <v>2011</v>
      </c>
      <c r="M1019" s="19" t="s">
        <v>2012</v>
      </c>
      <c r="N1019" s="9" t="s">
        <v>44</v>
      </c>
      <c r="O1019" s="9" t="s">
        <v>31</v>
      </c>
      <c r="P1019">
        <f>DATEVALUE(OnePlusSalesData[[#This Row],[order_date]])</f>
        <v>43489</v>
      </c>
      <c r="Q1019" s="28">
        <f>DATEVALUE(OnePlusSalesData[[#This Row],[delivery_date]])</f>
        <v>43492</v>
      </c>
    </row>
    <row r="1020" spans="1:17" ht="16" x14ac:dyDescent="0.45">
      <c r="A1020" s="2" t="s">
        <v>2013</v>
      </c>
      <c r="B1020" s="2" t="s">
        <v>52</v>
      </c>
      <c r="C1020" s="3" t="s">
        <v>192</v>
      </c>
      <c r="D1020" s="3" t="s">
        <v>18</v>
      </c>
      <c r="E1020" s="3" t="s">
        <v>124</v>
      </c>
      <c r="F1020" s="4">
        <v>3990</v>
      </c>
      <c r="G1020" s="5">
        <v>1</v>
      </c>
      <c r="H1020" s="6">
        <v>0.08</v>
      </c>
      <c r="I1020" s="7">
        <v>319.2</v>
      </c>
      <c r="J1020" s="7">
        <v>3670.8</v>
      </c>
      <c r="K1020" s="7">
        <v>615.15</v>
      </c>
      <c r="L1020" s="2" t="s">
        <v>1443</v>
      </c>
      <c r="M1020" s="18" t="s">
        <v>913</v>
      </c>
      <c r="N1020" s="3" t="s">
        <v>22</v>
      </c>
      <c r="O1020" s="3" t="s">
        <v>63</v>
      </c>
      <c r="P1020">
        <f>DATEVALUE(OnePlusSalesData[[#This Row],[order_date]])</f>
        <v>43916</v>
      </c>
      <c r="Q1020" s="28">
        <f>DATEVALUE(OnePlusSalesData[[#This Row],[delivery_date]])</f>
        <v>43923</v>
      </c>
    </row>
    <row r="1021" spans="1:17" ht="16" x14ac:dyDescent="0.45">
      <c r="A1021" s="8" t="s">
        <v>2014</v>
      </c>
      <c r="B1021" s="8" t="s">
        <v>25</v>
      </c>
      <c r="C1021" s="9" t="s">
        <v>120</v>
      </c>
      <c r="D1021" s="9" t="s">
        <v>85</v>
      </c>
      <c r="E1021" s="9" t="s">
        <v>265</v>
      </c>
      <c r="F1021" s="10">
        <v>4990</v>
      </c>
      <c r="G1021" s="11">
        <v>1</v>
      </c>
      <c r="H1021" s="12">
        <v>0.15</v>
      </c>
      <c r="I1021" s="13">
        <v>748.5</v>
      </c>
      <c r="J1021" s="13">
        <v>4241.5</v>
      </c>
      <c r="K1021" s="13">
        <v>958.27</v>
      </c>
      <c r="L1021" s="8" t="s">
        <v>799</v>
      </c>
      <c r="M1021" s="19" t="s">
        <v>2015</v>
      </c>
      <c r="N1021" s="9" t="s">
        <v>22</v>
      </c>
      <c r="O1021" s="9" t="s">
        <v>31</v>
      </c>
      <c r="P1021">
        <f>DATEVALUE(OnePlusSalesData[[#This Row],[order_date]])</f>
        <v>43281</v>
      </c>
      <c r="Q1021" s="28">
        <f>DATEVALUE(OnePlusSalesData[[#This Row],[delivery_date]])</f>
        <v>43288</v>
      </c>
    </row>
    <row r="1022" spans="1:17" ht="16" x14ac:dyDescent="0.45">
      <c r="A1022" s="2" t="s">
        <v>2016</v>
      </c>
      <c r="B1022" s="2" t="s">
        <v>52</v>
      </c>
      <c r="C1022" s="3" t="s">
        <v>69</v>
      </c>
      <c r="D1022" s="3" t="s">
        <v>34</v>
      </c>
      <c r="E1022" s="3" t="s">
        <v>35</v>
      </c>
      <c r="F1022" s="4">
        <v>19999</v>
      </c>
      <c r="G1022" s="5">
        <v>1</v>
      </c>
      <c r="H1022" s="6">
        <v>0.1</v>
      </c>
      <c r="I1022" s="7">
        <v>1999.9</v>
      </c>
      <c r="J1022" s="7">
        <v>17999.099999999999</v>
      </c>
      <c r="K1022" s="7">
        <v>3952.2</v>
      </c>
      <c r="L1022" s="2" t="s">
        <v>2017</v>
      </c>
      <c r="M1022" s="18" t="s">
        <v>923</v>
      </c>
      <c r="N1022" s="3" t="s">
        <v>92</v>
      </c>
      <c r="O1022" s="3" t="s">
        <v>31</v>
      </c>
      <c r="P1022">
        <f>DATEVALUE(OnePlusSalesData[[#This Row],[order_date]])</f>
        <v>43598</v>
      </c>
      <c r="Q1022" s="28">
        <f>DATEVALUE(OnePlusSalesData[[#This Row],[delivery_date]])</f>
        <v>43601</v>
      </c>
    </row>
    <row r="1023" spans="1:17" ht="16" x14ac:dyDescent="0.45">
      <c r="A1023" s="8" t="s">
        <v>2018</v>
      </c>
      <c r="B1023" s="8" t="s">
        <v>16</v>
      </c>
      <c r="C1023" s="9" t="s">
        <v>140</v>
      </c>
      <c r="D1023" s="9" t="s">
        <v>40</v>
      </c>
      <c r="E1023" s="9" t="s">
        <v>406</v>
      </c>
      <c r="F1023" s="10">
        <v>48999</v>
      </c>
      <c r="G1023" s="11">
        <v>1</v>
      </c>
      <c r="H1023" s="12">
        <v>0.08</v>
      </c>
      <c r="I1023" s="13">
        <v>3919.92</v>
      </c>
      <c r="J1023" s="13">
        <v>45079.08</v>
      </c>
      <c r="K1023" s="13">
        <v>10214.43</v>
      </c>
      <c r="L1023" s="8" t="s">
        <v>48</v>
      </c>
      <c r="M1023" s="19" t="s">
        <v>583</v>
      </c>
      <c r="N1023" s="9" t="s">
        <v>22</v>
      </c>
      <c r="O1023" s="9" t="s">
        <v>31</v>
      </c>
      <c r="P1023">
        <f>DATEVALUE(OnePlusSalesData[[#This Row],[order_date]])</f>
        <v>43609</v>
      </c>
      <c r="Q1023" s="28">
        <f>DATEVALUE(OnePlusSalesData[[#This Row],[delivery_date]])</f>
        <v>43615</v>
      </c>
    </row>
    <row r="1024" spans="1:17" ht="16" x14ac:dyDescent="0.45">
      <c r="A1024" s="2" t="s">
        <v>2019</v>
      </c>
      <c r="B1024" s="2" t="s">
        <v>52</v>
      </c>
      <c r="C1024" s="3" t="s">
        <v>192</v>
      </c>
      <c r="D1024" s="3" t="s">
        <v>40</v>
      </c>
      <c r="E1024" s="3" t="s">
        <v>54</v>
      </c>
      <c r="F1024" s="4">
        <v>53999</v>
      </c>
      <c r="G1024" s="5">
        <v>1</v>
      </c>
      <c r="H1024" s="6">
        <v>0.08</v>
      </c>
      <c r="I1024" s="7">
        <v>4319.92</v>
      </c>
      <c r="J1024" s="7">
        <v>49679.08</v>
      </c>
      <c r="K1024" s="7">
        <v>9317.94</v>
      </c>
      <c r="L1024" s="2" t="s">
        <v>998</v>
      </c>
      <c r="M1024" s="18" t="s">
        <v>439</v>
      </c>
      <c r="N1024" s="3" t="s">
        <v>22</v>
      </c>
      <c r="O1024" s="3" t="s">
        <v>63</v>
      </c>
      <c r="P1024">
        <f>DATEVALUE(OnePlusSalesData[[#This Row],[order_date]])</f>
        <v>44189</v>
      </c>
      <c r="Q1024" s="28">
        <f>DATEVALUE(OnePlusSalesData[[#This Row],[delivery_date]])</f>
        <v>44191</v>
      </c>
    </row>
    <row r="1025" spans="1:17" ht="16" x14ac:dyDescent="0.45">
      <c r="A1025" s="8" t="s">
        <v>2020</v>
      </c>
      <c r="B1025" s="8" t="s">
        <v>52</v>
      </c>
      <c r="C1025" s="9" t="s">
        <v>106</v>
      </c>
      <c r="D1025" s="9" t="s">
        <v>34</v>
      </c>
      <c r="E1025" s="9" t="s">
        <v>35</v>
      </c>
      <c r="F1025" s="10">
        <v>19999</v>
      </c>
      <c r="G1025" s="11">
        <v>1</v>
      </c>
      <c r="H1025" s="12">
        <v>0.1</v>
      </c>
      <c r="I1025" s="13">
        <v>1999.9</v>
      </c>
      <c r="J1025" s="13">
        <v>17999.099999999999</v>
      </c>
      <c r="K1025" s="13">
        <v>2749.62</v>
      </c>
      <c r="L1025" s="8" t="s">
        <v>818</v>
      </c>
      <c r="M1025" s="19" t="s">
        <v>1560</v>
      </c>
      <c r="N1025" s="9" t="s">
        <v>22</v>
      </c>
      <c r="O1025" s="9" t="s">
        <v>31</v>
      </c>
      <c r="P1025">
        <f>DATEVALUE(OnePlusSalesData[[#This Row],[order_date]])</f>
        <v>43116</v>
      </c>
      <c r="Q1025" s="28">
        <f>DATEVALUE(OnePlusSalesData[[#This Row],[delivery_date]])</f>
        <v>43122</v>
      </c>
    </row>
    <row r="1026" spans="1:17" ht="16" x14ac:dyDescent="0.45">
      <c r="A1026" s="2" t="s">
        <v>2021</v>
      </c>
      <c r="B1026" s="2" t="s">
        <v>25</v>
      </c>
      <c r="C1026" s="3" t="s">
        <v>65</v>
      </c>
      <c r="D1026" s="3" t="s">
        <v>85</v>
      </c>
      <c r="E1026" s="3" t="s">
        <v>265</v>
      </c>
      <c r="F1026" s="4">
        <v>4990</v>
      </c>
      <c r="G1026" s="5">
        <v>1</v>
      </c>
      <c r="H1026" s="6">
        <v>0.08</v>
      </c>
      <c r="I1026" s="7">
        <v>399.2</v>
      </c>
      <c r="J1026" s="7">
        <v>4590.8</v>
      </c>
      <c r="K1026" s="7">
        <v>898.48</v>
      </c>
      <c r="L1026" s="2" t="s">
        <v>948</v>
      </c>
      <c r="M1026" s="18" t="s">
        <v>1276</v>
      </c>
      <c r="N1026" s="3" t="s">
        <v>22</v>
      </c>
      <c r="O1026" s="3" t="s">
        <v>96</v>
      </c>
      <c r="P1026">
        <f>DATEVALUE(OnePlusSalesData[[#This Row],[order_date]])</f>
        <v>43907</v>
      </c>
      <c r="Q1026" s="28">
        <f>DATEVALUE(OnePlusSalesData[[#This Row],[delivery_date]])</f>
        <v>43914</v>
      </c>
    </row>
    <row r="1027" spans="1:17" ht="16" x14ac:dyDescent="0.45">
      <c r="A1027" s="8" t="s">
        <v>2022</v>
      </c>
      <c r="B1027" s="8" t="s">
        <v>25</v>
      </c>
      <c r="C1027" s="9" t="s">
        <v>65</v>
      </c>
      <c r="D1027" s="9" t="s">
        <v>18</v>
      </c>
      <c r="E1027" s="9" t="s">
        <v>179</v>
      </c>
      <c r="F1027" s="10">
        <v>1290</v>
      </c>
      <c r="G1027" s="11">
        <v>4</v>
      </c>
      <c r="H1027" s="12">
        <v>0.15</v>
      </c>
      <c r="I1027" s="13">
        <v>774</v>
      </c>
      <c r="J1027" s="13">
        <v>4386</v>
      </c>
      <c r="K1027" s="13">
        <v>901.12</v>
      </c>
      <c r="L1027" s="8" t="s">
        <v>1669</v>
      </c>
      <c r="M1027" s="19" t="s">
        <v>397</v>
      </c>
      <c r="N1027" s="9" t="s">
        <v>22</v>
      </c>
      <c r="O1027" s="9" t="s">
        <v>23</v>
      </c>
      <c r="P1027">
        <f>DATEVALUE(OnePlusSalesData[[#This Row],[order_date]])</f>
        <v>43978</v>
      </c>
      <c r="Q1027" s="28">
        <f>DATEVALUE(OnePlusSalesData[[#This Row],[delivery_date]])</f>
        <v>43985</v>
      </c>
    </row>
    <row r="1028" spans="1:17" ht="16" x14ac:dyDescent="0.45">
      <c r="A1028" s="2" t="s">
        <v>2023</v>
      </c>
      <c r="B1028" s="2" t="s">
        <v>25</v>
      </c>
      <c r="C1028" s="3" t="s">
        <v>26</v>
      </c>
      <c r="D1028" s="3" t="s">
        <v>40</v>
      </c>
      <c r="E1028" s="3" t="s">
        <v>41</v>
      </c>
      <c r="F1028" s="4">
        <v>37999</v>
      </c>
      <c r="G1028" s="5">
        <v>1</v>
      </c>
      <c r="H1028" s="6">
        <v>0.12</v>
      </c>
      <c r="I1028" s="7">
        <v>4559.88</v>
      </c>
      <c r="J1028" s="7">
        <v>33439.120000000003</v>
      </c>
      <c r="K1028" s="7">
        <v>5251.01</v>
      </c>
      <c r="L1028" s="2" t="s">
        <v>420</v>
      </c>
      <c r="M1028" s="18" t="s">
        <v>1500</v>
      </c>
      <c r="N1028" s="3" t="s">
        <v>22</v>
      </c>
      <c r="O1028" s="3" t="s">
        <v>23</v>
      </c>
      <c r="P1028">
        <f>DATEVALUE(OnePlusSalesData[[#This Row],[order_date]])</f>
        <v>43182</v>
      </c>
      <c r="Q1028" s="28">
        <f>DATEVALUE(OnePlusSalesData[[#This Row],[delivery_date]])</f>
        <v>43184</v>
      </c>
    </row>
    <row r="1029" spans="1:17" ht="16" x14ac:dyDescent="0.45">
      <c r="A1029" s="8" t="s">
        <v>2024</v>
      </c>
      <c r="B1029" s="8" t="s">
        <v>16</v>
      </c>
      <c r="C1029" s="9" t="s">
        <v>140</v>
      </c>
      <c r="D1029" s="9" t="s">
        <v>18</v>
      </c>
      <c r="E1029" s="9" t="s">
        <v>102</v>
      </c>
      <c r="F1029" s="10">
        <v>1490</v>
      </c>
      <c r="G1029" s="11">
        <v>1</v>
      </c>
      <c r="H1029" s="12">
        <v>0.05</v>
      </c>
      <c r="I1029" s="13">
        <v>74.5</v>
      </c>
      <c r="J1029" s="13">
        <v>1415.5</v>
      </c>
      <c r="K1029" s="13">
        <v>281.51</v>
      </c>
      <c r="L1029" s="8" t="s">
        <v>524</v>
      </c>
      <c r="M1029" s="19" t="s">
        <v>525</v>
      </c>
      <c r="N1029" s="9" t="s">
        <v>22</v>
      </c>
      <c r="O1029" s="9" t="s">
        <v>31</v>
      </c>
      <c r="P1029">
        <f>DATEVALUE(OnePlusSalesData[[#This Row],[order_date]])</f>
        <v>43659</v>
      </c>
      <c r="Q1029" s="28">
        <f>DATEVALUE(OnePlusSalesData[[#This Row],[delivery_date]])</f>
        <v>43663</v>
      </c>
    </row>
    <row r="1030" spans="1:17" ht="16" x14ac:dyDescent="0.45">
      <c r="A1030" s="2" t="s">
        <v>2025</v>
      </c>
      <c r="B1030" s="2" t="s">
        <v>16</v>
      </c>
      <c r="C1030" s="3" t="s">
        <v>152</v>
      </c>
      <c r="D1030" s="3" t="s">
        <v>40</v>
      </c>
      <c r="E1030" s="3" t="s">
        <v>47</v>
      </c>
      <c r="F1030" s="4">
        <v>37999</v>
      </c>
      <c r="G1030" s="5">
        <v>5</v>
      </c>
      <c r="H1030" s="6">
        <v>0.12</v>
      </c>
      <c r="I1030" s="7">
        <v>22799.4</v>
      </c>
      <c r="J1030" s="7">
        <v>167195.6</v>
      </c>
      <c r="K1030" s="7">
        <v>24977.84</v>
      </c>
      <c r="L1030" s="2" t="s">
        <v>825</v>
      </c>
      <c r="M1030" s="18" t="s">
        <v>356</v>
      </c>
      <c r="N1030" s="3" t="s">
        <v>50</v>
      </c>
      <c r="O1030" s="3" t="s">
        <v>31</v>
      </c>
      <c r="P1030">
        <f>DATEVALUE(OnePlusSalesData[[#This Row],[order_date]])</f>
        <v>43593</v>
      </c>
      <c r="Q1030" s="28">
        <f>DATEVALUE(OnePlusSalesData[[#This Row],[delivery_date]])</f>
        <v>43599</v>
      </c>
    </row>
    <row r="1031" spans="1:17" ht="16" x14ac:dyDescent="0.45">
      <c r="A1031" s="8" t="s">
        <v>2026</v>
      </c>
      <c r="B1031" s="8" t="s">
        <v>16</v>
      </c>
      <c r="C1031" s="9" t="s">
        <v>33</v>
      </c>
      <c r="D1031" s="9" t="s">
        <v>85</v>
      </c>
      <c r="E1031" s="9" t="s">
        <v>258</v>
      </c>
      <c r="F1031" s="10">
        <v>2999</v>
      </c>
      <c r="G1031" s="11">
        <v>2</v>
      </c>
      <c r="H1031" s="12">
        <v>0</v>
      </c>
      <c r="I1031" s="13">
        <v>0</v>
      </c>
      <c r="J1031" s="13">
        <v>5998</v>
      </c>
      <c r="K1031" s="13">
        <v>1266.6500000000001</v>
      </c>
      <c r="L1031" s="8" t="s">
        <v>1005</v>
      </c>
      <c r="M1031" s="19" t="s">
        <v>387</v>
      </c>
      <c r="N1031" s="9" t="s">
        <v>22</v>
      </c>
      <c r="O1031" s="9" t="s">
        <v>23</v>
      </c>
      <c r="P1031">
        <f>DATEVALUE(OnePlusSalesData[[#This Row],[order_date]])</f>
        <v>44079</v>
      </c>
      <c r="Q1031" s="28">
        <f>DATEVALUE(OnePlusSalesData[[#This Row],[delivery_date]])</f>
        <v>44084</v>
      </c>
    </row>
    <row r="1032" spans="1:17" ht="16" x14ac:dyDescent="0.45">
      <c r="A1032" s="2" t="s">
        <v>2027</v>
      </c>
      <c r="B1032" s="2" t="s">
        <v>16</v>
      </c>
      <c r="C1032" s="3" t="s">
        <v>140</v>
      </c>
      <c r="D1032" s="3" t="s">
        <v>40</v>
      </c>
      <c r="E1032" s="3" t="s">
        <v>41</v>
      </c>
      <c r="F1032" s="4">
        <v>37999</v>
      </c>
      <c r="G1032" s="5">
        <v>1</v>
      </c>
      <c r="H1032" s="6">
        <v>0</v>
      </c>
      <c r="I1032" s="7">
        <v>0</v>
      </c>
      <c r="J1032" s="7">
        <v>37999</v>
      </c>
      <c r="K1032" s="7">
        <v>7464.14</v>
      </c>
      <c r="L1032" s="2" t="s">
        <v>1105</v>
      </c>
      <c r="M1032" s="18" t="s">
        <v>801</v>
      </c>
      <c r="N1032" s="3" t="s">
        <v>44</v>
      </c>
      <c r="O1032" s="3" t="s">
        <v>63</v>
      </c>
      <c r="P1032">
        <f>DATEVALUE(OnePlusSalesData[[#This Row],[order_date]])</f>
        <v>43631</v>
      </c>
      <c r="Q1032" s="28">
        <f>DATEVALUE(OnePlusSalesData[[#This Row],[delivery_date]])</f>
        <v>43633</v>
      </c>
    </row>
    <row r="1033" spans="1:17" ht="16" x14ac:dyDescent="0.45">
      <c r="A1033" s="8" t="s">
        <v>2028</v>
      </c>
      <c r="B1033" s="8" t="s">
        <v>52</v>
      </c>
      <c r="C1033" s="9" t="s">
        <v>53</v>
      </c>
      <c r="D1033" s="9" t="s">
        <v>40</v>
      </c>
      <c r="E1033" s="9" t="s">
        <v>41</v>
      </c>
      <c r="F1033" s="10">
        <v>37999</v>
      </c>
      <c r="G1033" s="11">
        <v>3</v>
      </c>
      <c r="H1033" s="12">
        <v>0</v>
      </c>
      <c r="I1033" s="13">
        <v>0</v>
      </c>
      <c r="J1033" s="13">
        <v>113997</v>
      </c>
      <c r="K1033" s="13">
        <v>22864.44</v>
      </c>
      <c r="L1033" s="8" t="s">
        <v>485</v>
      </c>
      <c r="M1033" s="19" t="s">
        <v>614</v>
      </c>
      <c r="N1033" s="9" t="s">
        <v>22</v>
      </c>
      <c r="O1033" s="9" t="s">
        <v>45</v>
      </c>
      <c r="P1033">
        <f>DATEVALUE(OnePlusSalesData[[#This Row],[order_date]])</f>
        <v>43233</v>
      </c>
      <c r="Q1033" s="28">
        <f>DATEVALUE(OnePlusSalesData[[#This Row],[delivery_date]])</f>
        <v>43236</v>
      </c>
    </row>
    <row r="1034" spans="1:17" ht="16" x14ac:dyDescent="0.45">
      <c r="A1034" s="2" t="s">
        <v>2029</v>
      </c>
      <c r="B1034" s="2" t="s">
        <v>25</v>
      </c>
      <c r="C1034" s="3" t="s">
        <v>120</v>
      </c>
      <c r="D1034" s="3" t="s">
        <v>27</v>
      </c>
      <c r="E1034" s="3" t="s">
        <v>28</v>
      </c>
      <c r="F1034" s="4">
        <v>12999</v>
      </c>
      <c r="G1034" s="5">
        <v>2</v>
      </c>
      <c r="H1034" s="6">
        <v>0.08</v>
      </c>
      <c r="I1034" s="7">
        <v>2079.84</v>
      </c>
      <c r="J1034" s="7">
        <v>23918.16</v>
      </c>
      <c r="K1034" s="7">
        <v>3379.23</v>
      </c>
      <c r="L1034" s="2" t="s">
        <v>2030</v>
      </c>
      <c r="M1034" s="18" t="s">
        <v>1509</v>
      </c>
      <c r="N1034" s="3" t="s">
        <v>50</v>
      </c>
      <c r="O1034" s="3" t="s">
        <v>31</v>
      </c>
      <c r="P1034">
        <f>DATEVALUE(OnePlusSalesData[[#This Row],[order_date]])</f>
        <v>43510</v>
      </c>
      <c r="Q1034" s="28">
        <f>DATEVALUE(OnePlusSalesData[[#This Row],[delivery_date]])</f>
        <v>43513</v>
      </c>
    </row>
    <row r="1035" spans="1:17" ht="16" x14ac:dyDescent="0.45">
      <c r="A1035" s="8" t="s">
        <v>2031</v>
      </c>
      <c r="B1035" s="8" t="s">
        <v>16</v>
      </c>
      <c r="C1035" s="9" t="s">
        <v>33</v>
      </c>
      <c r="D1035" s="9" t="s">
        <v>85</v>
      </c>
      <c r="E1035" s="9" t="s">
        <v>228</v>
      </c>
      <c r="F1035" s="10">
        <v>5990</v>
      </c>
      <c r="G1035" s="11">
        <v>1</v>
      </c>
      <c r="H1035" s="12">
        <v>0</v>
      </c>
      <c r="I1035" s="13">
        <v>0</v>
      </c>
      <c r="J1035" s="13">
        <v>5990</v>
      </c>
      <c r="K1035" s="13">
        <v>1332.68</v>
      </c>
      <c r="L1035" s="8" t="s">
        <v>454</v>
      </c>
      <c r="M1035" s="19" t="s">
        <v>1632</v>
      </c>
      <c r="N1035" s="9" t="s">
        <v>22</v>
      </c>
      <c r="O1035" s="9" t="s">
        <v>23</v>
      </c>
      <c r="P1035">
        <f>DATEVALUE(OnePlusSalesData[[#This Row],[order_date]])</f>
        <v>43246</v>
      </c>
      <c r="Q1035" s="28">
        <f>DATEVALUE(OnePlusSalesData[[#This Row],[delivery_date]])</f>
        <v>43248</v>
      </c>
    </row>
    <row r="1036" spans="1:17" ht="16" x14ac:dyDescent="0.45">
      <c r="A1036" s="2" t="s">
        <v>2032</v>
      </c>
      <c r="B1036" s="2" t="s">
        <v>58</v>
      </c>
      <c r="C1036" s="3" t="s">
        <v>221</v>
      </c>
      <c r="D1036" s="3" t="s">
        <v>34</v>
      </c>
      <c r="E1036" s="3" t="s">
        <v>77</v>
      </c>
      <c r="F1036" s="4">
        <v>24999</v>
      </c>
      <c r="G1036" s="5">
        <v>1</v>
      </c>
      <c r="H1036" s="6">
        <v>0</v>
      </c>
      <c r="I1036" s="7">
        <v>0</v>
      </c>
      <c r="J1036" s="7">
        <v>24999</v>
      </c>
      <c r="K1036" s="7">
        <v>4763.22</v>
      </c>
      <c r="L1036" s="2" t="s">
        <v>2033</v>
      </c>
      <c r="M1036" s="18" t="s">
        <v>2034</v>
      </c>
      <c r="N1036" s="3" t="s">
        <v>22</v>
      </c>
      <c r="O1036" s="3" t="s">
        <v>63</v>
      </c>
      <c r="P1036">
        <f>DATEVALUE(OnePlusSalesData[[#This Row],[order_date]])</f>
        <v>43127</v>
      </c>
      <c r="Q1036" s="28">
        <f>DATEVALUE(OnePlusSalesData[[#This Row],[delivery_date]])</f>
        <v>43134</v>
      </c>
    </row>
    <row r="1037" spans="1:17" ht="16" x14ac:dyDescent="0.45">
      <c r="A1037" s="8" t="s">
        <v>2035</v>
      </c>
      <c r="B1037" s="8" t="s">
        <v>52</v>
      </c>
      <c r="C1037" s="9" t="s">
        <v>53</v>
      </c>
      <c r="D1037" s="9" t="s">
        <v>40</v>
      </c>
      <c r="E1037" s="9" t="s">
        <v>60</v>
      </c>
      <c r="F1037" s="10">
        <v>54999</v>
      </c>
      <c r="G1037" s="11">
        <v>1</v>
      </c>
      <c r="H1037" s="12">
        <v>0.08</v>
      </c>
      <c r="I1037" s="13">
        <v>4399.92</v>
      </c>
      <c r="J1037" s="13">
        <v>50599.08</v>
      </c>
      <c r="K1037" s="13">
        <v>11381.93</v>
      </c>
      <c r="L1037" s="8" t="s">
        <v>506</v>
      </c>
      <c r="M1037" s="19" t="s">
        <v>2036</v>
      </c>
      <c r="N1037" s="9" t="s">
        <v>50</v>
      </c>
      <c r="O1037" s="9" t="s">
        <v>23</v>
      </c>
      <c r="P1037">
        <f>DATEVALUE(OnePlusSalesData[[#This Row],[order_date]])</f>
        <v>43827</v>
      </c>
      <c r="Q1037" s="28">
        <f>DATEVALUE(OnePlusSalesData[[#This Row],[delivery_date]])</f>
        <v>43834</v>
      </c>
    </row>
    <row r="1038" spans="1:17" ht="16" x14ac:dyDescent="0.45">
      <c r="A1038" s="2" t="s">
        <v>2037</v>
      </c>
      <c r="B1038" s="2" t="s">
        <v>25</v>
      </c>
      <c r="C1038" s="3" t="s">
        <v>26</v>
      </c>
      <c r="D1038" s="3" t="s">
        <v>85</v>
      </c>
      <c r="E1038" s="3" t="s">
        <v>265</v>
      </c>
      <c r="F1038" s="4">
        <v>4990</v>
      </c>
      <c r="G1038" s="5">
        <v>3</v>
      </c>
      <c r="H1038" s="6">
        <v>0.05</v>
      </c>
      <c r="I1038" s="7">
        <v>748.5</v>
      </c>
      <c r="J1038" s="7">
        <v>14221.5</v>
      </c>
      <c r="K1038" s="7">
        <v>3335.69</v>
      </c>
      <c r="L1038" s="2" t="s">
        <v>2038</v>
      </c>
      <c r="M1038" s="18" t="s">
        <v>331</v>
      </c>
      <c r="N1038" s="3" t="s">
        <v>92</v>
      </c>
      <c r="O1038" s="3" t="s">
        <v>45</v>
      </c>
      <c r="P1038">
        <f>DATEVALUE(OnePlusSalesData[[#This Row],[order_date]])</f>
        <v>44185</v>
      </c>
      <c r="Q1038" s="28">
        <f>DATEVALUE(OnePlusSalesData[[#This Row],[delivery_date]])</f>
        <v>44187</v>
      </c>
    </row>
    <row r="1039" spans="1:17" ht="16" x14ac:dyDescent="0.45">
      <c r="A1039" s="8" t="s">
        <v>2039</v>
      </c>
      <c r="B1039" s="8" t="s">
        <v>16</v>
      </c>
      <c r="C1039" s="9" t="s">
        <v>140</v>
      </c>
      <c r="D1039" s="9" t="s">
        <v>40</v>
      </c>
      <c r="E1039" s="9" t="s">
        <v>148</v>
      </c>
      <c r="F1039" s="10">
        <v>41999</v>
      </c>
      <c r="G1039" s="11">
        <v>2</v>
      </c>
      <c r="H1039" s="12">
        <v>0.08</v>
      </c>
      <c r="I1039" s="13">
        <v>6719.84</v>
      </c>
      <c r="J1039" s="13">
        <v>77278.16</v>
      </c>
      <c r="K1039" s="13">
        <v>13102.7</v>
      </c>
      <c r="L1039" s="8" t="s">
        <v>2040</v>
      </c>
      <c r="M1039" s="19" t="s">
        <v>1123</v>
      </c>
      <c r="N1039" s="9" t="s">
        <v>44</v>
      </c>
      <c r="O1039" s="9" t="s">
        <v>146</v>
      </c>
      <c r="P1039">
        <f>DATEVALUE(OnePlusSalesData[[#This Row],[order_date]])</f>
        <v>43896</v>
      </c>
      <c r="Q1039" s="28">
        <f>DATEVALUE(OnePlusSalesData[[#This Row],[delivery_date]])</f>
        <v>43900</v>
      </c>
    </row>
    <row r="1040" spans="1:17" ht="16" x14ac:dyDescent="0.45">
      <c r="A1040" s="2" t="s">
        <v>2041</v>
      </c>
      <c r="B1040" s="2" t="s">
        <v>52</v>
      </c>
      <c r="C1040" s="3" t="s">
        <v>53</v>
      </c>
      <c r="D1040" s="3" t="s">
        <v>40</v>
      </c>
      <c r="E1040" s="3" t="s">
        <v>148</v>
      </c>
      <c r="F1040" s="4">
        <v>41999</v>
      </c>
      <c r="G1040" s="5">
        <v>1</v>
      </c>
      <c r="H1040" s="6">
        <v>0.05</v>
      </c>
      <c r="I1040" s="7">
        <v>2099.9499999999998</v>
      </c>
      <c r="J1040" s="7">
        <v>39899.050000000003</v>
      </c>
      <c r="K1040" s="7">
        <v>7840.58</v>
      </c>
      <c r="L1040" s="2" t="s">
        <v>2042</v>
      </c>
      <c r="M1040" s="18" t="s">
        <v>1105</v>
      </c>
      <c r="N1040" s="3" t="s">
        <v>22</v>
      </c>
      <c r="O1040" s="3" t="s">
        <v>23</v>
      </c>
      <c r="P1040">
        <f>DATEVALUE(OnePlusSalesData[[#This Row],[order_date]])</f>
        <v>43625</v>
      </c>
      <c r="Q1040" s="28">
        <f>DATEVALUE(OnePlusSalesData[[#This Row],[delivery_date]])</f>
        <v>43631</v>
      </c>
    </row>
    <row r="1041" spans="1:17" ht="16" x14ac:dyDescent="0.45">
      <c r="A1041" s="8" t="s">
        <v>2043</v>
      </c>
      <c r="B1041" s="8" t="s">
        <v>16</v>
      </c>
      <c r="C1041" s="9" t="s">
        <v>33</v>
      </c>
      <c r="D1041" s="9" t="s">
        <v>40</v>
      </c>
      <c r="E1041" s="9" t="s">
        <v>406</v>
      </c>
      <c r="F1041" s="10">
        <v>48999</v>
      </c>
      <c r="G1041" s="11">
        <v>1</v>
      </c>
      <c r="H1041" s="12">
        <v>0</v>
      </c>
      <c r="I1041" s="13">
        <v>0</v>
      </c>
      <c r="J1041" s="13">
        <v>48999</v>
      </c>
      <c r="K1041" s="13">
        <v>10948.46</v>
      </c>
      <c r="L1041" s="8" t="s">
        <v>412</v>
      </c>
      <c r="M1041" s="19" t="s">
        <v>549</v>
      </c>
      <c r="N1041" s="9" t="s">
        <v>92</v>
      </c>
      <c r="O1041" s="9" t="s">
        <v>23</v>
      </c>
      <c r="P1041">
        <f>DATEVALUE(OnePlusSalesData[[#This Row],[order_date]])</f>
        <v>44075</v>
      </c>
      <c r="Q1041" s="28">
        <f>DATEVALUE(OnePlusSalesData[[#This Row],[delivery_date]])</f>
        <v>44078</v>
      </c>
    </row>
    <row r="1042" spans="1:17" ht="16" x14ac:dyDescent="0.45">
      <c r="A1042" s="2" t="s">
        <v>2044</v>
      </c>
      <c r="B1042" s="2" t="s">
        <v>25</v>
      </c>
      <c r="C1042" s="3" t="s">
        <v>26</v>
      </c>
      <c r="D1042" s="3" t="s">
        <v>40</v>
      </c>
      <c r="E1042" s="3" t="s">
        <v>54</v>
      </c>
      <c r="F1042" s="4">
        <v>53999</v>
      </c>
      <c r="G1042" s="5">
        <v>1</v>
      </c>
      <c r="H1042" s="6">
        <v>0.05</v>
      </c>
      <c r="I1042" s="7">
        <v>2699.95</v>
      </c>
      <c r="J1042" s="7">
        <v>51299.05</v>
      </c>
      <c r="K1042" s="7">
        <v>7315</v>
      </c>
      <c r="L1042" s="2" t="s">
        <v>2045</v>
      </c>
      <c r="M1042" s="18" t="s">
        <v>770</v>
      </c>
      <c r="N1042" s="3" t="s">
        <v>92</v>
      </c>
      <c r="O1042" s="3" t="s">
        <v>23</v>
      </c>
      <c r="P1042">
        <f>DATEVALUE(OnePlusSalesData[[#This Row],[order_date]])</f>
        <v>43380</v>
      </c>
      <c r="Q1042" s="28">
        <f>DATEVALUE(OnePlusSalesData[[#This Row],[delivery_date]])</f>
        <v>43382</v>
      </c>
    </row>
    <row r="1043" spans="1:17" ht="16" x14ac:dyDescent="0.45">
      <c r="A1043" s="8" t="s">
        <v>2046</v>
      </c>
      <c r="B1043" s="8" t="s">
        <v>16</v>
      </c>
      <c r="C1043" s="9" t="s">
        <v>140</v>
      </c>
      <c r="D1043" s="9" t="s">
        <v>27</v>
      </c>
      <c r="E1043" s="9" t="s">
        <v>28</v>
      </c>
      <c r="F1043" s="10">
        <v>12999</v>
      </c>
      <c r="G1043" s="11">
        <v>1</v>
      </c>
      <c r="H1043" s="12">
        <v>0.1</v>
      </c>
      <c r="I1043" s="13">
        <v>1299.9000000000001</v>
      </c>
      <c r="J1043" s="13">
        <v>11699.1</v>
      </c>
      <c r="K1043" s="13">
        <v>3023.75</v>
      </c>
      <c r="L1043" s="8" t="s">
        <v>1547</v>
      </c>
      <c r="M1043" s="19" t="s">
        <v>804</v>
      </c>
      <c r="N1043" s="9" t="s">
        <v>22</v>
      </c>
      <c r="O1043" s="9" t="s">
        <v>31</v>
      </c>
      <c r="P1043">
        <f>DATEVALUE(OnePlusSalesData[[#This Row],[order_date]])</f>
        <v>43321</v>
      </c>
      <c r="Q1043" s="28">
        <f>DATEVALUE(OnePlusSalesData[[#This Row],[delivery_date]])</f>
        <v>43327</v>
      </c>
    </row>
    <row r="1044" spans="1:17" ht="16" x14ac:dyDescent="0.45">
      <c r="A1044" s="2" t="s">
        <v>2047</v>
      </c>
      <c r="B1044" s="2" t="s">
        <v>58</v>
      </c>
      <c r="C1044" s="3" t="s">
        <v>113</v>
      </c>
      <c r="D1044" s="3" t="s">
        <v>18</v>
      </c>
      <c r="E1044" s="3" t="s">
        <v>19</v>
      </c>
      <c r="F1044" s="4">
        <v>1990</v>
      </c>
      <c r="G1044" s="5">
        <v>1</v>
      </c>
      <c r="H1044" s="6">
        <v>0.08</v>
      </c>
      <c r="I1044" s="7">
        <v>159.19999999999999</v>
      </c>
      <c r="J1044" s="7">
        <v>1830.8</v>
      </c>
      <c r="K1044" s="7">
        <v>463.91</v>
      </c>
      <c r="L1044" s="2" t="s">
        <v>751</v>
      </c>
      <c r="M1044" s="18" t="s">
        <v>430</v>
      </c>
      <c r="N1044" s="3" t="s">
        <v>44</v>
      </c>
      <c r="O1044" s="3" t="s">
        <v>23</v>
      </c>
      <c r="P1044">
        <f>DATEVALUE(OnePlusSalesData[[#This Row],[order_date]])</f>
        <v>43864</v>
      </c>
      <c r="Q1044" s="28">
        <f>DATEVALUE(OnePlusSalesData[[#This Row],[delivery_date]])</f>
        <v>43867</v>
      </c>
    </row>
    <row r="1045" spans="1:17" ht="16" x14ac:dyDescent="0.45">
      <c r="A1045" s="8" t="s">
        <v>2048</v>
      </c>
      <c r="B1045" s="8" t="s">
        <v>16</v>
      </c>
      <c r="C1045" s="9" t="s">
        <v>152</v>
      </c>
      <c r="D1045" s="9" t="s">
        <v>40</v>
      </c>
      <c r="E1045" s="9" t="s">
        <v>73</v>
      </c>
      <c r="F1045" s="10">
        <v>32999</v>
      </c>
      <c r="G1045" s="11">
        <v>1</v>
      </c>
      <c r="H1045" s="12">
        <v>0.05</v>
      </c>
      <c r="I1045" s="13">
        <v>1649.95</v>
      </c>
      <c r="J1045" s="13">
        <v>31349.05</v>
      </c>
      <c r="K1045" s="13">
        <v>7189.98</v>
      </c>
      <c r="L1045" s="8" t="s">
        <v>945</v>
      </c>
      <c r="M1045" s="19" t="s">
        <v>360</v>
      </c>
      <c r="N1045" s="9" t="s">
        <v>22</v>
      </c>
      <c r="O1045" s="9" t="s">
        <v>31</v>
      </c>
      <c r="P1045">
        <f>DATEVALUE(OnePlusSalesData[[#This Row],[order_date]])</f>
        <v>43144</v>
      </c>
      <c r="Q1045" s="28">
        <f>DATEVALUE(OnePlusSalesData[[#This Row],[delivery_date]])</f>
        <v>43148</v>
      </c>
    </row>
    <row r="1046" spans="1:17" ht="16" x14ac:dyDescent="0.45">
      <c r="A1046" s="2" t="s">
        <v>2049</v>
      </c>
      <c r="B1046" s="2" t="s">
        <v>16</v>
      </c>
      <c r="C1046" s="3" t="s">
        <v>17</v>
      </c>
      <c r="D1046" s="3" t="s">
        <v>27</v>
      </c>
      <c r="E1046" s="3" t="s">
        <v>176</v>
      </c>
      <c r="F1046" s="4">
        <v>69900</v>
      </c>
      <c r="G1046" s="5">
        <v>1</v>
      </c>
      <c r="H1046" s="6">
        <v>0</v>
      </c>
      <c r="I1046" s="7">
        <v>0</v>
      </c>
      <c r="J1046" s="7">
        <v>69900</v>
      </c>
      <c r="K1046" s="7">
        <v>13125.68</v>
      </c>
      <c r="L1046" s="2" t="s">
        <v>75</v>
      </c>
      <c r="M1046" s="18" t="s">
        <v>1657</v>
      </c>
      <c r="N1046" s="3" t="s">
        <v>22</v>
      </c>
      <c r="O1046" s="3" t="s">
        <v>31</v>
      </c>
      <c r="P1046">
        <f>DATEVALUE(OnePlusSalesData[[#This Row],[order_date]])</f>
        <v>43720</v>
      </c>
      <c r="Q1046" s="28">
        <f>DATEVALUE(OnePlusSalesData[[#This Row],[delivery_date]])</f>
        <v>43727</v>
      </c>
    </row>
    <row r="1047" spans="1:17" ht="16" x14ac:dyDescent="0.45">
      <c r="A1047" s="8" t="s">
        <v>2050</v>
      </c>
      <c r="B1047" s="8" t="s">
        <v>16</v>
      </c>
      <c r="C1047" s="9" t="s">
        <v>17</v>
      </c>
      <c r="D1047" s="9" t="s">
        <v>18</v>
      </c>
      <c r="E1047" s="9" t="s">
        <v>102</v>
      </c>
      <c r="F1047" s="10">
        <v>1490</v>
      </c>
      <c r="G1047" s="11">
        <v>1</v>
      </c>
      <c r="H1047" s="12">
        <v>0.12</v>
      </c>
      <c r="I1047" s="13">
        <v>178.8</v>
      </c>
      <c r="J1047" s="13">
        <v>1311.2</v>
      </c>
      <c r="K1047" s="13">
        <v>186.82</v>
      </c>
      <c r="L1047" s="8" t="s">
        <v>266</v>
      </c>
      <c r="M1047" s="19" t="s">
        <v>1076</v>
      </c>
      <c r="N1047" s="9" t="s">
        <v>22</v>
      </c>
      <c r="O1047" s="9" t="s">
        <v>31</v>
      </c>
      <c r="P1047">
        <f>DATEVALUE(OnePlusSalesData[[#This Row],[order_date]])</f>
        <v>44127</v>
      </c>
      <c r="Q1047" s="28">
        <f>DATEVALUE(OnePlusSalesData[[#This Row],[delivery_date]])</f>
        <v>44130</v>
      </c>
    </row>
    <row r="1048" spans="1:17" ht="16" x14ac:dyDescent="0.45">
      <c r="A1048" s="2" t="s">
        <v>2051</v>
      </c>
      <c r="B1048" s="2" t="s">
        <v>25</v>
      </c>
      <c r="C1048" s="3" t="s">
        <v>133</v>
      </c>
      <c r="D1048" s="3" t="s">
        <v>18</v>
      </c>
      <c r="E1048" s="3" t="s">
        <v>102</v>
      </c>
      <c r="F1048" s="4">
        <v>1490</v>
      </c>
      <c r="G1048" s="5">
        <v>1</v>
      </c>
      <c r="H1048" s="6">
        <v>0.08</v>
      </c>
      <c r="I1048" s="7">
        <v>119.2</v>
      </c>
      <c r="J1048" s="7">
        <v>1370.8</v>
      </c>
      <c r="K1048" s="7">
        <v>244.4</v>
      </c>
      <c r="L1048" s="2" t="s">
        <v>294</v>
      </c>
      <c r="M1048" s="18" t="s">
        <v>786</v>
      </c>
      <c r="N1048" s="3" t="s">
        <v>22</v>
      </c>
      <c r="O1048" s="3" t="s">
        <v>23</v>
      </c>
      <c r="P1048">
        <f>DATEVALUE(OnePlusSalesData[[#This Row],[order_date]])</f>
        <v>43825</v>
      </c>
      <c r="Q1048" s="28">
        <f>DATEVALUE(OnePlusSalesData[[#This Row],[delivery_date]])</f>
        <v>43828</v>
      </c>
    </row>
    <row r="1049" spans="1:17" ht="16" x14ac:dyDescent="0.45">
      <c r="A1049" s="8" t="s">
        <v>2052</v>
      </c>
      <c r="B1049" s="8" t="s">
        <v>52</v>
      </c>
      <c r="C1049" s="9" t="s">
        <v>69</v>
      </c>
      <c r="D1049" s="9" t="s">
        <v>40</v>
      </c>
      <c r="E1049" s="9" t="s">
        <v>98</v>
      </c>
      <c r="F1049" s="10">
        <v>34999</v>
      </c>
      <c r="G1049" s="11">
        <v>2</v>
      </c>
      <c r="H1049" s="12">
        <v>0.1</v>
      </c>
      <c r="I1049" s="13">
        <v>6999.8</v>
      </c>
      <c r="J1049" s="13">
        <v>62998.2</v>
      </c>
      <c r="K1049" s="13">
        <v>10445.14</v>
      </c>
      <c r="L1049" s="8" t="s">
        <v>821</v>
      </c>
      <c r="M1049" s="19" t="s">
        <v>1582</v>
      </c>
      <c r="N1049" s="9" t="s">
        <v>50</v>
      </c>
      <c r="O1049" s="9" t="s">
        <v>31</v>
      </c>
      <c r="P1049">
        <f>DATEVALUE(OnePlusSalesData[[#This Row],[order_date]])</f>
        <v>44176</v>
      </c>
      <c r="Q1049" s="28">
        <f>DATEVALUE(OnePlusSalesData[[#This Row],[delivery_date]])</f>
        <v>44180</v>
      </c>
    </row>
    <row r="1050" spans="1:17" ht="16" x14ac:dyDescent="0.45">
      <c r="A1050" s="2" t="s">
        <v>2053</v>
      </c>
      <c r="B1050" s="2" t="s">
        <v>58</v>
      </c>
      <c r="C1050" s="3" t="s">
        <v>59</v>
      </c>
      <c r="D1050" s="3" t="s">
        <v>18</v>
      </c>
      <c r="E1050" s="3" t="s">
        <v>102</v>
      </c>
      <c r="F1050" s="4">
        <v>1490</v>
      </c>
      <c r="G1050" s="5">
        <v>3</v>
      </c>
      <c r="H1050" s="6">
        <v>0.05</v>
      </c>
      <c r="I1050" s="7">
        <v>223.5</v>
      </c>
      <c r="J1050" s="7">
        <v>4246.5</v>
      </c>
      <c r="K1050" s="7">
        <v>666.31</v>
      </c>
      <c r="L1050" s="2" t="s">
        <v>1186</v>
      </c>
      <c r="M1050" s="18" t="s">
        <v>2054</v>
      </c>
      <c r="N1050" s="3" t="s">
        <v>22</v>
      </c>
      <c r="O1050" s="3" t="s">
        <v>23</v>
      </c>
      <c r="P1050">
        <f>DATEVALUE(OnePlusSalesData[[#This Row],[order_date]])</f>
        <v>43749</v>
      </c>
      <c r="Q1050" s="28">
        <f>DATEVALUE(OnePlusSalesData[[#This Row],[delivery_date]])</f>
        <v>43751</v>
      </c>
    </row>
    <row r="1051" spans="1:17" ht="16" x14ac:dyDescent="0.45">
      <c r="A1051" s="8" t="s">
        <v>2055</v>
      </c>
      <c r="B1051" s="8" t="s">
        <v>16</v>
      </c>
      <c r="C1051" s="9" t="s">
        <v>17</v>
      </c>
      <c r="D1051" s="9" t="s">
        <v>40</v>
      </c>
      <c r="E1051" s="9" t="s">
        <v>54</v>
      </c>
      <c r="F1051" s="10">
        <v>53999</v>
      </c>
      <c r="G1051" s="11">
        <v>1</v>
      </c>
      <c r="H1051" s="12">
        <v>0.05</v>
      </c>
      <c r="I1051" s="13">
        <v>2699.95</v>
      </c>
      <c r="J1051" s="13">
        <v>51299.05</v>
      </c>
      <c r="K1051" s="13">
        <v>8226.5499999999993</v>
      </c>
      <c r="L1051" s="8" t="s">
        <v>958</v>
      </c>
      <c r="M1051" s="19" t="s">
        <v>1419</v>
      </c>
      <c r="N1051" s="9" t="s">
        <v>92</v>
      </c>
      <c r="O1051" s="9" t="s">
        <v>31</v>
      </c>
      <c r="P1051">
        <f>DATEVALUE(OnePlusSalesData[[#This Row],[order_date]])</f>
        <v>43495</v>
      </c>
      <c r="Q1051" s="28">
        <f>DATEVALUE(OnePlusSalesData[[#This Row],[delivery_date]])</f>
        <v>43500</v>
      </c>
    </row>
    <row r="1052" spans="1:17" ht="16" x14ac:dyDescent="0.45">
      <c r="A1052" s="2" t="s">
        <v>2056</v>
      </c>
      <c r="B1052" s="2" t="s">
        <v>52</v>
      </c>
      <c r="C1052" s="3" t="s">
        <v>358</v>
      </c>
      <c r="D1052" s="3" t="s">
        <v>40</v>
      </c>
      <c r="E1052" s="3" t="s">
        <v>60</v>
      </c>
      <c r="F1052" s="4">
        <v>54999</v>
      </c>
      <c r="G1052" s="5">
        <v>1</v>
      </c>
      <c r="H1052" s="6">
        <v>0.12</v>
      </c>
      <c r="I1052" s="7">
        <v>6599.88</v>
      </c>
      <c r="J1052" s="7">
        <v>48399.12</v>
      </c>
      <c r="K1052" s="7">
        <v>11544.34</v>
      </c>
      <c r="L1052" s="2" t="s">
        <v>576</v>
      </c>
      <c r="M1052" s="18" t="s">
        <v>2057</v>
      </c>
      <c r="N1052" s="3" t="s">
        <v>22</v>
      </c>
      <c r="O1052" s="3" t="s">
        <v>23</v>
      </c>
      <c r="P1052">
        <f>DATEVALUE(OnePlusSalesData[[#This Row],[order_date]])</f>
        <v>43874</v>
      </c>
      <c r="Q1052" s="28">
        <f>DATEVALUE(OnePlusSalesData[[#This Row],[delivery_date]])</f>
        <v>43879</v>
      </c>
    </row>
    <row r="1053" spans="1:17" ht="16" x14ac:dyDescent="0.45">
      <c r="A1053" s="8" t="s">
        <v>2058</v>
      </c>
      <c r="B1053" s="8" t="s">
        <v>52</v>
      </c>
      <c r="C1053" s="9" t="s">
        <v>358</v>
      </c>
      <c r="D1053" s="9" t="s">
        <v>40</v>
      </c>
      <c r="E1053" s="9" t="s">
        <v>54</v>
      </c>
      <c r="F1053" s="10">
        <v>53999</v>
      </c>
      <c r="G1053" s="11">
        <v>1</v>
      </c>
      <c r="H1053" s="12">
        <v>0.08</v>
      </c>
      <c r="I1053" s="13">
        <v>4319.92</v>
      </c>
      <c r="J1053" s="13">
        <v>49679.08</v>
      </c>
      <c r="K1053" s="13">
        <v>9995.7900000000009</v>
      </c>
      <c r="L1053" s="8" t="s">
        <v>284</v>
      </c>
      <c r="M1053" s="19" t="s">
        <v>930</v>
      </c>
      <c r="N1053" s="9" t="s">
        <v>22</v>
      </c>
      <c r="O1053" s="9" t="s">
        <v>23</v>
      </c>
      <c r="P1053">
        <f>DATEVALUE(OnePlusSalesData[[#This Row],[order_date]])</f>
        <v>43429</v>
      </c>
      <c r="Q1053" s="28">
        <f>DATEVALUE(OnePlusSalesData[[#This Row],[delivery_date]])</f>
        <v>43433</v>
      </c>
    </row>
    <row r="1054" spans="1:17" ht="16" x14ac:dyDescent="0.45">
      <c r="A1054" s="2" t="s">
        <v>2059</v>
      </c>
      <c r="B1054" s="2" t="s">
        <v>25</v>
      </c>
      <c r="C1054" s="3" t="s">
        <v>120</v>
      </c>
      <c r="D1054" s="3" t="s">
        <v>27</v>
      </c>
      <c r="E1054" s="3" t="s">
        <v>28</v>
      </c>
      <c r="F1054" s="4">
        <v>12999</v>
      </c>
      <c r="G1054" s="5">
        <v>1</v>
      </c>
      <c r="H1054" s="6">
        <v>0.08</v>
      </c>
      <c r="I1054" s="7">
        <v>1039.92</v>
      </c>
      <c r="J1054" s="7">
        <v>11959.08</v>
      </c>
      <c r="K1054" s="7">
        <v>2811.52</v>
      </c>
      <c r="L1054" s="2" t="s">
        <v>859</v>
      </c>
      <c r="M1054" s="18" t="s">
        <v>955</v>
      </c>
      <c r="N1054" s="3" t="s">
        <v>44</v>
      </c>
      <c r="O1054" s="3" t="s">
        <v>45</v>
      </c>
      <c r="P1054">
        <f>DATEVALUE(OnePlusSalesData[[#This Row],[order_date]])</f>
        <v>43611</v>
      </c>
      <c r="Q1054" s="28">
        <f>DATEVALUE(OnePlusSalesData[[#This Row],[delivery_date]])</f>
        <v>43617</v>
      </c>
    </row>
    <row r="1055" spans="1:17" ht="16" x14ac:dyDescent="0.45">
      <c r="A1055" s="8" t="s">
        <v>2060</v>
      </c>
      <c r="B1055" s="8" t="s">
        <v>52</v>
      </c>
      <c r="C1055" s="9" t="s">
        <v>53</v>
      </c>
      <c r="D1055" s="9" t="s">
        <v>40</v>
      </c>
      <c r="E1055" s="9" t="s">
        <v>73</v>
      </c>
      <c r="F1055" s="10">
        <v>32999</v>
      </c>
      <c r="G1055" s="11">
        <v>2</v>
      </c>
      <c r="H1055" s="12">
        <v>0.08</v>
      </c>
      <c r="I1055" s="13">
        <v>5279.84</v>
      </c>
      <c r="J1055" s="13">
        <v>60718.16</v>
      </c>
      <c r="K1055" s="13">
        <v>15679.4</v>
      </c>
      <c r="L1055" s="8" t="s">
        <v>131</v>
      </c>
      <c r="M1055" s="19" t="s">
        <v>483</v>
      </c>
      <c r="N1055" s="9" t="s">
        <v>44</v>
      </c>
      <c r="O1055" s="9" t="s">
        <v>23</v>
      </c>
      <c r="P1055">
        <f>DATEVALUE(OnePlusSalesData[[#This Row],[order_date]])</f>
        <v>43558</v>
      </c>
      <c r="Q1055" s="28">
        <f>DATEVALUE(OnePlusSalesData[[#This Row],[delivery_date]])</f>
        <v>43565</v>
      </c>
    </row>
    <row r="1056" spans="1:17" ht="16" x14ac:dyDescent="0.45">
      <c r="A1056" s="2" t="s">
        <v>2061</v>
      </c>
      <c r="B1056" s="2" t="s">
        <v>16</v>
      </c>
      <c r="C1056" s="3" t="s">
        <v>33</v>
      </c>
      <c r="D1056" s="3" t="s">
        <v>34</v>
      </c>
      <c r="E1056" s="3" t="s">
        <v>77</v>
      </c>
      <c r="F1056" s="4">
        <v>24999</v>
      </c>
      <c r="G1056" s="5">
        <v>5</v>
      </c>
      <c r="H1056" s="6">
        <v>0.12</v>
      </c>
      <c r="I1056" s="7">
        <v>14999.4</v>
      </c>
      <c r="J1056" s="7">
        <v>109995.6</v>
      </c>
      <c r="K1056" s="7">
        <v>27075.27</v>
      </c>
      <c r="L1056" s="2" t="s">
        <v>1116</v>
      </c>
      <c r="M1056" s="18" t="s">
        <v>1856</v>
      </c>
      <c r="N1056" s="3" t="s">
        <v>92</v>
      </c>
      <c r="O1056" s="3" t="s">
        <v>23</v>
      </c>
      <c r="P1056">
        <f>DATEVALUE(OnePlusSalesData[[#This Row],[order_date]])</f>
        <v>43580</v>
      </c>
      <c r="Q1056" s="28">
        <f>DATEVALUE(OnePlusSalesData[[#This Row],[delivery_date]])</f>
        <v>43587</v>
      </c>
    </row>
    <row r="1057" spans="1:17" ht="16" x14ac:dyDescent="0.45">
      <c r="A1057" s="8" t="s">
        <v>2062</v>
      </c>
      <c r="B1057" s="8" t="s">
        <v>16</v>
      </c>
      <c r="C1057" s="9" t="s">
        <v>33</v>
      </c>
      <c r="D1057" s="9" t="s">
        <v>85</v>
      </c>
      <c r="E1057" s="9" t="s">
        <v>228</v>
      </c>
      <c r="F1057" s="10">
        <v>5990</v>
      </c>
      <c r="G1057" s="11">
        <v>1</v>
      </c>
      <c r="H1057" s="12">
        <v>0</v>
      </c>
      <c r="I1057" s="13">
        <v>0</v>
      </c>
      <c r="J1057" s="13">
        <v>5990</v>
      </c>
      <c r="K1057" s="13">
        <v>1328.33</v>
      </c>
      <c r="L1057" s="8" t="s">
        <v>289</v>
      </c>
      <c r="M1057" s="19" t="s">
        <v>929</v>
      </c>
      <c r="N1057" s="9" t="s">
        <v>22</v>
      </c>
      <c r="O1057" s="9" t="s">
        <v>96</v>
      </c>
      <c r="P1057">
        <f>DATEVALUE(OnePlusSalesData[[#This Row],[order_date]])</f>
        <v>43427</v>
      </c>
      <c r="Q1057" s="28">
        <f>DATEVALUE(OnePlusSalesData[[#This Row],[delivery_date]])</f>
        <v>43430</v>
      </c>
    </row>
    <row r="1058" spans="1:17" ht="16" x14ac:dyDescent="0.45">
      <c r="A1058" s="2" t="s">
        <v>2063</v>
      </c>
      <c r="B1058" s="2" t="s">
        <v>16</v>
      </c>
      <c r="C1058" s="3" t="s">
        <v>39</v>
      </c>
      <c r="D1058" s="3" t="s">
        <v>40</v>
      </c>
      <c r="E1058" s="3" t="s">
        <v>406</v>
      </c>
      <c r="F1058" s="4">
        <v>48999</v>
      </c>
      <c r="G1058" s="5">
        <v>1</v>
      </c>
      <c r="H1058" s="6">
        <v>0.05</v>
      </c>
      <c r="I1058" s="7">
        <v>2449.9499999999998</v>
      </c>
      <c r="J1058" s="7">
        <v>46549.05</v>
      </c>
      <c r="K1058" s="7">
        <v>10402.64</v>
      </c>
      <c r="L1058" s="2" t="s">
        <v>2064</v>
      </c>
      <c r="M1058" s="18" t="s">
        <v>2065</v>
      </c>
      <c r="N1058" s="3" t="s">
        <v>92</v>
      </c>
      <c r="O1058" s="3" t="s">
        <v>23</v>
      </c>
      <c r="P1058">
        <f>DATEVALUE(OnePlusSalesData[[#This Row],[order_date]])</f>
        <v>43448</v>
      </c>
      <c r="Q1058" s="28">
        <f>DATEVALUE(OnePlusSalesData[[#This Row],[delivery_date]])</f>
        <v>43451</v>
      </c>
    </row>
    <row r="1059" spans="1:17" ht="16" x14ac:dyDescent="0.45">
      <c r="A1059" s="8" t="s">
        <v>2066</v>
      </c>
      <c r="B1059" s="8" t="s">
        <v>25</v>
      </c>
      <c r="C1059" s="9" t="s">
        <v>133</v>
      </c>
      <c r="D1059" s="9" t="s">
        <v>18</v>
      </c>
      <c r="E1059" s="9" t="s">
        <v>102</v>
      </c>
      <c r="F1059" s="10">
        <v>1490</v>
      </c>
      <c r="G1059" s="11">
        <v>1</v>
      </c>
      <c r="H1059" s="12">
        <v>0.1</v>
      </c>
      <c r="I1059" s="13">
        <v>149</v>
      </c>
      <c r="J1059" s="13">
        <v>1341</v>
      </c>
      <c r="K1059" s="13">
        <v>281.81</v>
      </c>
      <c r="L1059" s="8" t="s">
        <v>995</v>
      </c>
      <c r="M1059" s="19" t="s">
        <v>1070</v>
      </c>
      <c r="N1059" s="9" t="s">
        <v>44</v>
      </c>
      <c r="O1059" s="9" t="s">
        <v>63</v>
      </c>
      <c r="P1059">
        <f>DATEVALUE(OnePlusSalesData[[#This Row],[order_date]])</f>
        <v>43266</v>
      </c>
      <c r="Q1059" s="28">
        <f>DATEVALUE(OnePlusSalesData[[#This Row],[delivery_date]])</f>
        <v>43271</v>
      </c>
    </row>
    <row r="1060" spans="1:17" ht="16" x14ac:dyDescent="0.45">
      <c r="A1060" s="2" t="s">
        <v>2067</v>
      </c>
      <c r="B1060" s="2" t="s">
        <v>16</v>
      </c>
      <c r="C1060" s="3" t="s">
        <v>152</v>
      </c>
      <c r="D1060" s="3" t="s">
        <v>40</v>
      </c>
      <c r="E1060" s="3" t="s">
        <v>98</v>
      </c>
      <c r="F1060" s="4">
        <v>34999</v>
      </c>
      <c r="G1060" s="5">
        <v>2</v>
      </c>
      <c r="H1060" s="6">
        <v>0</v>
      </c>
      <c r="I1060" s="7">
        <v>0</v>
      </c>
      <c r="J1060" s="7">
        <v>69998</v>
      </c>
      <c r="K1060" s="7">
        <v>10898.76</v>
      </c>
      <c r="L1060" s="2" t="s">
        <v>1978</v>
      </c>
      <c r="M1060" s="18" t="s">
        <v>701</v>
      </c>
      <c r="N1060" s="3" t="s">
        <v>22</v>
      </c>
      <c r="O1060" s="3" t="s">
        <v>23</v>
      </c>
      <c r="P1060">
        <f>DATEVALUE(OnePlusSalesData[[#This Row],[order_date]])</f>
        <v>43317</v>
      </c>
      <c r="Q1060" s="28">
        <f>DATEVALUE(OnePlusSalesData[[#This Row],[delivery_date]])</f>
        <v>43322</v>
      </c>
    </row>
    <row r="1061" spans="1:17" ht="16" x14ac:dyDescent="0.45">
      <c r="A1061" s="8" t="s">
        <v>2068</v>
      </c>
      <c r="B1061" s="8" t="s">
        <v>25</v>
      </c>
      <c r="C1061" s="9" t="s">
        <v>65</v>
      </c>
      <c r="D1061" s="9" t="s">
        <v>40</v>
      </c>
      <c r="E1061" s="9" t="s">
        <v>406</v>
      </c>
      <c r="F1061" s="10">
        <v>48999</v>
      </c>
      <c r="G1061" s="11">
        <v>1</v>
      </c>
      <c r="H1061" s="12">
        <v>0.05</v>
      </c>
      <c r="I1061" s="13">
        <v>2449.9499999999998</v>
      </c>
      <c r="J1061" s="13">
        <v>46549.05</v>
      </c>
      <c r="K1061" s="13">
        <v>10211.27</v>
      </c>
      <c r="L1061" s="8" t="s">
        <v>1138</v>
      </c>
      <c r="M1061" s="19" t="s">
        <v>263</v>
      </c>
      <c r="N1061" s="9" t="s">
        <v>22</v>
      </c>
      <c r="O1061" s="9" t="s">
        <v>146</v>
      </c>
      <c r="P1061">
        <f>DATEVALUE(OnePlusSalesData[[#This Row],[order_date]])</f>
        <v>43822</v>
      </c>
      <c r="Q1061" s="28">
        <f>DATEVALUE(OnePlusSalesData[[#This Row],[delivery_date]])</f>
        <v>43826</v>
      </c>
    </row>
    <row r="1062" spans="1:17" ht="16" x14ac:dyDescent="0.45">
      <c r="A1062" s="2" t="s">
        <v>2069</v>
      </c>
      <c r="B1062" s="2" t="s">
        <v>52</v>
      </c>
      <c r="C1062" s="3" t="s">
        <v>192</v>
      </c>
      <c r="D1062" s="3" t="s">
        <v>40</v>
      </c>
      <c r="E1062" s="3" t="s">
        <v>73</v>
      </c>
      <c r="F1062" s="4">
        <v>32999</v>
      </c>
      <c r="G1062" s="5">
        <v>1</v>
      </c>
      <c r="H1062" s="6">
        <v>0.05</v>
      </c>
      <c r="I1062" s="7">
        <v>1649.95</v>
      </c>
      <c r="J1062" s="7">
        <v>31349.05</v>
      </c>
      <c r="K1062" s="7">
        <v>6829</v>
      </c>
      <c r="L1062" s="2" t="s">
        <v>714</v>
      </c>
      <c r="M1062" s="18" t="s">
        <v>279</v>
      </c>
      <c r="N1062" s="3" t="s">
        <v>50</v>
      </c>
      <c r="O1062" s="3" t="s">
        <v>31</v>
      </c>
      <c r="P1062">
        <f>DATEVALUE(OnePlusSalesData[[#This Row],[order_date]])</f>
        <v>43449</v>
      </c>
      <c r="Q1062" s="28">
        <f>DATEVALUE(OnePlusSalesData[[#This Row],[delivery_date]])</f>
        <v>43452</v>
      </c>
    </row>
    <row r="1063" spans="1:17" ht="16" x14ac:dyDescent="0.45">
      <c r="A1063" s="8" t="s">
        <v>2070</v>
      </c>
      <c r="B1063" s="8" t="s">
        <v>58</v>
      </c>
      <c r="C1063" s="9" t="s">
        <v>81</v>
      </c>
      <c r="D1063" s="9" t="s">
        <v>27</v>
      </c>
      <c r="E1063" s="9" t="s">
        <v>159</v>
      </c>
      <c r="F1063" s="10">
        <v>22999</v>
      </c>
      <c r="G1063" s="11">
        <v>1</v>
      </c>
      <c r="H1063" s="12">
        <v>0.05</v>
      </c>
      <c r="I1063" s="13">
        <v>1149.95</v>
      </c>
      <c r="J1063" s="13">
        <v>21849.05</v>
      </c>
      <c r="K1063" s="13">
        <v>4014.25</v>
      </c>
      <c r="L1063" s="8" t="s">
        <v>1735</v>
      </c>
      <c r="M1063" s="19" t="s">
        <v>1085</v>
      </c>
      <c r="N1063" s="9" t="s">
        <v>22</v>
      </c>
      <c r="O1063" s="9" t="s">
        <v>96</v>
      </c>
      <c r="P1063">
        <f>DATEVALUE(OnePlusSalesData[[#This Row],[order_date]])</f>
        <v>43998</v>
      </c>
      <c r="Q1063" s="28">
        <f>DATEVALUE(OnePlusSalesData[[#This Row],[delivery_date]])</f>
        <v>44003</v>
      </c>
    </row>
    <row r="1064" spans="1:17" ht="16" x14ac:dyDescent="0.45">
      <c r="A1064" s="2" t="s">
        <v>2071</v>
      </c>
      <c r="B1064" s="2" t="s">
        <v>25</v>
      </c>
      <c r="C1064" s="3" t="s">
        <v>65</v>
      </c>
      <c r="D1064" s="3" t="s">
        <v>40</v>
      </c>
      <c r="E1064" s="3" t="s">
        <v>98</v>
      </c>
      <c r="F1064" s="4">
        <v>34999</v>
      </c>
      <c r="G1064" s="5">
        <v>2</v>
      </c>
      <c r="H1064" s="6">
        <v>0.05</v>
      </c>
      <c r="I1064" s="7">
        <v>3499.9</v>
      </c>
      <c r="J1064" s="7">
        <v>66498.100000000006</v>
      </c>
      <c r="K1064" s="7">
        <v>10254.1</v>
      </c>
      <c r="L1064" s="2" t="s">
        <v>626</v>
      </c>
      <c r="M1064" s="18" t="s">
        <v>1230</v>
      </c>
      <c r="N1064" s="3" t="s">
        <v>92</v>
      </c>
      <c r="O1064" s="3" t="s">
        <v>31</v>
      </c>
      <c r="P1064">
        <f>DATEVALUE(OnePlusSalesData[[#This Row],[order_date]])</f>
        <v>43436</v>
      </c>
      <c r="Q1064" s="28">
        <f>DATEVALUE(OnePlusSalesData[[#This Row],[delivery_date]])</f>
        <v>43440</v>
      </c>
    </row>
    <row r="1065" spans="1:17" ht="16" x14ac:dyDescent="0.45">
      <c r="A1065" s="8" t="s">
        <v>2072</v>
      </c>
      <c r="B1065" s="8" t="s">
        <v>52</v>
      </c>
      <c r="C1065" s="9" t="s">
        <v>106</v>
      </c>
      <c r="D1065" s="9" t="s">
        <v>40</v>
      </c>
      <c r="E1065" s="9" t="s">
        <v>98</v>
      </c>
      <c r="F1065" s="10">
        <v>34999</v>
      </c>
      <c r="G1065" s="11">
        <v>2</v>
      </c>
      <c r="H1065" s="12">
        <v>0</v>
      </c>
      <c r="I1065" s="13">
        <v>0</v>
      </c>
      <c r="J1065" s="13">
        <v>69998</v>
      </c>
      <c r="K1065" s="13">
        <v>15032.54</v>
      </c>
      <c r="L1065" s="8" t="s">
        <v>1331</v>
      </c>
      <c r="M1065" s="19" t="s">
        <v>1483</v>
      </c>
      <c r="N1065" s="9" t="s">
        <v>22</v>
      </c>
      <c r="O1065" s="9" t="s">
        <v>96</v>
      </c>
      <c r="P1065">
        <f>DATEVALUE(OnePlusSalesData[[#This Row],[order_date]])</f>
        <v>43797</v>
      </c>
      <c r="Q1065" s="28">
        <f>DATEVALUE(OnePlusSalesData[[#This Row],[delivery_date]])</f>
        <v>43800</v>
      </c>
    </row>
    <row r="1066" spans="1:17" ht="16" x14ac:dyDescent="0.45">
      <c r="A1066" s="2" t="s">
        <v>2073</v>
      </c>
      <c r="B1066" s="2" t="s">
        <v>16</v>
      </c>
      <c r="C1066" s="3" t="s">
        <v>152</v>
      </c>
      <c r="D1066" s="3" t="s">
        <v>40</v>
      </c>
      <c r="E1066" s="3" t="s">
        <v>148</v>
      </c>
      <c r="F1066" s="4">
        <v>41999</v>
      </c>
      <c r="G1066" s="5">
        <v>3</v>
      </c>
      <c r="H1066" s="6">
        <v>0.12</v>
      </c>
      <c r="I1066" s="7">
        <v>15119.64</v>
      </c>
      <c r="J1066" s="7">
        <v>110877.36</v>
      </c>
      <c r="K1066" s="7">
        <v>27089.82</v>
      </c>
      <c r="L1066" s="2" t="s">
        <v>1731</v>
      </c>
      <c r="M1066" s="18" t="s">
        <v>690</v>
      </c>
      <c r="N1066" s="3" t="s">
        <v>22</v>
      </c>
      <c r="O1066" s="3" t="s">
        <v>31</v>
      </c>
      <c r="P1066">
        <f>DATEVALUE(OnePlusSalesData[[#This Row],[order_date]])</f>
        <v>43556</v>
      </c>
      <c r="Q1066" s="28">
        <f>DATEVALUE(OnePlusSalesData[[#This Row],[delivery_date]])</f>
        <v>43562</v>
      </c>
    </row>
    <row r="1067" spans="1:17" ht="16" x14ac:dyDescent="0.45">
      <c r="A1067" s="8" t="s">
        <v>2074</v>
      </c>
      <c r="B1067" s="8" t="s">
        <v>16</v>
      </c>
      <c r="C1067" s="9" t="s">
        <v>33</v>
      </c>
      <c r="D1067" s="9" t="s">
        <v>40</v>
      </c>
      <c r="E1067" s="9" t="s">
        <v>54</v>
      </c>
      <c r="F1067" s="10">
        <v>53999</v>
      </c>
      <c r="G1067" s="11">
        <v>2</v>
      </c>
      <c r="H1067" s="12">
        <v>0.08</v>
      </c>
      <c r="I1067" s="13">
        <v>8639.84</v>
      </c>
      <c r="J1067" s="13">
        <v>99358.16</v>
      </c>
      <c r="K1067" s="13">
        <v>13970.06</v>
      </c>
      <c r="L1067" s="8" t="s">
        <v>1152</v>
      </c>
      <c r="M1067" s="19" t="s">
        <v>427</v>
      </c>
      <c r="N1067" s="9" t="s">
        <v>22</v>
      </c>
      <c r="O1067" s="9" t="s">
        <v>31</v>
      </c>
      <c r="P1067">
        <f>DATEVALUE(OnePlusSalesData[[#This Row],[order_date]])</f>
        <v>43497</v>
      </c>
      <c r="Q1067" s="28">
        <f>DATEVALUE(OnePlusSalesData[[#This Row],[delivery_date]])</f>
        <v>43501</v>
      </c>
    </row>
    <row r="1068" spans="1:17" ht="16" x14ac:dyDescent="0.45">
      <c r="A1068" s="2" t="s">
        <v>2075</v>
      </c>
      <c r="B1068" s="2" t="s">
        <v>25</v>
      </c>
      <c r="C1068" s="3" t="s">
        <v>172</v>
      </c>
      <c r="D1068" s="3" t="s">
        <v>85</v>
      </c>
      <c r="E1068" s="3" t="s">
        <v>265</v>
      </c>
      <c r="F1068" s="4">
        <v>4990</v>
      </c>
      <c r="G1068" s="5">
        <v>1</v>
      </c>
      <c r="H1068" s="6">
        <v>0.05</v>
      </c>
      <c r="I1068" s="7">
        <v>249.5</v>
      </c>
      <c r="J1068" s="7">
        <v>4740.5</v>
      </c>
      <c r="K1068" s="7">
        <v>1106.56</v>
      </c>
      <c r="L1068" s="2" t="s">
        <v>581</v>
      </c>
      <c r="M1068" s="18" t="s">
        <v>713</v>
      </c>
      <c r="N1068" s="3" t="s">
        <v>22</v>
      </c>
      <c r="O1068" s="3" t="s">
        <v>45</v>
      </c>
      <c r="P1068">
        <f>DATEVALUE(OnePlusSalesData[[#This Row],[order_date]])</f>
        <v>43444</v>
      </c>
      <c r="Q1068" s="28">
        <f>DATEVALUE(OnePlusSalesData[[#This Row],[delivery_date]])</f>
        <v>43447</v>
      </c>
    </row>
    <row r="1069" spans="1:17" ht="16" x14ac:dyDescent="0.45">
      <c r="A1069" s="8" t="s">
        <v>2076</v>
      </c>
      <c r="B1069" s="8" t="s">
        <v>16</v>
      </c>
      <c r="C1069" s="9" t="s">
        <v>17</v>
      </c>
      <c r="D1069" s="9" t="s">
        <v>18</v>
      </c>
      <c r="E1069" s="9" t="s">
        <v>124</v>
      </c>
      <c r="F1069" s="10">
        <v>3990</v>
      </c>
      <c r="G1069" s="11">
        <v>1</v>
      </c>
      <c r="H1069" s="12">
        <v>0.08</v>
      </c>
      <c r="I1069" s="13">
        <v>319.2</v>
      </c>
      <c r="J1069" s="13">
        <v>3670.8</v>
      </c>
      <c r="K1069" s="13">
        <v>906.52</v>
      </c>
      <c r="L1069" s="8" t="s">
        <v>115</v>
      </c>
      <c r="M1069" s="19" t="s">
        <v>1018</v>
      </c>
      <c r="N1069" s="9" t="s">
        <v>22</v>
      </c>
      <c r="O1069" s="9" t="s">
        <v>96</v>
      </c>
      <c r="P1069">
        <f>DATEVALUE(OnePlusSalesData[[#This Row],[order_date]])</f>
        <v>43984</v>
      </c>
      <c r="Q1069" s="28">
        <f>DATEVALUE(OnePlusSalesData[[#This Row],[delivery_date]])</f>
        <v>43990</v>
      </c>
    </row>
    <row r="1070" spans="1:17" ht="16" x14ac:dyDescent="0.45">
      <c r="A1070" s="2" t="s">
        <v>2077</v>
      </c>
      <c r="B1070" s="2" t="s">
        <v>52</v>
      </c>
      <c r="C1070" s="3" t="s">
        <v>53</v>
      </c>
      <c r="D1070" s="3" t="s">
        <v>18</v>
      </c>
      <c r="E1070" s="3" t="s">
        <v>124</v>
      </c>
      <c r="F1070" s="4">
        <v>3990</v>
      </c>
      <c r="G1070" s="5">
        <v>2</v>
      </c>
      <c r="H1070" s="6">
        <v>0.12</v>
      </c>
      <c r="I1070" s="7">
        <v>957.6</v>
      </c>
      <c r="J1070" s="7">
        <v>7022.4</v>
      </c>
      <c r="K1070" s="7">
        <v>1466.23</v>
      </c>
      <c r="L1070" s="2" t="s">
        <v>2078</v>
      </c>
      <c r="M1070" s="18" t="s">
        <v>1260</v>
      </c>
      <c r="N1070" s="3" t="s">
        <v>22</v>
      </c>
      <c r="O1070" s="3" t="s">
        <v>31</v>
      </c>
      <c r="P1070">
        <f>DATEVALUE(OnePlusSalesData[[#This Row],[order_date]])</f>
        <v>43177</v>
      </c>
      <c r="Q1070" s="28">
        <f>DATEVALUE(OnePlusSalesData[[#This Row],[delivery_date]])</f>
        <v>43183</v>
      </c>
    </row>
    <row r="1071" spans="1:17" ht="16" x14ac:dyDescent="0.45">
      <c r="A1071" s="8" t="s">
        <v>2079</v>
      </c>
      <c r="B1071" s="8" t="s">
        <v>25</v>
      </c>
      <c r="C1071" s="9" t="s">
        <v>65</v>
      </c>
      <c r="D1071" s="9" t="s">
        <v>40</v>
      </c>
      <c r="E1071" s="9" t="s">
        <v>54</v>
      </c>
      <c r="F1071" s="10">
        <v>53999</v>
      </c>
      <c r="G1071" s="11">
        <v>4</v>
      </c>
      <c r="H1071" s="12">
        <v>0.12</v>
      </c>
      <c r="I1071" s="13">
        <v>25919.52</v>
      </c>
      <c r="J1071" s="13">
        <v>190076.48</v>
      </c>
      <c r="K1071" s="13">
        <v>40992.379999999997</v>
      </c>
      <c r="L1071" s="8" t="s">
        <v>1630</v>
      </c>
      <c r="M1071" s="19" t="s">
        <v>1377</v>
      </c>
      <c r="N1071" s="9" t="s">
        <v>22</v>
      </c>
      <c r="O1071" s="9" t="s">
        <v>23</v>
      </c>
      <c r="P1071">
        <f>DATEVALUE(OnePlusSalesData[[#This Row],[order_date]])</f>
        <v>43930</v>
      </c>
      <c r="Q1071" s="28">
        <f>DATEVALUE(OnePlusSalesData[[#This Row],[delivery_date]])</f>
        <v>43935</v>
      </c>
    </row>
    <row r="1072" spans="1:17" ht="16" x14ac:dyDescent="0.45">
      <c r="A1072" s="2" t="s">
        <v>2080</v>
      </c>
      <c r="B1072" s="2" t="s">
        <v>25</v>
      </c>
      <c r="C1072" s="3" t="s">
        <v>26</v>
      </c>
      <c r="D1072" s="3" t="s">
        <v>40</v>
      </c>
      <c r="E1072" s="3" t="s">
        <v>47</v>
      </c>
      <c r="F1072" s="4">
        <v>37999</v>
      </c>
      <c r="G1072" s="5">
        <v>1</v>
      </c>
      <c r="H1072" s="6">
        <v>0.12</v>
      </c>
      <c r="I1072" s="7">
        <v>4559.88</v>
      </c>
      <c r="J1072" s="7">
        <v>33439.120000000003</v>
      </c>
      <c r="K1072" s="7">
        <v>6154.67</v>
      </c>
      <c r="L1072" s="2" t="s">
        <v>1265</v>
      </c>
      <c r="M1072" s="18" t="s">
        <v>1831</v>
      </c>
      <c r="N1072" s="3" t="s">
        <v>22</v>
      </c>
      <c r="O1072" s="3" t="s">
        <v>31</v>
      </c>
      <c r="P1072">
        <f>DATEVALUE(OnePlusSalesData[[#This Row],[order_date]])</f>
        <v>43115</v>
      </c>
      <c r="Q1072" s="28">
        <f>DATEVALUE(OnePlusSalesData[[#This Row],[delivery_date]])</f>
        <v>43118</v>
      </c>
    </row>
    <row r="1073" spans="1:17" ht="16" x14ac:dyDescent="0.45">
      <c r="A1073" s="8" t="s">
        <v>2081</v>
      </c>
      <c r="B1073" s="8" t="s">
        <v>25</v>
      </c>
      <c r="C1073" s="9" t="s">
        <v>133</v>
      </c>
      <c r="D1073" s="9" t="s">
        <v>40</v>
      </c>
      <c r="E1073" s="9" t="s">
        <v>73</v>
      </c>
      <c r="F1073" s="10">
        <v>32999</v>
      </c>
      <c r="G1073" s="11">
        <v>1</v>
      </c>
      <c r="H1073" s="12">
        <v>0.08</v>
      </c>
      <c r="I1073" s="13">
        <v>2639.92</v>
      </c>
      <c r="J1073" s="13">
        <v>30359.08</v>
      </c>
      <c r="K1073" s="13">
        <v>6752.66</v>
      </c>
      <c r="L1073" s="8" t="s">
        <v>1039</v>
      </c>
      <c r="M1073" s="19" t="s">
        <v>1566</v>
      </c>
      <c r="N1073" s="9" t="s">
        <v>50</v>
      </c>
      <c r="O1073" s="9" t="s">
        <v>23</v>
      </c>
      <c r="P1073">
        <f>DATEVALUE(OnePlusSalesData[[#This Row],[order_date]])</f>
        <v>44027</v>
      </c>
      <c r="Q1073" s="28">
        <f>DATEVALUE(OnePlusSalesData[[#This Row],[delivery_date]])</f>
        <v>44032</v>
      </c>
    </row>
    <row r="1074" spans="1:17" ht="16" x14ac:dyDescent="0.45">
      <c r="A1074" s="2" t="s">
        <v>2082</v>
      </c>
      <c r="B1074" s="2" t="s">
        <v>25</v>
      </c>
      <c r="C1074" s="3" t="s">
        <v>120</v>
      </c>
      <c r="D1074" s="3" t="s">
        <v>18</v>
      </c>
      <c r="E1074" s="3" t="s">
        <v>19</v>
      </c>
      <c r="F1074" s="4">
        <v>1990</v>
      </c>
      <c r="G1074" s="5">
        <v>2</v>
      </c>
      <c r="H1074" s="6">
        <v>0.08</v>
      </c>
      <c r="I1074" s="7">
        <v>318.39999999999998</v>
      </c>
      <c r="J1074" s="7">
        <v>3661.6</v>
      </c>
      <c r="K1074" s="7">
        <v>548.98</v>
      </c>
      <c r="L1074" s="2" t="s">
        <v>2083</v>
      </c>
      <c r="M1074" s="18" t="s">
        <v>578</v>
      </c>
      <c r="N1074" s="3" t="s">
        <v>92</v>
      </c>
      <c r="O1074" s="3" t="s">
        <v>23</v>
      </c>
      <c r="P1074">
        <f>DATEVALUE(OnePlusSalesData[[#This Row],[order_date]])</f>
        <v>43340</v>
      </c>
      <c r="Q1074" s="28">
        <f>DATEVALUE(OnePlusSalesData[[#This Row],[delivery_date]])</f>
        <v>43346</v>
      </c>
    </row>
    <row r="1075" spans="1:17" ht="16" x14ac:dyDescent="0.45">
      <c r="A1075" s="8" t="s">
        <v>2084</v>
      </c>
      <c r="B1075" s="8" t="s">
        <v>25</v>
      </c>
      <c r="C1075" s="9" t="s">
        <v>120</v>
      </c>
      <c r="D1075" s="9" t="s">
        <v>85</v>
      </c>
      <c r="E1075" s="9" t="s">
        <v>265</v>
      </c>
      <c r="F1075" s="10">
        <v>4990</v>
      </c>
      <c r="G1075" s="11">
        <v>1</v>
      </c>
      <c r="H1075" s="12">
        <v>0.05</v>
      </c>
      <c r="I1075" s="13">
        <v>249.5</v>
      </c>
      <c r="J1075" s="13">
        <v>4740.5</v>
      </c>
      <c r="K1075" s="13">
        <v>851.9</v>
      </c>
      <c r="L1075" s="8" t="s">
        <v>2085</v>
      </c>
      <c r="M1075" s="19" t="s">
        <v>1331</v>
      </c>
      <c r="N1075" s="9" t="s">
        <v>22</v>
      </c>
      <c r="O1075" s="9" t="s">
        <v>31</v>
      </c>
      <c r="P1075">
        <f>DATEVALUE(OnePlusSalesData[[#This Row],[order_date]])</f>
        <v>43794</v>
      </c>
      <c r="Q1075" s="28">
        <f>DATEVALUE(OnePlusSalesData[[#This Row],[delivery_date]])</f>
        <v>43797</v>
      </c>
    </row>
    <row r="1076" spans="1:17" ht="16" x14ac:dyDescent="0.45">
      <c r="A1076" s="2" t="s">
        <v>2086</v>
      </c>
      <c r="B1076" s="2" t="s">
        <v>16</v>
      </c>
      <c r="C1076" s="3" t="s">
        <v>140</v>
      </c>
      <c r="D1076" s="3" t="s">
        <v>27</v>
      </c>
      <c r="E1076" s="3" t="s">
        <v>176</v>
      </c>
      <c r="F1076" s="4">
        <v>69900</v>
      </c>
      <c r="G1076" s="5">
        <v>1</v>
      </c>
      <c r="H1076" s="6">
        <v>0.05</v>
      </c>
      <c r="I1076" s="7">
        <v>3495</v>
      </c>
      <c r="J1076" s="7">
        <v>66405</v>
      </c>
      <c r="K1076" s="7">
        <v>10621.09</v>
      </c>
      <c r="L1076" s="2" t="s">
        <v>939</v>
      </c>
      <c r="M1076" s="18" t="s">
        <v>786</v>
      </c>
      <c r="N1076" s="3" t="s">
        <v>92</v>
      </c>
      <c r="O1076" s="3" t="s">
        <v>63</v>
      </c>
      <c r="P1076">
        <f>DATEVALUE(OnePlusSalesData[[#This Row],[order_date]])</f>
        <v>43824</v>
      </c>
      <c r="Q1076" s="28">
        <f>DATEVALUE(OnePlusSalesData[[#This Row],[delivery_date]])</f>
        <v>43828</v>
      </c>
    </row>
    <row r="1077" spans="1:17" ht="16" x14ac:dyDescent="0.45">
      <c r="A1077" s="8" t="s">
        <v>2087</v>
      </c>
      <c r="B1077" s="8" t="s">
        <v>52</v>
      </c>
      <c r="C1077" s="9" t="s">
        <v>106</v>
      </c>
      <c r="D1077" s="9" t="s">
        <v>27</v>
      </c>
      <c r="E1077" s="9" t="s">
        <v>176</v>
      </c>
      <c r="F1077" s="10">
        <v>69900</v>
      </c>
      <c r="G1077" s="11">
        <v>1</v>
      </c>
      <c r="H1077" s="12">
        <v>0.08</v>
      </c>
      <c r="I1077" s="13">
        <v>5592</v>
      </c>
      <c r="J1077" s="13">
        <v>64308</v>
      </c>
      <c r="K1077" s="13">
        <v>12740.18</v>
      </c>
      <c r="L1077" s="8" t="s">
        <v>2088</v>
      </c>
      <c r="M1077" s="19" t="s">
        <v>647</v>
      </c>
      <c r="N1077" s="9" t="s">
        <v>22</v>
      </c>
      <c r="O1077" s="9" t="s">
        <v>63</v>
      </c>
      <c r="P1077">
        <f>DATEVALUE(OnePlusSalesData[[#This Row],[order_date]])</f>
        <v>44190</v>
      </c>
      <c r="Q1077" s="28">
        <f>DATEVALUE(OnePlusSalesData[[#This Row],[delivery_date]])</f>
        <v>44197</v>
      </c>
    </row>
    <row r="1078" spans="1:17" ht="16" x14ac:dyDescent="0.45">
      <c r="A1078" s="2" t="s">
        <v>2089</v>
      </c>
      <c r="B1078" s="2" t="s">
        <v>16</v>
      </c>
      <c r="C1078" s="3" t="s">
        <v>140</v>
      </c>
      <c r="D1078" s="3" t="s">
        <v>85</v>
      </c>
      <c r="E1078" s="3" t="s">
        <v>258</v>
      </c>
      <c r="F1078" s="4">
        <v>2999</v>
      </c>
      <c r="G1078" s="5">
        <v>1</v>
      </c>
      <c r="H1078" s="6">
        <v>0</v>
      </c>
      <c r="I1078" s="7">
        <v>0</v>
      </c>
      <c r="J1078" s="7">
        <v>2999</v>
      </c>
      <c r="K1078" s="7">
        <v>771.13</v>
      </c>
      <c r="L1078" s="2" t="s">
        <v>2090</v>
      </c>
      <c r="M1078" s="18" t="s">
        <v>42</v>
      </c>
      <c r="N1078" s="3" t="s">
        <v>22</v>
      </c>
      <c r="O1078" s="3" t="s">
        <v>23</v>
      </c>
      <c r="P1078">
        <f>DATEVALUE(OnePlusSalesData[[#This Row],[order_date]])</f>
        <v>43486</v>
      </c>
      <c r="Q1078" s="28">
        <f>DATEVALUE(OnePlusSalesData[[#This Row],[delivery_date]])</f>
        <v>43488</v>
      </c>
    </row>
    <row r="1079" spans="1:17" ht="16" x14ac:dyDescent="0.45">
      <c r="A1079" s="8" t="s">
        <v>2091</v>
      </c>
      <c r="B1079" s="8" t="s">
        <v>16</v>
      </c>
      <c r="C1079" s="9" t="s">
        <v>17</v>
      </c>
      <c r="D1079" s="9" t="s">
        <v>27</v>
      </c>
      <c r="E1079" s="9" t="s">
        <v>176</v>
      </c>
      <c r="F1079" s="10">
        <v>69900</v>
      </c>
      <c r="G1079" s="11">
        <v>1</v>
      </c>
      <c r="H1079" s="12">
        <v>0.08</v>
      </c>
      <c r="I1079" s="13">
        <v>5592</v>
      </c>
      <c r="J1079" s="13">
        <v>64308</v>
      </c>
      <c r="K1079" s="13">
        <v>11410.82</v>
      </c>
      <c r="L1079" s="8" t="s">
        <v>1145</v>
      </c>
      <c r="M1079" s="19" t="s">
        <v>1933</v>
      </c>
      <c r="N1079" s="9" t="s">
        <v>50</v>
      </c>
      <c r="O1079" s="9" t="s">
        <v>63</v>
      </c>
      <c r="P1079">
        <f>DATEVALUE(OnePlusSalesData[[#This Row],[order_date]])</f>
        <v>44035</v>
      </c>
      <c r="Q1079" s="28">
        <f>DATEVALUE(OnePlusSalesData[[#This Row],[delivery_date]])</f>
        <v>44037</v>
      </c>
    </row>
    <row r="1080" spans="1:17" ht="16" x14ac:dyDescent="0.45">
      <c r="A1080" s="2" t="s">
        <v>2092</v>
      </c>
      <c r="B1080" s="2" t="s">
        <v>16</v>
      </c>
      <c r="C1080" s="3" t="s">
        <v>33</v>
      </c>
      <c r="D1080" s="3" t="s">
        <v>40</v>
      </c>
      <c r="E1080" s="3" t="s">
        <v>73</v>
      </c>
      <c r="F1080" s="4">
        <v>32999</v>
      </c>
      <c r="G1080" s="5">
        <v>1</v>
      </c>
      <c r="H1080" s="6">
        <v>0.05</v>
      </c>
      <c r="I1080" s="7">
        <v>1649.95</v>
      </c>
      <c r="J1080" s="7">
        <v>31349.05</v>
      </c>
      <c r="K1080" s="7">
        <v>7468.87</v>
      </c>
      <c r="L1080" s="2" t="s">
        <v>572</v>
      </c>
      <c r="M1080" s="18" t="s">
        <v>2093</v>
      </c>
      <c r="N1080" s="3" t="s">
        <v>22</v>
      </c>
      <c r="O1080" s="3" t="s">
        <v>63</v>
      </c>
      <c r="P1080">
        <f>DATEVALUE(OnePlusSalesData[[#This Row],[order_date]])</f>
        <v>43885</v>
      </c>
      <c r="Q1080" s="28">
        <f>DATEVALUE(OnePlusSalesData[[#This Row],[delivery_date]])</f>
        <v>43887</v>
      </c>
    </row>
    <row r="1081" spans="1:17" ht="16" x14ac:dyDescent="0.45">
      <c r="A1081" s="8" t="s">
        <v>2094</v>
      </c>
      <c r="B1081" s="8" t="s">
        <v>16</v>
      </c>
      <c r="C1081" s="9" t="s">
        <v>17</v>
      </c>
      <c r="D1081" s="9" t="s">
        <v>40</v>
      </c>
      <c r="E1081" s="9" t="s">
        <v>60</v>
      </c>
      <c r="F1081" s="10">
        <v>54999</v>
      </c>
      <c r="G1081" s="11">
        <v>2</v>
      </c>
      <c r="H1081" s="12">
        <v>0.08</v>
      </c>
      <c r="I1081" s="13">
        <v>8799.84</v>
      </c>
      <c r="J1081" s="13">
        <v>101198.16</v>
      </c>
      <c r="K1081" s="13">
        <v>16352.36</v>
      </c>
      <c r="L1081" s="8" t="s">
        <v>1319</v>
      </c>
      <c r="M1081" s="19" t="s">
        <v>164</v>
      </c>
      <c r="N1081" s="9" t="s">
        <v>92</v>
      </c>
      <c r="O1081" s="9" t="s">
        <v>96</v>
      </c>
      <c r="P1081">
        <f>DATEVALUE(OnePlusSalesData[[#This Row],[order_date]])</f>
        <v>44108</v>
      </c>
      <c r="Q1081" s="28">
        <f>DATEVALUE(OnePlusSalesData[[#This Row],[delivery_date]])</f>
        <v>44115</v>
      </c>
    </row>
    <row r="1082" spans="1:17" ht="16" x14ac:dyDescent="0.45">
      <c r="A1082" s="2" t="s">
        <v>2095</v>
      </c>
      <c r="B1082" s="2" t="s">
        <v>16</v>
      </c>
      <c r="C1082" s="3" t="s">
        <v>33</v>
      </c>
      <c r="D1082" s="3" t="s">
        <v>27</v>
      </c>
      <c r="E1082" s="3" t="s">
        <v>176</v>
      </c>
      <c r="F1082" s="4">
        <v>69900</v>
      </c>
      <c r="G1082" s="5">
        <v>2</v>
      </c>
      <c r="H1082" s="6">
        <v>0.1</v>
      </c>
      <c r="I1082" s="7">
        <v>13980</v>
      </c>
      <c r="J1082" s="7">
        <v>125820</v>
      </c>
      <c r="K1082" s="7">
        <v>30993.1</v>
      </c>
      <c r="L1082" s="2" t="s">
        <v>483</v>
      </c>
      <c r="M1082" s="18" t="s">
        <v>1036</v>
      </c>
      <c r="N1082" s="3" t="s">
        <v>22</v>
      </c>
      <c r="O1082" s="3" t="s">
        <v>31</v>
      </c>
      <c r="P1082">
        <f>DATEVALUE(OnePlusSalesData[[#This Row],[order_date]])</f>
        <v>43565</v>
      </c>
      <c r="Q1082" s="28">
        <f>DATEVALUE(OnePlusSalesData[[#This Row],[delivery_date]])</f>
        <v>43572</v>
      </c>
    </row>
    <row r="1083" spans="1:17" ht="16" x14ac:dyDescent="0.45">
      <c r="A1083" s="8" t="s">
        <v>2096</v>
      </c>
      <c r="B1083" s="8" t="s">
        <v>25</v>
      </c>
      <c r="C1083" s="9" t="s">
        <v>65</v>
      </c>
      <c r="D1083" s="9" t="s">
        <v>27</v>
      </c>
      <c r="E1083" s="9" t="s">
        <v>28</v>
      </c>
      <c r="F1083" s="10">
        <v>12999</v>
      </c>
      <c r="G1083" s="11">
        <v>1</v>
      </c>
      <c r="H1083" s="12">
        <v>0.08</v>
      </c>
      <c r="I1083" s="13">
        <v>1039.92</v>
      </c>
      <c r="J1083" s="13">
        <v>11959.08</v>
      </c>
      <c r="K1083" s="13">
        <v>3018.01</v>
      </c>
      <c r="L1083" s="8" t="s">
        <v>1372</v>
      </c>
      <c r="M1083" s="19" t="s">
        <v>1214</v>
      </c>
      <c r="N1083" s="9" t="s">
        <v>22</v>
      </c>
      <c r="O1083" s="9" t="s">
        <v>63</v>
      </c>
      <c r="P1083">
        <f>DATEVALUE(OnePlusSalesData[[#This Row],[order_date]])</f>
        <v>43428</v>
      </c>
      <c r="Q1083" s="28">
        <f>DATEVALUE(OnePlusSalesData[[#This Row],[delivery_date]])</f>
        <v>43431</v>
      </c>
    </row>
    <row r="1084" spans="1:17" ht="16" x14ac:dyDescent="0.45">
      <c r="A1084" s="2" t="s">
        <v>2097</v>
      </c>
      <c r="B1084" s="2" t="s">
        <v>25</v>
      </c>
      <c r="C1084" s="3" t="s">
        <v>120</v>
      </c>
      <c r="D1084" s="3" t="s">
        <v>18</v>
      </c>
      <c r="E1084" s="3" t="s">
        <v>102</v>
      </c>
      <c r="F1084" s="4">
        <v>1490</v>
      </c>
      <c r="G1084" s="5">
        <v>5</v>
      </c>
      <c r="H1084" s="6">
        <v>0.08</v>
      </c>
      <c r="I1084" s="7">
        <v>596</v>
      </c>
      <c r="J1084" s="7">
        <v>6854</v>
      </c>
      <c r="K1084" s="7">
        <v>1729.52</v>
      </c>
      <c r="L1084" s="2" t="s">
        <v>477</v>
      </c>
      <c r="M1084" s="18" t="s">
        <v>478</v>
      </c>
      <c r="N1084" s="3" t="s">
        <v>22</v>
      </c>
      <c r="O1084" s="3" t="s">
        <v>23</v>
      </c>
      <c r="P1084">
        <f>DATEVALUE(OnePlusSalesData[[#This Row],[order_date]])</f>
        <v>43894</v>
      </c>
      <c r="Q1084" s="28">
        <f>DATEVALUE(OnePlusSalesData[[#This Row],[delivery_date]])</f>
        <v>43899</v>
      </c>
    </row>
    <row r="1085" spans="1:17" ht="16" x14ac:dyDescent="0.45">
      <c r="A1085" s="8" t="s">
        <v>2098</v>
      </c>
      <c r="B1085" s="8" t="s">
        <v>52</v>
      </c>
      <c r="C1085" s="9" t="s">
        <v>358</v>
      </c>
      <c r="D1085" s="9" t="s">
        <v>40</v>
      </c>
      <c r="E1085" s="9" t="s">
        <v>60</v>
      </c>
      <c r="F1085" s="10">
        <v>54999</v>
      </c>
      <c r="G1085" s="11">
        <v>1</v>
      </c>
      <c r="H1085" s="12">
        <v>0.15</v>
      </c>
      <c r="I1085" s="13">
        <v>8249.85</v>
      </c>
      <c r="J1085" s="13">
        <v>46749.15</v>
      </c>
      <c r="K1085" s="13">
        <v>6609.8</v>
      </c>
      <c r="L1085" s="8" t="s">
        <v>2099</v>
      </c>
      <c r="M1085" s="19" t="s">
        <v>2100</v>
      </c>
      <c r="N1085" s="9" t="s">
        <v>22</v>
      </c>
      <c r="O1085" s="9" t="s">
        <v>31</v>
      </c>
      <c r="P1085">
        <f>DATEVALUE(OnePlusSalesData[[#This Row],[order_date]])</f>
        <v>43786</v>
      </c>
      <c r="Q1085" s="28">
        <f>DATEVALUE(OnePlusSalesData[[#This Row],[delivery_date]])</f>
        <v>43789</v>
      </c>
    </row>
    <row r="1086" spans="1:17" ht="16" x14ac:dyDescent="0.45">
      <c r="A1086" s="2" t="s">
        <v>2101</v>
      </c>
      <c r="B1086" s="2" t="s">
        <v>25</v>
      </c>
      <c r="C1086" s="3" t="s">
        <v>65</v>
      </c>
      <c r="D1086" s="3" t="s">
        <v>40</v>
      </c>
      <c r="E1086" s="3" t="s">
        <v>73</v>
      </c>
      <c r="F1086" s="4">
        <v>32999</v>
      </c>
      <c r="G1086" s="5">
        <v>1</v>
      </c>
      <c r="H1086" s="6">
        <v>0.08</v>
      </c>
      <c r="I1086" s="7">
        <v>2639.92</v>
      </c>
      <c r="J1086" s="7">
        <v>30359.08</v>
      </c>
      <c r="K1086" s="7">
        <v>7502.61</v>
      </c>
      <c r="L1086" s="2" t="s">
        <v>2102</v>
      </c>
      <c r="M1086" s="18" t="s">
        <v>1036</v>
      </c>
      <c r="N1086" s="3" t="s">
        <v>50</v>
      </c>
      <c r="O1086" s="3" t="s">
        <v>31</v>
      </c>
      <c r="P1086">
        <f>DATEVALUE(OnePlusSalesData[[#This Row],[order_date]])</f>
        <v>43568</v>
      </c>
      <c r="Q1086" s="28">
        <f>DATEVALUE(OnePlusSalesData[[#This Row],[delivery_date]])</f>
        <v>43572</v>
      </c>
    </row>
    <row r="1087" spans="1:17" ht="16" x14ac:dyDescent="0.45">
      <c r="A1087" s="8" t="s">
        <v>2103</v>
      </c>
      <c r="B1087" s="8" t="s">
        <v>16</v>
      </c>
      <c r="C1087" s="9" t="s">
        <v>140</v>
      </c>
      <c r="D1087" s="9" t="s">
        <v>85</v>
      </c>
      <c r="E1087" s="9" t="s">
        <v>265</v>
      </c>
      <c r="F1087" s="10">
        <v>4990</v>
      </c>
      <c r="G1087" s="11">
        <v>1</v>
      </c>
      <c r="H1087" s="12">
        <v>0.1</v>
      </c>
      <c r="I1087" s="13">
        <v>499</v>
      </c>
      <c r="J1087" s="13">
        <v>4491</v>
      </c>
      <c r="K1087" s="13">
        <v>1121.72</v>
      </c>
      <c r="L1087" s="8" t="s">
        <v>632</v>
      </c>
      <c r="M1087" s="19" t="s">
        <v>851</v>
      </c>
      <c r="N1087" s="9" t="s">
        <v>22</v>
      </c>
      <c r="O1087" s="9" t="s">
        <v>63</v>
      </c>
      <c r="P1087">
        <f>DATEVALUE(OnePlusSalesData[[#This Row],[order_date]])</f>
        <v>43283</v>
      </c>
      <c r="Q1087" s="28">
        <f>DATEVALUE(OnePlusSalesData[[#This Row],[delivery_date]])</f>
        <v>43289</v>
      </c>
    </row>
    <row r="1088" spans="1:17" ht="16" x14ac:dyDescent="0.45">
      <c r="A1088" s="2" t="s">
        <v>2104</v>
      </c>
      <c r="B1088" s="2" t="s">
        <v>16</v>
      </c>
      <c r="C1088" s="3" t="s">
        <v>152</v>
      </c>
      <c r="D1088" s="3" t="s">
        <v>85</v>
      </c>
      <c r="E1088" s="3" t="s">
        <v>265</v>
      </c>
      <c r="F1088" s="4">
        <v>4990</v>
      </c>
      <c r="G1088" s="5">
        <v>2</v>
      </c>
      <c r="H1088" s="6">
        <v>0.1</v>
      </c>
      <c r="I1088" s="7">
        <v>998</v>
      </c>
      <c r="J1088" s="7">
        <v>8982</v>
      </c>
      <c r="K1088" s="7">
        <v>2139.59</v>
      </c>
      <c r="L1088" s="2" t="s">
        <v>1018</v>
      </c>
      <c r="M1088" s="18" t="s">
        <v>1237</v>
      </c>
      <c r="N1088" s="3" t="s">
        <v>22</v>
      </c>
      <c r="O1088" s="3" t="s">
        <v>23</v>
      </c>
      <c r="P1088">
        <f>DATEVALUE(OnePlusSalesData[[#This Row],[order_date]])</f>
        <v>43990</v>
      </c>
      <c r="Q1088" s="28">
        <f>DATEVALUE(OnePlusSalesData[[#This Row],[delivery_date]])</f>
        <v>43997</v>
      </c>
    </row>
    <row r="1089" spans="1:17" ht="16" x14ac:dyDescent="0.45">
      <c r="A1089" s="8" t="s">
        <v>2105</v>
      </c>
      <c r="B1089" s="8" t="s">
        <v>25</v>
      </c>
      <c r="C1089" s="9" t="s">
        <v>120</v>
      </c>
      <c r="D1089" s="9" t="s">
        <v>40</v>
      </c>
      <c r="E1089" s="9" t="s">
        <v>47</v>
      </c>
      <c r="F1089" s="10">
        <v>37999</v>
      </c>
      <c r="G1089" s="11">
        <v>1</v>
      </c>
      <c r="H1089" s="12">
        <v>0</v>
      </c>
      <c r="I1089" s="13">
        <v>0</v>
      </c>
      <c r="J1089" s="13">
        <v>37999</v>
      </c>
      <c r="K1089" s="13">
        <v>9781.68</v>
      </c>
      <c r="L1089" s="8" t="s">
        <v>960</v>
      </c>
      <c r="M1089" s="19" t="s">
        <v>2106</v>
      </c>
      <c r="N1089" s="9" t="s">
        <v>92</v>
      </c>
      <c r="O1089" s="9" t="s">
        <v>31</v>
      </c>
      <c r="P1089">
        <f>DATEVALUE(OnePlusSalesData[[#This Row],[order_date]])</f>
        <v>43509</v>
      </c>
      <c r="Q1089" s="28">
        <f>DATEVALUE(OnePlusSalesData[[#This Row],[delivery_date]])</f>
        <v>43514</v>
      </c>
    </row>
    <row r="1090" spans="1:17" ht="16" x14ac:dyDescent="0.45">
      <c r="A1090" s="2" t="s">
        <v>2107</v>
      </c>
      <c r="B1090" s="2" t="s">
        <v>25</v>
      </c>
      <c r="C1090" s="3" t="s">
        <v>133</v>
      </c>
      <c r="D1090" s="3" t="s">
        <v>18</v>
      </c>
      <c r="E1090" s="3" t="s">
        <v>179</v>
      </c>
      <c r="F1090" s="4">
        <v>1290</v>
      </c>
      <c r="G1090" s="5">
        <v>1</v>
      </c>
      <c r="H1090" s="6">
        <v>0</v>
      </c>
      <c r="I1090" s="7">
        <v>0</v>
      </c>
      <c r="J1090" s="7">
        <v>1290</v>
      </c>
      <c r="K1090" s="7">
        <v>281.26</v>
      </c>
      <c r="L1090" s="2" t="s">
        <v>1392</v>
      </c>
      <c r="M1090" s="18" t="s">
        <v>374</v>
      </c>
      <c r="N1090" s="3" t="s">
        <v>22</v>
      </c>
      <c r="O1090" s="3" t="s">
        <v>31</v>
      </c>
      <c r="P1090">
        <f>DATEVALUE(OnePlusSalesData[[#This Row],[order_date]])</f>
        <v>44163</v>
      </c>
      <c r="Q1090" s="28">
        <f>DATEVALUE(OnePlusSalesData[[#This Row],[delivery_date]])</f>
        <v>44168</v>
      </c>
    </row>
    <row r="1091" spans="1:17" ht="16" x14ac:dyDescent="0.45">
      <c r="A1091" s="8" t="s">
        <v>2108</v>
      </c>
      <c r="B1091" s="8" t="s">
        <v>58</v>
      </c>
      <c r="C1091" s="9" t="s">
        <v>59</v>
      </c>
      <c r="D1091" s="9" t="s">
        <v>40</v>
      </c>
      <c r="E1091" s="9" t="s">
        <v>98</v>
      </c>
      <c r="F1091" s="10">
        <v>34999</v>
      </c>
      <c r="G1091" s="11">
        <v>1</v>
      </c>
      <c r="H1091" s="12">
        <v>0.05</v>
      </c>
      <c r="I1091" s="13">
        <v>1749.95</v>
      </c>
      <c r="J1091" s="13">
        <v>33249.050000000003</v>
      </c>
      <c r="K1091" s="13">
        <v>5862.18</v>
      </c>
      <c r="L1091" s="8" t="s">
        <v>1201</v>
      </c>
      <c r="M1091" s="19" t="s">
        <v>1117</v>
      </c>
      <c r="N1091" s="9" t="s">
        <v>22</v>
      </c>
      <c r="O1091" s="9" t="s">
        <v>63</v>
      </c>
      <c r="P1091">
        <f>DATEVALUE(OnePlusSalesData[[#This Row],[order_date]])</f>
        <v>43584</v>
      </c>
      <c r="Q1091" s="28">
        <f>DATEVALUE(OnePlusSalesData[[#This Row],[delivery_date]])</f>
        <v>43586</v>
      </c>
    </row>
    <row r="1092" spans="1:17" ht="16" x14ac:dyDescent="0.45">
      <c r="A1092" s="2" t="s">
        <v>2109</v>
      </c>
      <c r="B1092" s="2" t="s">
        <v>16</v>
      </c>
      <c r="C1092" s="3" t="s">
        <v>33</v>
      </c>
      <c r="D1092" s="3" t="s">
        <v>27</v>
      </c>
      <c r="E1092" s="3" t="s">
        <v>159</v>
      </c>
      <c r="F1092" s="4">
        <v>22999</v>
      </c>
      <c r="G1092" s="5">
        <v>1</v>
      </c>
      <c r="H1092" s="6">
        <v>0.05</v>
      </c>
      <c r="I1092" s="7">
        <v>1149.95</v>
      </c>
      <c r="J1092" s="7">
        <v>21849.05</v>
      </c>
      <c r="K1092" s="7">
        <v>4401.0200000000004</v>
      </c>
      <c r="L1092" s="2" t="s">
        <v>760</v>
      </c>
      <c r="M1092" s="18" t="s">
        <v>586</v>
      </c>
      <c r="N1092" s="3" t="s">
        <v>22</v>
      </c>
      <c r="O1092" s="3" t="s">
        <v>23</v>
      </c>
      <c r="P1092">
        <f>DATEVALUE(OnePlusSalesData[[#This Row],[order_date]])</f>
        <v>43658</v>
      </c>
      <c r="Q1092" s="28">
        <f>DATEVALUE(OnePlusSalesData[[#This Row],[delivery_date]])</f>
        <v>43660</v>
      </c>
    </row>
    <row r="1093" spans="1:17" ht="16" x14ac:dyDescent="0.45">
      <c r="A1093" s="8" t="s">
        <v>2110</v>
      </c>
      <c r="B1093" s="8" t="s">
        <v>25</v>
      </c>
      <c r="C1093" s="9" t="s">
        <v>133</v>
      </c>
      <c r="D1093" s="9" t="s">
        <v>85</v>
      </c>
      <c r="E1093" s="9" t="s">
        <v>258</v>
      </c>
      <c r="F1093" s="10">
        <v>2999</v>
      </c>
      <c r="G1093" s="11">
        <v>1</v>
      </c>
      <c r="H1093" s="12">
        <v>0.08</v>
      </c>
      <c r="I1093" s="13">
        <v>239.92</v>
      </c>
      <c r="J1093" s="13">
        <v>2759.08</v>
      </c>
      <c r="K1093" s="13">
        <v>633.6</v>
      </c>
      <c r="L1093" s="8" t="s">
        <v>137</v>
      </c>
      <c r="M1093" s="19" t="s">
        <v>349</v>
      </c>
      <c r="N1093" s="9" t="s">
        <v>92</v>
      </c>
      <c r="O1093" s="9" t="s">
        <v>23</v>
      </c>
      <c r="P1093">
        <f>DATEVALUE(OnePlusSalesData[[#This Row],[order_date]])</f>
        <v>44028</v>
      </c>
      <c r="Q1093" s="28">
        <f>DATEVALUE(OnePlusSalesData[[#This Row],[delivery_date]])</f>
        <v>44034</v>
      </c>
    </row>
    <row r="1094" spans="1:17" ht="16" x14ac:dyDescent="0.45">
      <c r="A1094" s="2" t="s">
        <v>2111</v>
      </c>
      <c r="B1094" s="2" t="s">
        <v>25</v>
      </c>
      <c r="C1094" s="3" t="s">
        <v>26</v>
      </c>
      <c r="D1094" s="3" t="s">
        <v>18</v>
      </c>
      <c r="E1094" s="3" t="s">
        <v>19</v>
      </c>
      <c r="F1094" s="4">
        <v>1990</v>
      </c>
      <c r="G1094" s="5">
        <v>3</v>
      </c>
      <c r="H1094" s="6">
        <v>0.05</v>
      </c>
      <c r="I1094" s="7">
        <v>298.5</v>
      </c>
      <c r="J1094" s="7">
        <v>5671.5</v>
      </c>
      <c r="K1094" s="7">
        <v>1370.31</v>
      </c>
      <c r="L1094" s="2" t="s">
        <v>753</v>
      </c>
      <c r="M1094" s="18" t="s">
        <v>355</v>
      </c>
      <c r="N1094" s="3" t="s">
        <v>22</v>
      </c>
      <c r="O1094" s="3" t="s">
        <v>23</v>
      </c>
      <c r="P1094">
        <f>DATEVALUE(OnePlusSalesData[[#This Row],[order_date]])</f>
        <v>43589</v>
      </c>
      <c r="Q1094" s="28">
        <f>DATEVALUE(OnePlusSalesData[[#This Row],[delivery_date]])</f>
        <v>43594</v>
      </c>
    </row>
    <row r="1095" spans="1:17" ht="16" x14ac:dyDescent="0.45">
      <c r="A1095" s="8" t="s">
        <v>2112</v>
      </c>
      <c r="B1095" s="8" t="s">
        <v>25</v>
      </c>
      <c r="C1095" s="9" t="s">
        <v>120</v>
      </c>
      <c r="D1095" s="9" t="s">
        <v>34</v>
      </c>
      <c r="E1095" s="9" t="s">
        <v>77</v>
      </c>
      <c r="F1095" s="10">
        <v>24999</v>
      </c>
      <c r="G1095" s="11">
        <v>1</v>
      </c>
      <c r="H1095" s="12">
        <v>0</v>
      </c>
      <c r="I1095" s="13">
        <v>0</v>
      </c>
      <c r="J1095" s="13">
        <v>24999</v>
      </c>
      <c r="K1095" s="13">
        <v>3857.53</v>
      </c>
      <c r="L1095" s="8" t="s">
        <v>1500</v>
      </c>
      <c r="M1095" s="19" t="s">
        <v>1812</v>
      </c>
      <c r="N1095" s="9" t="s">
        <v>22</v>
      </c>
      <c r="O1095" s="9" t="s">
        <v>63</v>
      </c>
      <c r="P1095">
        <f>DATEVALUE(OnePlusSalesData[[#This Row],[order_date]])</f>
        <v>43184</v>
      </c>
      <c r="Q1095" s="28">
        <f>DATEVALUE(OnePlusSalesData[[#This Row],[delivery_date]])</f>
        <v>43191</v>
      </c>
    </row>
    <row r="1096" spans="1:17" ht="16" x14ac:dyDescent="0.45">
      <c r="A1096" s="2" t="s">
        <v>2113</v>
      </c>
      <c r="B1096" s="2" t="s">
        <v>25</v>
      </c>
      <c r="C1096" s="3" t="s">
        <v>65</v>
      </c>
      <c r="D1096" s="3" t="s">
        <v>85</v>
      </c>
      <c r="E1096" s="3" t="s">
        <v>86</v>
      </c>
      <c r="F1096" s="4">
        <v>1999</v>
      </c>
      <c r="G1096" s="5">
        <v>1</v>
      </c>
      <c r="H1096" s="6">
        <v>0</v>
      </c>
      <c r="I1096" s="7">
        <v>0</v>
      </c>
      <c r="J1096" s="7">
        <v>1999</v>
      </c>
      <c r="K1096" s="7">
        <v>494.34</v>
      </c>
      <c r="L1096" s="2" t="s">
        <v>2114</v>
      </c>
      <c r="M1096" s="18" t="s">
        <v>2085</v>
      </c>
      <c r="N1096" s="3" t="s">
        <v>50</v>
      </c>
      <c r="O1096" s="3" t="s">
        <v>45</v>
      </c>
      <c r="P1096">
        <f>DATEVALUE(OnePlusSalesData[[#This Row],[order_date]])</f>
        <v>43790</v>
      </c>
      <c r="Q1096" s="28">
        <f>DATEVALUE(OnePlusSalesData[[#This Row],[delivery_date]])</f>
        <v>43794</v>
      </c>
    </row>
    <row r="1097" spans="1:17" ht="16" x14ac:dyDescent="0.45">
      <c r="A1097" s="8" t="s">
        <v>2115</v>
      </c>
      <c r="B1097" s="8" t="s">
        <v>16</v>
      </c>
      <c r="C1097" s="9" t="s">
        <v>17</v>
      </c>
      <c r="D1097" s="9" t="s">
        <v>40</v>
      </c>
      <c r="E1097" s="9" t="s">
        <v>54</v>
      </c>
      <c r="F1097" s="10">
        <v>53999</v>
      </c>
      <c r="G1097" s="11">
        <v>1</v>
      </c>
      <c r="H1097" s="12">
        <v>0.05</v>
      </c>
      <c r="I1097" s="13">
        <v>2699.95</v>
      </c>
      <c r="J1097" s="13">
        <v>51299.05</v>
      </c>
      <c r="K1097" s="13">
        <v>10498.49</v>
      </c>
      <c r="L1097" s="8" t="s">
        <v>751</v>
      </c>
      <c r="M1097" s="19" t="s">
        <v>231</v>
      </c>
      <c r="N1097" s="9" t="s">
        <v>22</v>
      </c>
      <c r="O1097" s="9" t="s">
        <v>96</v>
      </c>
      <c r="P1097">
        <f>DATEVALUE(OnePlusSalesData[[#This Row],[order_date]])</f>
        <v>43864</v>
      </c>
      <c r="Q1097" s="28">
        <f>DATEVALUE(OnePlusSalesData[[#This Row],[delivery_date]])</f>
        <v>43871</v>
      </c>
    </row>
    <row r="1098" spans="1:17" ht="16" x14ac:dyDescent="0.45">
      <c r="A1098" s="2" t="s">
        <v>2116</v>
      </c>
      <c r="B1098" s="2" t="s">
        <v>52</v>
      </c>
      <c r="C1098" s="3" t="s">
        <v>106</v>
      </c>
      <c r="D1098" s="3" t="s">
        <v>40</v>
      </c>
      <c r="E1098" s="3" t="s">
        <v>148</v>
      </c>
      <c r="F1098" s="4">
        <v>41999</v>
      </c>
      <c r="G1098" s="5">
        <v>3</v>
      </c>
      <c r="H1098" s="6">
        <v>0.05</v>
      </c>
      <c r="I1098" s="7">
        <v>6299.85</v>
      </c>
      <c r="J1098" s="7">
        <v>119697.15</v>
      </c>
      <c r="K1098" s="7">
        <v>24209.59</v>
      </c>
      <c r="L1098" s="2" t="s">
        <v>821</v>
      </c>
      <c r="M1098" s="18" t="s">
        <v>1299</v>
      </c>
      <c r="N1098" s="3" t="s">
        <v>22</v>
      </c>
      <c r="O1098" s="3" t="s">
        <v>146</v>
      </c>
      <c r="P1098">
        <f>DATEVALUE(OnePlusSalesData[[#This Row],[order_date]])</f>
        <v>44176</v>
      </c>
      <c r="Q1098" s="28">
        <f>DATEVALUE(OnePlusSalesData[[#This Row],[delivery_date]])</f>
        <v>44178</v>
      </c>
    </row>
    <row r="1099" spans="1:17" ht="16" x14ac:dyDescent="0.45">
      <c r="A1099" s="8" t="s">
        <v>2117</v>
      </c>
      <c r="B1099" s="8" t="s">
        <v>16</v>
      </c>
      <c r="C1099" s="9" t="s">
        <v>39</v>
      </c>
      <c r="D1099" s="9" t="s">
        <v>34</v>
      </c>
      <c r="E1099" s="9" t="s">
        <v>77</v>
      </c>
      <c r="F1099" s="10">
        <v>24999</v>
      </c>
      <c r="G1099" s="11">
        <v>1</v>
      </c>
      <c r="H1099" s="12">
        <v>0</v>
      </c>
      <c r="I1099" s="13">
        <v>0</v>
      </c>
      <c r="J1099" s="13">
        <v>24999</v>
      </c>
      <c r="K1099" s="13">
        <v>4052.83</v>
      </c>
      <c r="L1099" s="8" t="s">
        <v>1493</v>
      </c>
      <c r="M1099" s="19" t="s">
        <v>2118</v>
      </c>
      <c r="N1099" s="9" t="s">
        <v>92</v>
      </c>
      <c r="O1099" s="9" t="s">
        <v>31</v>
      </c>
      <c r="P1099">
        <f>DATEVALUE(OnePlusSalesData[[#This Row],[order_date]])</f>
        <v>43537</v>
      </c>
      <c r="Q1099" s="28">
        <f>DATEVALUE(OnePlusSalesData[[#This Row],[delivery_date]])</f>
        <v>43540</v>
      </c>
    </row>
    <row r="1100" spans="1:17" ht="16" x14ac:dyDescent="0.45">
      <c r="A1100" s="2" t="s">
        <v>2119</v>
      </c>
      <c r="B1100" s="2" t="s">
        <v>16</v>
      </c>
      <c r="C1100" s="3" t="s">
        <v>140</v>
      </c>
      <c r="D1100" s="3" t="s">
        <v>27</v>
      </c>
      <c r="E1100" s="3" t="s">
        <v>176</v>
      </c>
      <c r="F1100" s="4">
        <v>69900</v>
      </c>
      <c r="G1100" s="5">
        <v>1</v>
      </c>
      <c r="H1100" s="6">
        <v>0.05</v>
      </c>
      <c r="I1100" s="7">
        <v>3495</v>
      </c>
      <c r="J1100" s="7">
        <v>66405</v>
      </c>
      <c r="K1100" s="7">
        <v>11292.38</v>
      </c>
      <c r="L1100" s="2" t="s">
        <v>1921</v>
      </c>
      <c r="M1100" s="18" t="s">
        <v>1224</v>
      </c>
      <c r="N1100" s="3" t="s">
        <v>22</v>
      </c>
      <c r="O1100" s="3" t="s">
        <v>23</v>
      </c>
      <c r="P1100">
        <f>DATEVALUE(OnePlusSalesData[[#This Row],[order_date]])</f>
        <v>43474</v>
      </c>
      <c r="Q1100" s="28">
        <f>DATEVALUE(OnePlusSalesData[[#This Row],[delivery_date]])</f>
        <v>43479</v>
      </c>
    </row>
    <row r="1101" spans="1:17" ht="16" x14ac:dyDescent="0.45">
      <c r="A1101" s="8" t="s">
        <v>2120</v>
      </c>
      <c r="B1101" s="8" t="s">
        <v>25</v>
      </c>
      <c r="C1101" s="9" t="s">
        <v>133</v>
      </c>
      <c r="D1101" s="9" t="s">
        <v>34</v>
      </c>
      <c r="E1101" s="9" t="s">
        <v>77</v>
      </c>
      <c r="F1101" s="10">
        <v>24999</v>
      </c>
      <c r="G1101" s="11">
        <v>1</v>
      </c>
      <c r="H1101" s="12">
        <v>0</v>
      </c>
      <c r="I1101" s="13">
        <v>0</v>
      </c>
      <c r="J1101" s="13">
        <v>24999</v>
      </c>
      <c r="K1101" s="13">
        <v>5059.8599999999997</v>
      </c>
      <c r="L1101" s="8" t="s">
        <v>1333</v>
      </c>
      <c r="M1101" s="19" t="s">
        <v>144</v>
      </c>
      <c r="N1101" s="9" t="s">
        <v>22</v>
      </c>
      <c r="O1101" s="9" t="s">
        <v>96</v>
      </c>
      <c r="P1101">
        <f>DATEVALUE(OnePlusSalesData[[#This Row],[order_date]])</f>
        <v>43854</v>
      </c>
      <c r="Q1101" s="28">
        <f>DATEVALUE(OnePlusSalesData[[#This Row],[delivery_date]])</f>
        <v>43859</v>
      </c>
    </row>
    <row r="1102" spans="1:17" ht="16" x14ac:dyDescent="0.45">
      <c r="A1102" s="2" t="s">
        <v>2121</v>
      </c>
      <c r="B1102" s="2" t="s">
        <v>52</v>
      </c>
      <c r="C1102" s="3" t="s">
        <v>358</v>
      </c>
      <c r="D1102" s="3" t="s">
        <v>27</v>
      </c>
      <c r="E1102" s="3" t="s">
        <v>176</v>
      </c>
      <c r="F1102" s="4">
        <v>69900</v>
      </c>
      <c r="G1102" s="5">
        <v>1</v>
      </c>
      <c r="H1102" s="6">
        <v>0.08</v>
      </c>
      <c r="I1102" s="7">
        <v>5592</v>
      </c>
      <c r="J1102" s="7">
        <v>64308</v>
      </c>
      <c r="K1102" s="7">
        <v>13617.32</v>
      </c>
      <c r="L1102" s="2" t="s">
        <v>297</v>
      </c>
      <c r="M1102" s="18" t="s">
        <v>1445</v>
      </c>
      <c r="N1102" s="3" t="s">
        <v>50</v>
      </c>
      <c r="O1102" s="3" t="s">
        <v>31</v>
      </c>
      <c r="P1102">
        <f>DATEVALUE(OnePlusSalesData[[#This Row],[order_date]])</f>
        <v>43716</v>
      </c>
      <c r="Q1102" s="28">
        <f>DATEVALUE(OnePlusSalesData[[#This Row],[delivery_date]])</f>
        <v>43721</v>
      </c>
    </row>
    <row r="1103" spans="1:17" ht="16" x14ac:dyDescent="0.45">
      <c r="A1103" s="8" t="s">
        <v>2122</v>
      </c>
      <c r="B1103" s="8" t="s">
        <v>58</v>
      </c>
      <c r="C1103" s="9" t="s">
        <v>221</v>
      </c>
      <c r="D1103" s="9" t="s">
        <v>18</v>
      </c>
      <c r="E1103" s="9" t="s">
        <v>124</v>
      </c>
      <c r="F1103" s="10">
        <v>3990</v>
      </c>
      <c r="G1103" s="11">
        <v>1</v>
      </c>
      <c r="H1103" s="12">
        <v>0</v>
      </c>
      <c r="I1103" s="13">
        <v>0</v>
      </c>
      <c r="J1103" s="13">
        <v>3990</v>
      </c>
      <c r="K1103" s="13">
        <v>859.94</v>
      </c>
      <c r="L1103" s="8" t="s">
        <v>761</v>
      </c>
      <c r="M1103" s="19" t="s">
        <v>1327</v>
      </c>
      <c r="N1103" s="9" t="s">
        <v>92</v>
      </c>
      <c r="O1103" s="9" t="s">
        <v>146</v>
      </c>
      <c r="P1103">
        <f>DATEVALUE(OnePlusSalesData[[#This Row],[order_date]])</f>
        <v>43661</v>
      </c>
      <c r="Q1103" s="28">
        <f>DATEVALUE(OnePlusSalesData[[#This Row],[delivery_date]])</f>
        <v>43668</v>
      </c>
    </row>
    <row r="1104" spans="1:17" ht="16" x14ac:dyDescent="0.45">
      <c r="A1104" s="2" t="s">
        <v>2123</v>
      </c>
      <c r="B1104" s="2" t="s">
        <v>58</v>
      </c>
      <c r="C1104" s="3" t="s">
        <v>81</v>
      </c>
      <c r="D1104" s="3" t="s">
        <v>40</v>
      </c>
      <c r="E1104" s="3" t="s">
        <v>54</v>
      </c>
      <c r="F1104" s="4">
        <v>53999</v>
      </c>
      <c r="G1104" s="5">
        <v>1</v>
      </c>
      <c r="H1104" s="6">
        <v>0</v>
      </c>
      <c r="I1104" s="7">
        <v>0</v>
      </c>
      <c r="J1104" s="7">
        <v>53999</v>
      </c>
      <c r="K1104" s="7">
        <v>12130.64</v>
      </c>
      <c r="L1104" s="2" t="s">
        <v>519</v>
      </c>
      <c r="M1104" s="18" t="s">
        <v>962</v>
      </c>
      <c r="N1104" s="3" t="s">
        <v>22</v>
      </c>
      <c r="O1104" s="3" t="s">
        <v>146</v>
      </c>
      <c r="P1104">
        <f>DATEVALUE(OnePlusSalesData[[#This Row],[order_date]])</f>
        <v>43206</v>
      </c>
      <c r="Q1104" s="28">
        <f>DATEVALUE(OnePlusSalesData[[#This Row],[delivery_date]])</f>
        <v>43210</v>
      </c>
    </row>
    <row r="1105" spans="1:17" ht="16" x14ac:dyDescent="0.45">
      <c r="A1105" s="8" t="s">
        <v>2124</v>
      </c>
      <c r="B1105" s="8" t="s">
        <v>58</v>
      </c>
      <c r="C1105" s="9" t="s">
        <v>81</v>
      </c>
      <c r="D1105" s="9" t="s">
        <v>40</v>
      </c>
      <c r="E1105" s="9" t="s">
        <v>47</v>
      </c>
      <c r="F1105" s="10">
        <v>37999</v>
      </c>
      <c r="G1105" s="11">
        <v>2</v>
      </c>
      <c r="H1105" s="12">
        <v>0.1</v>
      </c>
      <c r="I1105" s="13">
        <v>7599.8</v>
      </c>
      <c r="J1105" s="13">
        <v>68398.2</v>
      </c>
      <c r="K1105" s="13">
        <v>11165.92</v>
      </c>
      <c r="L1105" s="8" t="s">
        <v>1723</v>
      </c>
      <c r="M1105" s="19" t="s">
        <v>246</v>
      </c>
      <c r="N1105" s="9" t="s">
        <v>22</v>
      </c>
      <c r="O1105" s="9" t="s">
        <v>146</v>
      </c>
      <c r="P1105">
        <f>DATEVALUE(OnePlusSalesData[[#This Row],[order_date]])</f>
        <v>43280</v>
      </c>
      <c r="Q1105" s="28">
        <f>DATEVALUE(OnePlusSalesData[[#This Row],[delivery_date]])</f>
        <v>43286</v>
      </c>
    </row>
    <row r="1106" spans="1:17" ht="16" x14ac:dyDescent="0.45">
      <c r="A1106" s="2" t="s">
        <v>2125</v>
      </c>
      <c r="B1106" s="2" t="s">
        <v>16</v>
      </c>
      <c r="C1106" s="3" t="s">
        <v>152</v>
      </c>
      <c r="D1106" s="3" t="s">
        <v>85</v>
      </c>
      <c r="E1106" s="3" t="s">
        <v>265</v>
      </c>
      <c r="F1106" s="4">
        <v>4990</v>
      </c>
      <c r="G1106" s="5">
        <v>1</v>
      </c>
      <c r="H1106" s="6">
        <v>0.05</v>
      </c>
      <c r="I1106" s="7">
        <v>249.5</v>
      </c>
      <c r="J1106" s="7">
        <v>4740.5</v>
      </c>
      <c r="K1106" s="7">
        <v>902.06</v>
      </c>
      <c r="L1106" s="2" t="s">
        <v>2126</v>
      </c>
      <c r="M1106" s="18" t="s">
        <v>2127</v>
      </c>
      <c r="N1106" s="3" t="s">
        <v>22</v>
      </c>
      <c r="O1106" s="3" t="s">
        <v>31</v>
      </c>
      <c r="P1106">
        <f>DATEVALUE(OnePlusSalesData[[#This Row],[order_date]])</f>
        <v>43528</v>
      </c>
      <c r="Q1106" s="28">
        <f>DATEVALUE(OnePlusSalesData[[#This Row],[delivery_date]])</f>
        <v>43531</v>
      </c>
    </row>
    <row r="1107" spans="1:17" ht="16" x14ac:dyDescent="0.45">
      <c r="A1107" s="8" t="s">
        <v>2128</v>
      </c>
      <c r="B1107" s="8" t="s">
        <v>16</v>
      </c>
      <c r="C1107" s="9" t="s">
        <v>33</v>
      </c>
      <c r="D1107" s="9" t="s">
        <v>34</v>
      </c>
      <c r="E1107" s="9" t="s">
        <v>77</v>
      </c>
      <c r="F1107" s="10">
        <v>24999</v>
      </c>
      <c r="G1107" s="11">
        <v>1</v>
      </c>
      <c r="H1107" s="12">
        <v>0.1</v>
      </c>
      <c r="I1107" s="13">
        <v>2499.9</v>
      </c>
      <c r="J1107" s="13">
        <v>22499.1</v>
      </c>
      <c r="K1107" s="13">
        <v>5807.01</v>
      </c>
      <c r="L1107" s="8" t="s">
        <v>1928</v>
      </c>
      <c r="M1107" s="19" t="s">
        <v>1396</v>
      </c>
      <c r="N1107" s="9" t="s">
        <v>92</v>
      </c>
      <c r="O1107" s="9" t="s">
        <v>23</v>
      </c>
      <c r="P1107">
        <f>DATEVALUE(OnePlusSalesData[[#This Row],[order_date]])</f>
        <v>43996</v>
      </c>
      <c r="Q1107" s="28">
        <f>DATEVALUE(OnePlusSalesData[[#This Row],[delivery_date]])</f>
        <v>43999</v>
      </c>
    </row>
    <row r="1108" spans="1:17" ht="16" x14ac:dyDescent="0.45">
      <c r="A1108" s="2" t="s">
        <v>2129</v>
      </c>
      <c r="B1108" s="2" t="s">
        <v>25</v>
      </c>
      <c r="C1108" s="3" t="s">
        <v>172</v>
      </c>
      <c r="D1108" s="3" t="s">
        <v>40</v>
      </c>
      <c r="E1108" s="3" t="s">
        <v>47</v>
      </c>
      <c r="F1108" s="4">
        <v>37999</v>
      </c>
      <c r="G1108" s="5">
        <v>4</v>
      </c>
      <c r="H1108" s="6">
        <v>0</v>
      </c>
      <c r="I1108" s="7">
        <v>0</v>
      </c>
      <c r="J1108" s="7">
        <v>151996</v>
      </c>
      <c r="K1108" s="7">
        <v>32002.19</v>
      </c>
      <c r="L1108" s="2" t="s">
        <v>1626</v>
      </c>
      <c r="M1108" s="18" t="s">
        <v>262</v>
      </c>
      <c r="N1108" s="3" t="s">
        <v>22</v>
      </c>
      <c r="O1108" s="3" t="s">
        <v>23</v>
      </c>
      <c r="P1108">
        <f>DATEVALUE(OnePlusSalesData[[#This Row],[order_date]])</f>
        <v>43815</v>
      </c>
      <c r="Q1108" s="28">
        <f>DATEVALUE(OnePlusSalesData[[#This Row],[delivery_date]])</f>
        <v>43819</v>
      </c>
    </row>
    <row r="1109" spans="1:17" ht="16" x14ac:dyDescent="0.45">
      <c r="A1109" s="8" t="s">
        <v>2130</v>
      </c>
      <c r="B1109" s="8" t="s">
        <v>16</v>
      </c>
      <c r="C1109" s="9" t="s">
        <v>17</v>
      </c>
      <c r="D1109" s="9" t="s">
        <v>40</v>
      </c>
      <c r="E1109" s="9" t="s">
        <v>98</v>
      </c>
      <c r="F1109" s="10">
        <v>34999</v>
      </c>
      <c r="G1109" s="11">
        <v>4</v>
      </c>
      <c r="H1109" s="12">
        <v>0</v>
      </c>
      <c r="I1109" s="13">
        <v>0</v>
      </c>
      <c r="J1109" s="13">
        <v>139996</v>
      </c>
      <c r="K1109" s="13">
        <v>35632.39</v>
      </c>
      <c r="L1109" s="8" t="s">
        <v>74</v>
      </c>
      <c r="M1109" s="19" t="s">
        <v>848</v>
      </c>
      <c r="N1109" s="9" t="s">
        <v>22</v>
      </c>
      <c r="O1109" s="9" t="s">
        <v>31</v>
      </c>
      <c r="P1109">
        <f>DATEVALUE(OnePlusSalesData[[#This Row],[order_date]])</f>
        <v>43713</v>
      </c>
      <c r="Q1109" s="28">
        <f>DATEVALUE(OnePlusSalesData[[#This Row],[delivery_date]])</f>
        <v>43715</v>
      </c>
    </row>
    <row r="1110" spans="1:17" ht="16" x14ac:dyDescent="0.45">
      <c r="A1110" s="2" t="s">
        <v>2131</v>
      </c>
      <c r="B1110" s="2" t="s">
        <v>52</v>
      </c>
      <c r="C1110" s="3" t="s">
        <v>69</v>
      </c>
      <c r="D1110" s="3" t="s">
        <v>34</v>
      </c>
      <c r="E1110" s="3" t="s">
        <v>35</v>
      </c>
      <c r="F1110" s="4">
        <v>19999</v>
      </c>
      <c r="G1110" s="5">
        <v>2</v>
      </c>
      <c r="H1110" s="6">
        <v>0.08</v>
      </c>
      <c r="I1110" s="7">
        <v>3199.84</v>
      </c>
      <c r="J1110" s="7">
        <v>36798.160000000003</v>
      </c>
      <c r="K1110" s="7">
        <v>7345.37</v>
      </c>
      <c r="L1110" s="2" t="s">
        <v>666</v>
      </c>
      <c r="M1110" s="18" t="s">
        <v>1149</v>
      </c>
      <c r="N1110" s="3" t="s">
        <v>22</v>
      </c>
      <c r="O1110" s="3" t="s">
        <v>23</v>
      </c>
      <c r="P1110">
        <f>DATEVALUE(OnePlusSalesData[[#This Row],[order_date]])</f>
        <v>44152</v>
      </c>
      <c r="Q1110" s="28">
        <f>DATEVALUE(OnePlusSalesData[[#This Row],[delivery_date]])</f>
        <v>44155</v>
      </c>
    </row>
    <row r="1111" spans="1:17" ht="16" x14ac:dyDescent="0.45">
      <c r="A1111" s="8" t="s">
        <v>2132</v>
      </c>
      <c r="B1111" s="8" t="s">
        <v>52</v>
      </c>
      <c r="C1111" s="9" t="s">
        <v>106</v>
      </c>
      <c r="D1111" s="9" t="s">
        <v>18</v>
      </c>
      <c r="E1111" s="9" t="s">
        <v>124</v>
      </c>
      <c r="F1111" s="10">
        <v>3990</v>
      </c>
      <c r="G1111" s="11">
        <v>1</v>
      </c>
      <c r="H1111" s="12">
        <v>0.05</v>
      </c>
      <c r="I1111" s="13">
        <v>199.5</v>
      </c>
      <c r="J1111" s="13">
        <v>3790.5</v>
      </c>
      <c r="K1111" s="13">
        <v>951.66</v>
      </c>
      <c r="L1111" s="8" t="s">
        <v>1978</v>
      </c>
      <c r="M1111" s="19" t="s">
        <v>456</v>
      </c>
      <c r="N1111" s="9" t="s">
        <v>22</v>
      </c>
      <c r="O1111" s="9" t="s">
        <v>96</v>
      </c>
      <c r="P1111">
        <f>DATEVALUE(OnePlusSalesData[[#This Row],[order_date]])</f>
        <v>43317</v>
      </c>
      <c r="Q1111" s="28">
        <f>DATEVALUE(OnePlusSalesData[[#This Row],[delivery_date]])</f>
        <v>43323</v>
      </c>
    </row>
    <row r="1112" spans="1:17" ht="16" x14ac:dyDescent="0.45">
      <c r="A1112" s="2" t="s">
        <v>2133</v>
      </c>
      <c r="B1112" s="2" t="s">
        <v>52</v>
      </c>
      <c r="C1112" s="3" t="s">
        <v>69</v>
      </c>
      <c r="D1112" s="3" t="s">
        <v>40</v>
      </c>
      <c r="E1112" s="3" t="s">
        <v>54</v>
      </c>
      <c r="F1112" s="4">
        <v>53999</v>
      </c>
      <c r="G1112" s="5">
        <v>3</v>
      </c>
      <c r="H1112" s="6">
        <v>0.08</v>
      </c>
      <c r="I1112" s="7">
        <v>12959.76</v>
      </c>
      <c r="J1112" s="7">
        <v>149037.24</v>
      </c>
      <c r="K1112" s="7">
        <v>27196.67</v>
      </c>
      <c r="L1112" s="2" t="s">
        <v>1638</v>
      </c>
      <c r="M1112" s="18" t="s">
        <v>197</v>
      </c>
      <c r="N1112" s="3" t="s">
        <v>92</v>
      </c>
      <c r="O1112" s="3" t="s">
        <v>31</v>
      </c>
      <c r="P1112">
        <f>DATEVALUE(OnePlusSalesData[[#This Row],[order_date]])</f>
        <v>43665</v>
      </c>
      <c r="Q1112" s="28">
        <f>DATEVALUE(OnePlusSalesData[[#This Row],[delivery_date]])</f>
        <v>43669</v>
      </c>
    </row>
    <row r="1113" spans="1:17" ht="16" x14ac:dyDescent="0.45">
      <c r="A1113" s="8" t="s">
        <v>2134</v>
      </c>
      <c r="B1113" s="8" t="s">
        <v>25</v>
      </c>
      <c r="C1113" s="9" t="s">
        <v>26</v>
      </c>
      <c r="D1113" s="9" t="s">
        <v>40</v>
      </c>
      <c r="E1113" s="9" t="s">
        <v>73</v>
      </c>
      <c r="F1113" s="10">
        <v>32999</v>
      </c>
      <c r="G1113" s="11">
        <v>1</v>
      </c>
      <c r="H1113" s="12">
        <v>0</v>
      </c>
      <c r="I1113" s="13">
        <v>0</v>
      </c>
      <c r="J1113" s="13">
        <v>32999</v>
      </c>
      <c r="K1113" s="13">
        <v>7445.08</v>
      </c>
      <c r="L1113" s="8" t="s">
        <v>446</v>
      </c>
      <c r="M1113" s="19" t="s">
        <v>2135</v>
      </c>
      <c r="N1113" s="9" t="s">
        <v>22</v>
      </c>
      <c r="O1113" s="9" t="s">
        <v>96</v>
      </c>
      <c r="P1113">
        <f>DATEVALUE(OnePlusSalesData[[#This Row],[order_date]])</f>
        <v>43438</v>
      </c>
      <c r="Q1113" s="28">
        <f>DATEVALUE(OnePlusSalesData[[#This Row],[delivery_date]])</f>
        <v>43442</v>
      </c>
    </row>
    <row r="1114" spans="1:17" ht="16" x14ac:dyDescent="0.45">
      <c r="A1114" s="2" t="s">
        <v>2136</v>
      </c>
      <c r="B1114" s="2" t="s">
        <v>16</v>
      </c>
      <c r="C1114" s="3" t="s">
        <v>152</v>
      </c>
      <c r="D1114" s="3" t="s">
        <v>18</v>
      </c>
      <c r="E1114" s="3" t="s">
        <v>179</v>
      </c>
      <c r="F1114" s="4">
        <v>1290</v>
      </c>
      <c r="G1114" s="5">
        <v>1</v>
      </c>
      <c r="H1114" s="6">
        <v>0.12</v>
      </c>
      <c r="I1114" s="7">
        <v>154.80000000000001</v>
      </c>
      <c r="J1114" s="7">
        <v>1135.2</v>
      </c>
      <c r="K1114" s="7">
        <v>166.22</v>
      </c>
      <c r="L1114" s="2" t="s">
        <v>2118</v>
      </c>
      <c r="M1114" s="18" t="s">
        <v>1538</v>
      </c>
      <c r="N1114" s="3" t="s">
        <v>22</v>
      </c>
      <c r="O1114" s="3" t="s">
        <v>63</v>
      </c>
      <c r="P1114">
        <f>DATEVALUE(OnePlusSalesData[[#This Row],[order_date]])</f>
        <v>43540</v>
      </c>
      <c r="Q1114" s="28">
        <f>DATEVALUE(OnePlusSalesData[[#This Row],[delivery_date]])</f>
        <v>43544</v>
      </c>
    </row>
    <row r="1115" spans="1:17" ht="16" x14ac:dyDescent="0.45">
      <c r="A1115" s="8" t="s">
        <v>2137</v>
      </c>
      <c r="B1115" s="8" t="s">
        <v>25</v>
      </c>
      <c r="C1115" s="9" t="s">
        <v>133</v>
      </c>
      <c r="D1115" s="9" t="s">
        <v>85</v>
      </c>
      <c r="E1115" s="9" t="s">
        <v>265</v>
      </c>
      <c r="F1115" s="10">
        <v>4990</v>
      </c>
      <c r="G1115" s="11">
        <v>1</v>
      </c>
      <c r="H1115" s="12">
        <v>0.05</v>
      </c>
      <c r="I1115" s="13">
        <v>249.5</v>
      </c>
      <c r="J1115" s="13">
        <v>4740.5</v>
      </c>
      <c r="K1115" s="13">
        <v>1207.28</v>
      </c>
      <c r="L1115" s="8" t="s">
        <v>2138</v>
      </c>
      <c r="M1115" s="19" t="s">
        <v>596</v>
      </c>
      <c r="N1115" s="9" t="s">
        <v>22</v>
      </c>
      <c r="O1115" s="9" t="s">
        <v>23</v>
      </c>
      <c r="P1115">
        <f>DATEVALUE(OnePlusSalesData[[#This Row],[order_date]])</f>
        <v>43459</v>
      </c>
      <c r="Q1115" s="28">
        <f>DATEVALUE(OnePlusSalesData[[#This Row],[delivery_date]])</f>
        <v>43462</v>
      </c>
    </row>
    <row r="1116" spans="1:17" ht="16" x14ac:dyDescent="0.45">
      <c r="A1116" s="2" t="s">
        <v>2139</v>
      </c>
      <c r="B1116" s="2" t="s">
        <v>16</v>
      </c>
      <c r="C1116" s="3" t="s">
        <v>17</v>
      </c>
      <c r="D1116" s="3" t="s">
        <v>18</v>
      </c>
      <c r="E1116" s="3" t="s">
        <v>179</v>
      </c>
      <c r="F1116" s="4">
        <v>1290</v>
      </c>
      <c r="G1116" s="5">
        <v>2</v>
      </c>
      <c r="H1116" s="6">
        <v>0.08</v>
      </c>
      <c r="I1116" s="7">
        <v>206.4</v>
      </c>
      <c r="J1116" s="7">
        <v>2373.6</v>
      </c>
      <c r="K1116" s="7">
        <v>357.65</v>
      </c>
      <c r="L1116" s="2" t="s">
        <v>2140</v>
      </c>
      <c r="M1116" s="18" t="s">
        <v>694</v>
      </c>
      <c r="N1116" s="3" t="s">
        <v>92</v>
      </c>
      <c r="O1116" s="3" t="s">
        <v>23</v>
      </c>
      <c r="P1116">
        <f>DATEVALUE(OnePlusSalesData[[#This Row],[order_date]])</f>
        <v>43951</v>
      </c>
      <c r="Q1116" s="28">
        <f>DATEVALUE(OnePlusSalesData[[#This Row],[delivery_date]])</f>
        <v>43956</v>
      </c>
    </row>
    <row r="1117" spans="1:17" ht="16" x14ac:dyDescent="0.45">
      <c r="A1117" s="8" t="s">
        <v>2141</v>
      </c>
      <c r="B1117" s="8" t="s">
        <v>16</v>
      </c>
      <c r="C1117" s="9" t="s">
        <v>152</v>
      </c>
      <c r="D1117" s="9" t="s">
        <v>40</v>
      </c>
      <c r="E1117" s="9" t="s">
        <v>54</v>
      </c>
      <c r="F1117" s="10">
        <v>53999</v>
      </c>
      <c r="G1117" s="11">
        <v>2</v>
      </c>
      <c r="H1117" s="12">
        <v>0.12</v>
      </c>
      <c r="I1117" s="13">
        <v>12959.76</v>
      </c>
      <c r="J1117" s="13">
        <v>95038.24</v>
      </c>
      <c r="K1117" s="13">
        <v>18499.82</v>
      </c>
      <c r="L1117" s="8" t="s">
        <v>2142</v>
      </c>
      <c r="M1117" s="19" t="s">
        <v>1468</v>
      </c>
      <c r="N1117" s="9" t="s">
        <v>22</v>
      </c>
      <c r="O1117" s="9" t="s">
        <v>31</v>
      </c>
      <c r="P1117">
        <f>DATEVALUE(OnePlusSalesData[[#This Row],[order_date]])</f>
        <v>43932</v>
      </c>
      <c r="Q1117" s="28">
        <f>DATEVALUE(OnePlusSalesData[[#This Row],[delivery_date]])</f>
        <v>43934</v>
      </c>
    </row>
    <row r="1118" spans="1:17" ht="16" x14ac:dyDescent="0.45">
      <c r="A1118" s="2" t="s">
        <v>2143</v>
      </c>
      <c r="B1118" s="2" t="s">
        <v>58</v>
      </c>
      <c r="C1118" s="3" t="s">
        <v>113</v>
      </c>
      <c r="D1118" s="3" t="s">
        <v>18</v>
      </c>
      <c r="E1118" s="3" t="s">
        <v>124</v>
      </c>
      <c r="F1118" s="4">
        <v>3990</v>
      </c>
      <c r="G1118" s="5">
        <v>1</v>
      </c>
      <c r="H1118" s="6">
        <v>0.08</v>
      </c>
      <c r="I1118" s="7">
        <v>319.2</v>
      </c>
      <c r="J1118" s="7">
        <v>3670.8</v>
      </c>
      <c r="K1118" s="7">
        <v>560.99</v>
      </c>
      <c r="L1118" s="2" t="s">
        <v>1228</v>
      </c>
      <c r="M1118" s="18" t="s">
        <v>211</v>
      </c>
      <c r="N1118" s="3" t="s">
        <v>22</v>
      </c>
      <c r="O1118" s="3" t="s">
        <v>63</v>
      </c>
      <c r="P1118">
        <f>DATEVALUE(OnePlusSalesData[[#This Row],[order_date]])</f>
        <v>43608</v>
      </c>
      <c r="Q1118" s="28">
        <f>DATEVALUE(OnePlusSalesData[[#This Row],[delivery_date]])</f>
        <v>43610</v>
      </c>
    </row>
    <row r="1119" spans="1:17" ht="16" x14ac:dyDescent="0.45">
      <c r="A1119" s="8" t="s">
        <v>2144</v>
      </c>
      <c r="B1119" s="8" t="s">
        <v>16</v>
      </c>
      <c r="C1119" s="9" t="s">
        <v>152</v>
      </c>
      <c r="D1119" s="9" t="s">
        <v>40</v>
      </c>
      <c r="E1119" s="9" t="s">
        <v>148</v>
      </c>
      <c r="F1119" s="10">
        <v>41999</v>
      </c>
      <c r="G1119" s="11">
        <v>3</v>
      </c>
      <c r="H1119" s="12">
        <v>0.1</v>
      </c>
      <c r="I1119" s="13">
        <v>12599.7</v>
      </c>
      <c r="J1119" s="13">
        <v>113397.3</v>
      </c>
      <c r="K1119" s="13">
        <v>28907.200000000001</v>
      </c>
      <c r="L1119" s="8" t="s">
        <v>2145</v>
      </c>
      <c r="M1119" s="19" t="s">
        <v>1100</v>
      </c>
      <c r="N1119" s="9" t="s">
        <v>22</v>
      </c>
      <c r="O1119" s="9" t="s">
        <v>31</v>
      </c>
      <c r="P1119">
        <f>DATEVALUE(OnePlusSalesData[[#This Row],[order_date]])</f>
        <v>43588</v>
      </c>
      <c r="Q1119" s="28">
        <f>DATEVALUE(OnePlusSalesData[[#This Row],[delivery_date]])</f>
        <v>43590</v>
      </c>
    </row>
    <row r="1120" spans="1:17" ht="16" x14ac:dyDescent="0.45">
      <c r="A1120" s="2" t="s">
        <v>2146</v>
      </c>
      <c r="B1120" s="2" t="s">
        <v>52</v>
      </c>
      <c r="C1120" s="3" t="s">
        <v>106</v>
      </c>
      <c r="D1120" s="3" t="s">
        <v>40</v>
      </c>
      <c r="E1120" s="3" t="s">
        <v>54</v>
      </c>
      <c r="F1120" s="4">
        <v>53999</v>
      </c>
      <c r="G1120" s="5">
        <v>2</v>
      </c>
      <c r="H1120" s="6">
        <v>0</v>
      </c>
      <c r="I1120" s="7">
        <v>0</v>
      </c>
      <c r="J1120" s="7">
        <v>107998</v>
      </c>
      <c r="K1120" s="7">
        <v>27698.46</v>
      </c>
      <c r="L1120" s="2" t="s">
        <v>2147</v>
      </c>
      <c r="M1120" s="18" t="s">
        <v>2148</v>
      </c>
      <c r="N1120" s="3" t="s">
        <v>22</v>
      </c>
      <c r="O1120" s="3" t="s">
        <v>23</v>
      </c>
      <c r="P1120">
        <f>DATEVALUE(OnePlusSalesData[[#This Row],[order_date]])</f>
        <v>43106</v>
      </c>
      <c r="Q1120" s="28">
        <f>DATEVALUE(OnePlusSalesData[[#This Row],[delivery_date]])</f>
        <v>43108</v>
      </c>
    </row>
    <row r="1121" spans="1:17" ht="16" x14ac:dyDescent="0.45">
      <c r="A1121" s="8" t="s">
        <v>2149</v>
      </c>
      <c r="B1121" s="8" t="s">
        <v>16</v>
      </c>
      <c r="C1121" s="9" t="s">
        <v>39</v>
      </c>
      <c r="D1121" s="9" t="s">
        <v>85</v>
      </c>
      <c r="E1121" s="9" t="s">
        <v>258</v>
      </c>
      <c r="F1121" s="10">
        <v>2999</v>
      </c>
      <c r="G1121" s="11">
        <v>1</v>
      </c>
      <c r="H1121" s="12">
        <v>0</v>
      </c>
      <c r="I1121" s="13">
        <v>0</v>
      </c>
      <c r="J1121" s="13">
        <v>2999</v>
      </c>
      <c r="K1121" s="13">
        <v>706.13</v>
      </c>
      <c r="L1121" s="8" t="s">
        <v>1711</v>
      </c>
      <c r="M1121" s="19" t="s">
        <v>765</v>
      </c>
      <c r="N1121" s="9" t="s">
        <v>50</v>
      </c>
      <c r="O1121" s="9" t="s">
        <v>63</v>
      </c>
      <c r="P1121">
        <f>DATEVALUE(OnePlusSalesData[[#This Row],[order_date]])</f>
        <v>43870</v>
      </c>
      <c r="Q1121" s="28">
        <f>DATEVALUE(OnePlusSalesData[[#This Row],[delivery_date]])</f>
        <v>43872</v>
      </c>
    </row>
    <row r="1122" spans="1:17" ht="16" x14ac:dyDescent="0.45">
      <c r="A1122" s="2" t="s">
        <v>2150</v>
      </c>
      <c r="B1122" s="2" t="s">
        <v>16</v>
      </c>
      <c r="C1122" s="3" t="s">
        <v>39</v>
      </c>
      <c r="D1122" s="3" t="s">
        <v>27</v>
      </c>
      <c r="E1122" s="3" t="s">
        <v>28</v>
      </c>
      <c r="F1122" s="4">
        <v>12999</v>
      </c>
      <c r="G1122" s="5">
        <v>1</v>
      </c>
      <c r="H1122" s="6">
        <v>0.1</v>
      </c>
      <c r="I1122" s="7">
        <v>1299.9000000000001</v>
      </c>
      <c r="J1122" s="7">
        <v>11699.1</v>
      </c>
      <c r="K1122" s="7">
        <v>1838.24</v>
      </c>
      <c r="L1122" s="2" t="s">
        <v>1483</v>
      </c>
      <c r="M1122" s="18" t="s">
        <v>1642</v>
      </c>
      <c r="N1122" s="3" t="s">
        <v>50</v>
      </c>
      <c r="O1122" s="3" t="s">
        <v>146</v>
      </c>
      <c r="P1122">
        <f>DATEVALUE(OnePlusSalesData[[#This Row],[order_date]])</f>
        <v>43800</v>
      </c>
      <c r="Q1122" s="28">
        <f>DATEVALUE(OnePlusSalesData[[#This Row],[delivery_date]])</f>
        <v>43805</v>
      </c>
    </row>
    <row r="1123" spans="1:17" ht="16" x14ac:dyDescent="0.45">
      <c r="A1123" s="8" t="s">
        <v>2151</v>
      </c>
      <c r="B1123" s="8" t="s">
        <v>16</v>
      </c>
      <c r="C1123" s="9" t="s">
        <v>140</v>
      </c>
      <c r="D1123" s="9" t="s">
        <v>27</v>
      </c>
      <c r="E1123" s="9" t="s">
        <v>28</v>
      </c>
      <c r="F1123" s="10">
        <v>12999</v>
      </c>
      <c r="G1123" s="11">
        <v>1</v>
      </c>
      <c r="H1123" s="12">
        <v>0</v>
      </c>
      <c r="I1123" s="13">
        <v>0</v>
      </c>
      <c r="J1123" s="13">
        <v>12999</v>
      </c>
      <c r="K1123" s="13">
        <v>2982.76</v>
      </c>
      <c r="L1123" s="8" t="s">
        <v>2152</v>
      </c>
      <c r="M1123" s="19" t="s">
        <v>1070</v>
      </c>
      <c r="N1123" s="9" t="s">
        <v>22</v>
      </c>
      <c r="O1123" s="9" t="s">
        <v>31</v>
      </c>
      <c r="P1123">
        <f>DATEVALUE(OnePlusSalesData[[#This Row],[order_date]])</f>
        <v>43269</v>
      </c>
      <c r="Q1123" s="28">
        <f>DATEVALUE(OnePlusSalesData[[#This Row],[delivery_date]])</f>
        <v>43271</v>
      </c>
    </row>
    <row r="1124" spans="1:17" ht="16" x14ac:dyDescent="0.45">
      <c r="A1124" s="2" t="s">
        <v>2153</v>
      </c>
      <c r="B1124" s="2" t="s">
        <v>16</v>
      </c>
      <c r="C1124" s="3" t="s">
        <v>33</v>
      </c>
      <c r="D1124" s="3" t="s">
        <v>40</v>
      </c>
      <c r="E1124" s="3" t="s">
        <v>54</v>
      </c>
      <c r="F1124" s="4">
        <v>53999</v>
      </c>
      <c r="G1124" s="5">
        <v>1</v>
      </c>
      <c r="H1124" s="6">
        <v>0</v>
      </c>
      <c r="I1124" s="7">
        <v>0</v>
      </c>
      <c r="J1124" s="7">
        <v>53999</v>
      </c>
      <c r="K1124" s="7">
        <v>8827.75</v>
      </c>
      <c r="L1124" s="2" t="s">
        <v>138</v>
      </c>
      <c r="M1124" s="18" t="s">
        <v>349</v>
      </c>
      <c r="N1124" s="3" t="s">
        <v>22</v>
      </c>
      <c r="O1124" s="3" t="s">
        <v>23</v>
      </c>
      <c r="P1124">
        <f>DATEVALUE(OnePlusSalesData[[#This Row],[order_date]])</f>
        <v>44030</v>
      </c>
      <c r="Q1124" s="28">
        <f>DATEVALUE(OnePlusSalesData[[#This Row],[delivery_date]])</f>
        <v>44034</v>
      </c>
    </row>
    <row r="1125" spans="1:17" ht="16" x14ac:dyDescent="0.45">
      <c r="A1125" s="8" t="s">
        <v>2154</v>
      </c>
      <c r="B1125" s="8" t="s">
        <v>16</v>
      </c>
      <c r="C1125" s="9" t="s">
        <v>140</v>
      </c>
      <c r="D1125" s="9" t="s">
        <v>40</v>
      </c>
      <c r="E1125" s="9" t="s">
        <v>60</v>
      </c>
      <c r="F1125" s="10">
        <v>54999</v>
      </c>
      <c r="G1125" s="11">
        <v>1</v>
      </c>
      <c r="H1125" s="12">
        <v>0.1</v>
      </c>
      <c r="I1125" s="13">
        <v>5499.9</v>
      </c>
      <c r="J1125" s="13">
        <v>49499.1</v>
      </c>
      <c r="K1125" s="13">
        <v>11593.89</v>
      </c>
      <c r="L1125" s="8" t="s">
        <v>1445</v>
      </c>
      <c r="M1125" s="19" t="s">
        <v>298</v>
      </c>
      <c r="N1125" s="9" t="s">
        <v>22</v>
      </c>
      <c r="O1125" s="9" t="s">
        <v>96</v>
      </c>
      <c r="P1125">
        <f>DATEVALUE(OnePlusSalesData[[#This Row],[order_date]])</f>
        <v>43721</v>
      </c>
      <c r="Q1125" s="28">
        <f>DATEVALUE(OnePlusSalesData[[#This Row],[delivery_date]])</f>
        <v>43723</v>
      </c>
    </row>
    <row r="1126" spans="1:17" ht="16" x14ac:dyDescent="0.45">
      <c r="A1126" s="2" t="s">
        <v>2155</v>
      </c>
      <c r="B1126" s="2" t="s">
        <v>52</v>
      </c>
      <c r="C1126" s="3" t="s">
        <v>53</v>
      </c>
      <c r="D1126" s="3" t="s">
        <v>18</v>
      </c>
      <c r="E1126" s="3" t="s">
        <v>19</v>
      </c>
      <c r="F1126" s="4">
        <v>1990</v>
      </c>
      <c r="G1126" s="5">
        <v>2</v>
      </c>
      <c r="H1126" s="6">
        <v>0.05</v>
      </c>
      <c r="I1126" s="7">
        <v>199</v>
      </c>
      <c r="J1126" s="7">
        <v>3781</v>
      </c>
      <c r="K1126" s="7">
        <v>653.99</v>
      </c>
      <c r="L1126" s="2" t="s">
        <v>1953</v>
      </c>
      <c r="M1126" s="18" t="s">
        <v>698</v>
      </c>
      <c r="N1126" s="3" t="s">
        <v>92</v>
      </c>
      <c r="O1126" s="3" t="s">
        <v>23</v>
      </c>
      <c r="P1126">
        <f>DATEVALUE(OnePlusSalesData[[#This Row],[order_date]])</f>
        <v>44031</v>
      </c>
      <c r="Q1126" s="28">
        <f>DATEVALUE(OnePlusSalesData[[#This Row],[delivery_date]])</f>
        <v>44036</v>
      </c>
    </row>
    <row r="1127" spans="1:17" ht="16" x14ac:dyDescent="0.45">
      <c r="A1127" s="8" t="s">
        <v>2156</v>
      </c>
      <c r="B1127" s="8" t="s">
        <v>16</v>
      </c>
      <c r="C1127" s="9" t="s">
        <v>17</v>
      </c>
      <c r="D1127" s="9" t="s">
        <v>27</v>
      </c>
      <c r="E1127" s="9" t="s">
        <v>159</v>
      </c>
      <c r="F1127" s="10">
        <v>22999</v>
      </c>
      <c r="G1127" s="11">
        <v>2</v>
      </c>
      <c r="H1127" s="12">
        <v>0.1</v>
      </c>
      <c r="I1127" s="13">
        <v>4599.8</v>
      </c>
      <c r="J1127" s="13">
        <v>41398.199999999997</v>
      </c>
      <c r="K1127" s="13">
        <v>7665.56</v>
      </c>
      <c r="L1127" s="8" t="s">
        <v>748</v>
      </c>
      <c r="M1127" s="19" t="s">
        <v>1729</v>
      </c>
      <c r="N1127" s="9" t="s">
        <v>50</v>
      </c>
      <c r="O1127" s="9" t="s">
        <v>96</v>
      </c>
      <c r="P1127">
        <f>DATEVALUE(OnePlusSalesData[[#This Row],[order_date]])</f>
        <v>43168</v>
      </c>
      <c r="Q1127" s="28">
        <f>DATEVALUE(OnePlusSalesData[[#This Row],[delivery_date]])</f>
        <v>43173</v>
      </c>
    </row>
    <row r="1128" spans="1:17" ht="16" x14ac:dyDescent="0.45">
      <c r="A1128" s="2" t="s">
        <v>2157</v>
      </c>
      <c r="B1128" s="2" t="s">
        <v>52</v>
      </c>
      <c r="C1128" s="3" t="s">
        <v>358</v>
      </c>
      <c r="D1128" s="3" t="s">
        <v>40</v>
      </c>
      <c r="E1128" s="3" t="s">
        <v>47</v>
      </c>
      <c r="F1128" s="4">
        <v>37999</v>
      </c>
      <c r="G1128" s="5">
        <v>2</v>
      </c>
      <c r="H1128" s="6">
        <v>0.08</v>
      </c>
      <c r="I1128" s="7">
        <v>6079.84</v>
      </c>
      <c r="J1128" s="7">
        <v>69918.16</v>
      </c>
      <c r="K1128" s="7">
        <v>13049.44</v>
      </c>
      <c r="L1128" s="2" t="s">
        <v>371</v>
      </c>
      <c r="M1128" s="18" t="s">
        <v>1459</v>
      </c>
      <c r="N1128" s="3" t="s">
        <v>22</v>
      </c>
      <c r="O1128" s="3" t="s">
        <v>63</v>
      </c>
      <c r="P1128">
        <f>DATEVALUE(OnePlusSalesData[[#This Row],[order_date]])</f>
        <v>44039</v>
      </c>
      <c r="Q1128" s="28">
        <f>DATEVALUE(OnePlusSalesData[[#This Row],[delivery_date]])</f>
        <v>44044</v>
      </c>
    </row>
    <row r="1129" spans="1:17" ht="16" x14ac:dyDescent="0.45">
      <c r="A1129" s="8" t="s">
        <v>2158</v>
      </c>
      <c r="B1129" s="8" t="s">
        <v>52</v>
      </c>
      <c r="C1129" s="9" t="s">
        <v>53</v>
      </c>
      <c r="D1129" s="9" t="s">
        <v>40</v>
      </c>
      <c r="E1129" s="9" t="s">
        <v>60</v>
      </c>
      <c r="F1129" s="10">
        <v>54999</v>
      </c>
      <c r="G1129" s="11">
        <v>1</v>
      </c>
      <c r="H1129" s="12">
        <v>0.05</v>
      </c>
      <c r="I1129" s="13">
        <v>2749.95</v>
      </c>
      <c r="J1129" s="13">
        <v>52249.05</v>
      </c>
      <c r="K1129" s="13">
        <v>11161.62</v>
      </c>
      <c r="L1129" s="8" t="s">
        <v>1974</v>
      </c>
      <c r="M1129" s="19" t="s">
        <v>2159</v>
      </c>
      <c r="N1129" s="9" t="s">
        <v>22</v>
      </c>
      <c r="O1129" s="9" t="s">
        <v>23</v>
      </c>
      <c r="P1129">
        <f>DATEVALUE(OnePlusSalesData[[#This Row],[order_date]])</f>
        <v>43530</v>
      </c>
      <c r="Q1129" s="28">
        <f>DATEVALUE(OnePlusSalesData[[#This Row],[delivery_date]])</f>
        <v>43532</v>
      </c>
    </row>
    <row r="1130" spans="1:17" ht="16" x14ac:dyDescent="0.45">
      <c r="A1130" s="2" t="s">
        <v>2160</v>
      </c>
      <c r="B1130" s="2" t="s">
        <v>52</v>
      </c>
      <c r="C1130" s="3" t="s">
        <v>69</v>
      </c>
      <c r="D1130" s="3" t="s">
        <v>85</v>
      </c>
      <c r="E1130" s="3" t="s">
        <v>265</v>
      </c>
      <c r="F1130" s="4">
        <v>4990</v>
      </c>
      <c r="G1130" s="5">
        <v>3</v>
      </c>
      <c r="H1130" s="6">
        <v>0.05</v>
      </c>
      <c r="I1130" s="7">
        <v>748.5</v>
      </c>
      <c r="J1130" s="7">
        <v>14221.5</v>
      </c>
      <c r="K1130" s="7">
        <v>2485.4699999999998</v>
      </c>
      <c r="L1130" s="2" t="s">
        <v>623</v>
      </c>
      <c r="M1130" s="18" t="s">
        <v>624</v>
      </c>
      <c r="N1130" s="3" t="s">
        <v>22</v>
      </c>
      <c r="O1130" s="3" t="s">
        <v>23</v>
      </c>
      <c r="P1130">
        <f>DATEVALUE(OnePlusSalesData[[#This Row],[order_date]])</f>
        <v>43922</v>
      </c>
      <c r="Q1130" s="28">
        <f>DATEVALUE(OnePlusSalesData[[#This Row],[delivery_date]])</f>
        <v>43928</v>
      </c>
    </row>
    <row r="1131" spans="1:17" ht="16" x14ac:dyDescent="0.45">
      <c r="A1131" s="8" t="s">
        <v>2161</v>
      </c>
      <c r="B1131" s="8" t="s">
        <v>16</v>
      </c>
      <c r="C1131" s="9" t="s">
        <v>17</v>
      </c>
      <c r="D1131" s="9" t="s">
        <v>85</v>
      </c>
      <c r="E1131" s="9" t="s">
        <v>258</v>
      </c>
      <c r="F1131" s="10">
        <v>2999</v>
      </c>
      <c r="G1131" s="11">
        <v>1</v>
      </c>
      <c r="H1131" s="12">
        <v>0</v>
      </c>
      <c r="I1131" s="13">
        <v>0</v>
      </c>
      <c r="J1131" s="13">
        <v>2999</v>
      </c>
      <c r="K1131" s="13">
        <v>607.07000000000005</v>
      </c>
      <c r="L1131" s="8" t="s">
        <v>366</v>
      </c>
      <c r="M1131" s="19" t="s">
        <v>1943</v>
      </c>
      <c r="N1131" s="9" t="s">
        <v>22</v>
      </c>
      <c r="O1131" s="9" t="s">
        <v>23</v>
      </c>
      <c r="P1131">
        <f>DATEVALUE(OnePlusSalesData[[#This Row],[order_date]])</f>
        <v>43844</v>
      </c>
      <c r="Q1131" s="28">
        <f>DATEVALUE(OnePlusSalesData[[#This Row],[delivery_date]])</f>
        <v>43846</v>
      </c>
    </row>
    <row r="1132" spans="1:17" ht="16" x14ac:dyDescent="0.45">
      <c r="A1132" s="2" t="s">
        <v>2162</v>
      </c>
      <c r="B1132" s="2" t="s">
        <v>16</v>
      </c>
      <c r="C1132" s="3" t="s">
        <v>33</v>
      </c>
      <c r="D1132" s="3" t="s">
        <v>27</v>
      </c>
      <c r="E1132" s="3" t="s">
        <v>176</v>
      </c>
      <c r="F1132" s="4">
        <v>69900</v>
      </c>
      <c r="G1132" s="5">
        <v>1</v>
      </c>
      <c r="H1132" s="6">
        <v>0.05</v>
      </c>
      <c r="I1132" s="7">
        <v>3495</v>
      </c>
      <c r="J1132" s="7">
        <v>66405</v>
      </c>
      <c r="K1132" s="7">
        <v>16550.89</v>
      </c>
      <c r="L1132" s="2" t="s">
        <v>488</v>
      </c>
      <c r="M1132" s="18" t="s">
        <v>1971</v>
      </c>
      <c r="N1132" s="3" t="s">
        <v>22</v>
      </c>
      <c r="O1132" s="3" t="s">
        <v>31</v>
      </c>
      <c r="P1132">
        <f>DATEVALUE(OnePlusSalesData[[#This Row],[order_date]])</f>
        <v>43256</v>
      </c>
      <c r="Q1132" s="28">
        <f>DATEVALUE(OnePlusSalesData[[#This Row],[delivery_date]])</f>
        <v>43260</v>
      </c>
    </row>
    <row r="1133" spans="1:17" ht="16" x14ac:dyDescent="0.45">
      <c r="A1133" s="8" t="s">
        <v>2163</v>
      </c>
      <c r="B1133" s="8" t="s">
        <v>25</v>
      </c>
      <c r="C1133" s="9" t="s">
        <v>26</v>
      </c>
      <c r="D1133" s="9" t="s">
        <v>40</v>
      </c>
      <c r="E1133" s="9" t="s">
        <v>148</v>
      </c>
      <c r="F1133" s="10">
        <v>41999</v>
      </c>
      <c r="G1133" s="11">
        <v>2</v>
      </c>
      <c r="H1133" s="12">
        <v>0</v>
      </c>
      <c r="I1133" s="13">
        <v>0</v>
      </c>
      <c r="J1133" s="13">
        <v>83998</v>
      </c>
      <c r="K1133" s="13">
        <v>12258.14</v>
      </c>
      <c r="L1133" s="8" t="s">
        <v>811</v>
      </c>
      <c r="M1133" s="19" t="s">
        <v>1669</v>
      </c>
      <c r="N1133" s="9" t="s">
        <v>50</v>
      </c>
      <c r="O1133" s="9" t="s">
        <v>45</v>
      </c>
      <c r="P1133">
        <f>DATEVALUE(OnePlusSalesData[[#This Row],[order_date]])</f>
        <v>43975</v>
      </c>
      <c r="Q1133" s="28">
        <f>DATEVALUE(OnePlusSalesData[[#This Row],[delivery_date]])</f>
        <v>43978</v>
      </c>
    </row>
    <row r="1134" spans="1:17" ht="16" x14ac:dyDescent="0.45">
      <c r="A1134" s="2" t="s">
        <v>2164</v>
      </c>
      <c r="B1134" s="2" t="s">
        <v>16</v>
      </c>
      <c r="C1134" s="3" t="s">
        <v>140</v>
      </c>
      <c r="D1134" s="3" t="s">
        <v>34</v>
      </c>
      <c r="E1134" s="3" t="s">
        <v>35</v>
      </c>
      <c r="F1134" s="4">
        <v>19999</v>
      </c>
      <c r="G1134" s="5">
        <v>1</v>
      </c>
      <c r="H1134" s="6">
        <v>0.1</v>
      </c>
      <c r="I1134" s="7">
        <v>1999.9</v>
      </c>
      <c r="J1134" s="7">
        <v>17999.099999999999</v>
      </c>
      <c r="K1134" s="7">
        <v>3816.11</v>
      </c>
      <c r="L1134" s="2" t="s">
        <v>266</v>
      </c>
      <c r="M1134" s="18" t="s">
        <v>267</v>
      </c>
      <c r="N1134" s="3" t="s">
        <v>22</v>
      </c>
      <c r="O1134" s="3" t="s">
        <v>31</v>
      </c>
      <c r="P1134">
        <f>DATEVALUE(OnePlusSalesData[[#This Row],[order_date]])</f>
        <v>44127</v>
      </c>
      <c r="Q1134" s="28">
        <f>DATEVALUE(OnePlusSalesData[[#This Row],[delivery_date]])</f>
        <v>44134</v>
      </c>
    </row>
    <row r="1135" spans="1:17" ht="16" x14ac:dyDescent="0.45">
      <c r="A1135" s="8" t="s">
        <v>2165</v>
      </c>
      <c r="B1135" s="8" t="s">
        <v>52</v>
      </c>
      <c r="C1135" s="9" t="s">
        <v>69</v>
      </c>
      <c r="D1135" s="9" t="s">
        <v>18</v>
      </c>
      <c r="E1135" s="9" t="s">
        <v>102</v>
      </c>
      <c r="F1135" s="10">
        <v>1490</v>
      </c>
      <c r="G1135" s="11">
        <v>1</v>
      </c>
      <c r="H1135" s="12">
        <v>0</v>
      </c>
      <c r="I1135" s="13">
        <v>0</v>
      </c>
      <c r="J1135" s="13">
        <v>1490</v>
      </c>
      <c r="K1135" s="13">
        <v>303.69</v>
      </c>
      <c r="L1135" s="8" t="s">
        <v>553</v>
      </c>
      <c r="M1135" s="19" t="s">
        <v>900</v>
      </c>
      <c r="N1135" s="9" t="s">
        <v>92</v>
      </c>
      <c r="O1135" s="9" t="s">
        <v>63</v>
      </c>
      <c r="P1135">
        <f>DATEVALUE(OnePlusSalesData[[#This Row],[order_date]])</f>
        <v>43467</v>
      </c>
      <c r="Q1135" s="28">
        <f>DATEVALUE(OnePlusSalesData[[#This Row],[delivery_date]])</f>
        <v>43472</v>
      </c>
    </row>
    <row r="1136" spans="1:17" ht="16" x14ac:dyDescent="0.45">
      <c r="A1136" s="2" t="s">
        <v>2166</v>
      </c>
      <c r="B1136" s="2" t="s">
        <v>58</v>
      </c>
      <c r="C1136" s="3" t="s">
        <v>81</v>
      </c>
      <c r="D1136" s="3" t="s">
        <v>18</v>
      </c>
      <c r="E1136" s="3" t="s">
        <v>124</v>
      </c>
      <c r="F1136" s="4">
        <v>3990</v>
      </c>
      <c r="G1136" s="5">
        <v>1</v>
      </c>
      <c r="H1136" s="6">
        <v>0.05</v>
      </c>
      <c r="I1136" s="7">
        <v>199.5</v>
      </c>
      <c r="J1136" s="7">
        <v>3790.5</v>
      </c>
      <c r="K1136" s="7">
        <v>898.17</v>
      </c>
      <c r="L1136" s="2" t="s">
        <v>1031</v>
      </c>
      <c r="M1136" s="18" t="s">
        <v>632</v>
      </c>
      <c r="N1136" s="3" t="s">
        <v>22</v>
      </c>
      <c r="O1136" s="3" t="s">
        <v>63</v>
      </c>
      <c r="P1136">
        <f>DATEVALUE(OnePlusSalesData[[#This Row],[order_date]])</f>
        <v>43277</v>
      </c>
      <c r="Q1136" s="28">
        <f>DATEVALUE(OnePlusSalesData[[#This Row],[delivery_date]])</f>
        <v>43283</v>
      </c>
    </row>
    <row r="1137" spans="1:17" ht="16" x14ac:dyDescent="0.45">
      <c r="A1137" s="8" t="s">
        <v>2167</v>
      </c>
      <c r="B1137" s="8" t="s">
        <v>16</v>
      </c>
      <c r="C1137" s="9" t="s">
        <v>33</v>
      </c>
      <c r="D1137" s="9" t="s">
        <v>85</v>
      </c>
      <c r="E1137" s="9" t="s">
        <v>86</v>
      </c>
      <c r="F1137" s="10">
        <v>1999</v>
      </c>
      <c r="G1137" s="11">
        <v>3</v>
      </c>
      <c r="H1137" s="12">
        <v>0</v>
      </c>
      <c r="I1137" s="13">
        <v>0</v>
      </c>
      <c r="J1137" s="13">
        <v>5997</v>
      </c>
      <c r="K1137" s="13">
        <v>1516.95</v>
      </c>
      <c r="L1137" s="8" t="s">
        <v>2033</v>
      </c>
      <c r="M1137" s="19" t="s">
        <v>2034</v>
      </c>
      <c r="N1137" s="9" t="s">
        <v>22</v>
      </c>
      <c r="O1137" s="9" t="s">
        <v>23</v>
      </c>
      <c r="P1137">
        <f>DATEVALUE(OnePlusSalesData[[#This Row],[order_date]])</f>
        <v>43127</v>
      </c>
      <c r="Q1137" s="28">
        <f>DATEVALUE(OnePlusSalesData[[#This Row],[delivery_date]])</f>
        <v>43134</v>
      </c>
    </row>
    <row r="1138" spans="1:17" ht="16" x14ac:dyDescent="0.45">
      <c r="A1138" s="2" t="s">
        <v>2168</v>
      </c>
      <c r="B1138" s="2" t="s">
        <v>52</v>
      </c>
      <c r="C1138" s="3" t="s">
        <v>69</v>
      </c>
      <c r="D1138" s="3" t="s">
        <v>40</v>
      </c>
      <c r="E1138" s="3" t="s">
        <v>73</v>
      </c>
      <c r="F1138" s="4">
        <v>32999</v>
      </c>
      <c r="G1138" s="5">
        <v>1</v>
      </c>
      <c r="H1138" s="6">
        <v>0.08</v>
      </c>
      <c r="I1138" s="7">
        <v>2639.92</v>
      </c>
      <c r="J1138" s="7">
        <v>30359.08</v>
      </c>
      <c r="K1138" s="7">
        <v>7410.86</v>
      </c>
      <c r="L1138" s="2" t="s">
        <v>1003</v>
      </c>
      <c r="M1138" s="18" t="s">
        <v>374</v>
      </c>
      <c r="N1138" s="3" t="s">
        <v>22</v>
      </c>
      <c r="O1138" s="3" t="s">
        <v>146</v>
      </c>
      <c r="P1138">
        <f>DATEVALUE(OnePlusSalesData[[#This Row],[order_date]])</f>
        <v>44162</v>
      </c>
      <c r="Q1138" s="28">
        <f>DATEVALUE(OnePlusSalesData[[#This Row],[delivery_date]])</f>
        <v>44168</v>
      </c>
    </row>
    <row r="1139" spans="1:17" ht="16" x14ac:dyDescent="0.45">
      <c r="A1139" s="8" t="s">
        <v>2169</v>
      </c>
      <c r="B1139" s="8" t="s">
        <v>16</v>
      </c>
      <c r="C1139" s="9" t="s">
        <v>17</v>
      </c>
      <c r="D1139" s="9" t="s">
        <v>18</v>
      </c>
      <c r="E1139" s="9" t="s">
        <v>124</v>
      </c>
      <c r="F1139" s="10">
        <v>3990</v>
      </c>
      <c r="G1139" s="11">
        <v>2</v>
      </c>
      <c r="H1139" s="12">
        <v>0.05</v>
      </c>
      <c r="I1139" s="13">
        <v>399</v>
      </c>
      <c r="J1139" s="13">
        <v>7581</v>
      </c>
      <c r="K1139" s="13">
        <v>1064.23</v>
      </c>
      <c r="L1139" s="8" t="s">
        <v>1862</v>
      </c>
      <c r="M1139" s="19" t="s">
        <v>653</v>
      </c>
      <c r="N1139" s="9" t="s">
        <v>50</v>
      </c>
      <c r="O1139" s="9" t="s">
        <v>45</v>
      </c>
      <c r="P1139">
        <f>DATEVALUE(OnePlusSalesData[[#This Row],[order_date]])</f>
        <v>43541</v>
      </c>
      <c r="Q1139" s="28">
        <f>DATEVALUE(OnePlusSalesData[[#This Row],[delivery_date]])</f>
        <v>43547</v>
      </c>
    </row>
    <row r="1140" spans="1:17" ht="16" x14ac:dyDescent="0.45">
      <c r="A1140" s="2" t="s">
        <v>2170</v>
      </c>
      <c r="B1140" s="2" t="s">
        <v>25</v>
      </c>
      <c r="C1140" s="3" t="s">
        <v>133</v>
      </c>
      <c r="D1140" s="3" t="s">
        <v>27</v>
      </c>
      <c r="E1140" s="3" t="s">
        <v>159</v>
      </c>
      <c r="F1140" s="4">
        <v>22999</v>
      </c>
      <c r="G1140" s="5">
        <v>1</v>
      </c>
      <c r="H1140" s="6">
        <v>0.05</v>
      </c>
      <c r="I1140" s="7">
        <v>1149.95</v>
      </c>
      <c r="J1140" s="7">
        <v>21849.05</v>
      </c>
      <c r="K1140" s="7">
        <v>4786.13</v>
      </c>
      <c r="L1140" s="2" t="s">
        <v>1335</v>
      </c>
      <c r="M1140" s="18" t="s">
        <v>739</v>
      </c>
      <c r="N1140" s="3" t="s">
        <v>22</v>
      </c>
      <c r="O1140" s="3" t="s">
        <v>23</v>
      </c>
      <c r="P1140">
        <f>DATEVALUE(OnePlusSalesData[[#This Row],[order_date]])</f>
        <v>44017</v>
      </c>
      <c r="Q1140" s="28">
        <f>DATEVALUE(OnePlusSalesData[[#This Row],[delivery_date]])</f>
        <v>44019</v>
      </c>
    </row>
    <row r="1141" spans="1:17" ht="16" x14ac:dyDescent="0.45">
      <c r="A1141" s="8" t="s">
        <v>2171</v>
      </c>
      <c r="B1141" s="8" t="s">
        <v>16</v>
      </c>
      <c r="C1141" s="9" t="s">
        <v>152</v>
      </c>
      <c r="D1141" s="9" t="s">
        <v>27</v>
      </c>
      <c r="E1141" s="9" t="s">
        <v>176</v>
      </c>
      <c r="F1141" s="10">
        <v>69900</v>
      </c>
      <c r="G1141" s="11">
        <v>1</v>
      </c>
      <c r="H1141" s="12">
        <v>0.08</v>
      </c>
      <c r="I1141" s="13">
        <v>5592</v>
      </c>
      <c r="J1141" s="13">
        <v>64308</v>
      </c>
      <c r="K1141" s="13">
        <v>14790.74</v>
      </c>
      <c r="L1141" s="8" t="s">
        <v>2033</v>
      </c>
      <c r="M1141" s="19" t="s">
        <v>2034</v>
      </c>
      <c r="N1141" s="9" t="s">
        <v>50</v>
      </c>
      <c r="O1141" s="9" t="s">
        <v>23</v>
      </c>
      <c r="P1141">
        <f>DATEVALUE(OnePlusSalesData[[#This Row],[order_date]])</f>
        <v>43127</v>
      </c>
      <c r="Q1141" s="28">
        <f>DATEVALUE(OnePlusSalesData[[#This Row],[delivery_date]])</f>
        <v>43134</v>
      </c>
    </row>
    <row r="1142" spans="1:17" ht="16" x14ac:dyDescent="0.45">
      <c r="A1142" s="2" t="s">
        <v>2172</v>
      </c>
      <c r="B1142" s="2" t="s">
        <v>58</v>
      </c>
      <c r="C1142" s="3" t="s">
        <v>59</v>
      </c>
      <c r="D1142" s="3" t="s">
        <v>40</v>
      </c>
      <c r="E1142" s="3" t="s">
        <v>60</v>
      </c>
      <c r="F1142" s="4">
        <v>54999</v>
      </c>
      <c r="G1142" s="5">
        <v>4</v>
      </c>
      <c r="H1142" s="6">
        <v>0</v>
      </c>
      <c r="I1142" s="7">
        <v>0</v>
      </c>
      <c r="J1142" s="7">
        <v>219996</v>
      </c>
      <c r="K1142" s="7">
        <v>36898.68</v>
      </c>
      <c r="L1142" s="2" t="s">
        <v>1175</v>
      </c>
      <c r="M1142" s="18" t="s">
        <v>2127</v>
      </c>
      <c r="N1142" s="3" t="s">
        <v>92</v>
      </c>
      <c r="O1142" s="3" t="s">
        <v>146</v>
      </c>
      <c r="P1142">
        <f>DATEVALUE(OnePlusSalesData[[#This Row],[order_date]])</f>
        <v>43529</v>
      </c>
      <c r="Q1142" s="28">
        <f>DATEVALUE(OnePlusSalesData[[#This Row],[delivery_date]])</f>
        <v>43531</v>
      </c>
    </row>
    <row r="1143" spans="1:17" ht="16" x14ac:dyDescent="0.45">
      <c r="A1143" s="8" t="s">
        <v>2173</v>
      </c>
      <c r="B1143" s="8" t="s">
        <v>16</v>
      </c>
      <c r="C1143" s="9" t="s">
        <v>140</v>
      </c>
      <c r="D1143" s="9" t="s">
        <v>85</v>
      </c>
      <c r="E1143" s="9" t="s">
        <v>258</v>
      </c>
      <c r="F1143" s="10">
        <v>2999</v>
      </c>
      <c r="G1143" s="11">
        <v>1</v>
      </c>
      <c r="H1143" s="12">
        <v>0</v>
      </c>
      <c r="I1143" s="13">
        <v>0</v>
      </c>
      <c r="J1143" s="13">
        <v>2999</v>
      </c>
      <c r="K1143" s="13">
        <v>500.79</v>
      </c>
      <c r="L1143" s="8" t="s">
        <v>1276</v>
      </c>
      <c r="M1143" s="19" t="s">
        <v>1506</v>
      </c>
      <c r="N1143" s="9" t="s">
        <v>44</v>
      </c>
      <c r="O1143" s="9" t="s">
        <v>96</v>
      </c>
      <c r="P1143">
        <f>DATEVALUE(OnePlusSalesData[[#This Row],[order_date]])</f>
        <v>43914</v>
      </c>
      <c r="Q1143" s="28">
        <f>DATEVALUE(OnePlusSalesData[[#This Row],[delivery_date]])</f>
        <v>43918</v>
      </c>
    </row>
    <row r="1144" spans="1:17" ht="16" x14ac:dyDescent="0.45">
      <c r="A1144" s="2" t="s">
        <v>2174</v>
      </c>
      <c r="B1144" s="2" t="s">
        <v>25</v>
      </c>
      <c r="C1144" s="3" t="s">
        <v>120</v>
      </c>
      <c r="D1144" s="3" t="s">
        <v>40</v>
      </c>
      <c r="E1144" s="3" t="s">
        <v>98</v>
      </c>
      <c r="F1144" s="4">
        <v>34999</v>
      </c>
      <c r="G1144" s="5">
        <v>1</v>
      </c>
      <c r="H1144" s="6">
        <v>0.1</v>
      </c>
      <c r="I1144" s="7">
        <v>3499.9</v>
      </c>
      <c r="J1144" s="7">
        <v>31499.1</v>
      </c>
      <c r="K1144" s="7">
        <v>4447.1499999999996</v>
      </c>
      <c r="L1144" s="2" t="s">
        <v>821</v>
      </c>
      <c r="M1144" s="18" t="s">
        <v>2175</v>
      </c>
      <c r="N1144" s="3" t="s">
        <v>22</v>
      </c>
      <c r="O1144" s="3" t="s">
        <v>23</v>
      </c>
      <c r="P1144">
        <f>DATEVALUE(OnePlusSalesData[[#This Row],[order_date]])</f>
        <v>44176</v>
      </c>
      <c r="Q1144" s="28">
        <f>DATEVALUE(OnePlusSalesData[[#This Row],[delivery_date]])</f>
        <v>44182</v>
      </c>
    </row>
    <row r="1145" spans="1:17" ht="16" x14ac:dyDescent="0.45">
      <c r="A1145" s="8" t="s">
        <v>2176</v>
      </c>
      <c r="B1145" s="8" t="s">
        <v>16</v>
      </c>
      <c r="C1145" s="9" t="s">
        <v>39</v>
      </c>
      <c r="D1145" s="9" t="s">
        <v>18</v>
      </c>
      <c r="E1145" s="9" t="s">
        <v>19</v>
      </c>
      <c r="F1145" s="10">
        <v>1990</v>
      </c>
      <c r="G1145" s="11">
        <v>1</v>
      </c>
      <c r="H1145" s="12">
        <v>0.1</v>
      </c>
      <c r="I1145" s="13">
        <v>199</v>
      </c>
      <c r="J1145" s="13">
        <v>1791</v>
      </c>
      <c r="K1145" s="13">
        <v>385.25</v>
      </c>
      <c r="L1145" s="8" t="s">
        <v>218</v>
      </c>
      <c r="M1145" s="19" t="s">
        <v>1483</v>
      </c>
      <c r="N1145" s="9" t="s">
        <v>22</v>
      </c>
      <c r="O1145" s="9" t="s">
        <v>23</v>
      </c>
      <c r="P1145">
        <f>DATEVALUE(OnePlusSalesData[[#This Row],[order_date]])</f>
        <v>43798</v>
      </c>
      <c r="Q1145" s="28">
        <f>DATEVALUE(OnePlusSalesData[[#This Row],[delivery_date]])</f>
        <v>43800</v>
      </c>
    </row>
    <row r="1146" spans="1:17" ht="16" x14ac:dyDescent="0.45">
      <c r="A1146" s="2" t="s">
        <v>2177</v>
      </c>
      <c r="B1146" s="2" t="s">
        <v>16</v>
      </c>
      <c r="C1146" s="3" t="s">
        <v>152</v>
      </c>
      <c r="D1146" s="3" t="s">
        <v>40</v>
      </c>
      <c r="E1146" s="3" t="s">
        <v>406</v>
      </c>
      <c r="F1146" s="4">
        <v>48999</v>
      </c>
      <c r="G1146" s="5">
        <v>1</v>
      </c>
      <c r="H1146" s="6">
        <v>0.05</v>
      </c>
      <c r="I1146" s="7">
        <v>2449.9499999999998</v>
      </c>
      <c r="J1146" s="7">
        <v>46549.05</v>
      </c>
      <c r="K1146" s="7">
        <v>7598.85</v>
      </c>
      <c r="L1146" s="2" t="s">
        <v>2017</v>
      </c>
      <c r="M1146" s="18" t="s">
        <v>636</v>
      </c>
      <c r="N1146" s="3" t="s">
        <v>92</v>
      </c>
      <c r="O1146" s="3" t="s">
        <v>96</v>
      </c>
      <c r="P1146">
        <f>DATEVALUE(OnePlusSalesData[[#This Row],[order_date]])</f>
        <v>43598</v>
      </c>
      <c r="Q1146" s="28">
        <f>DATEVALUE(OnePlusSalesData[[#This Row],[delivery_date]])</f>
        <v>43600</v>
      </c>
    </row>
    <row r="1147" spans="1:17" ht="16" x14ac:dyDescent="0.45">
      <c r="A1147" s="8" t="s">
        <v>2178</v>
      </c>
      <c r="B1147" s="8" t="s">
        <v>16</v>
      </c>
      <c r="C1147" s="9" t="s">
        <v>140</v>
      </c>
      <c r="D1147" s="9" t="s">
        <v>85</v>
      </c>
      <c r="E1147" s="9" t="s">
        <v>228</v>
      </c>
      <c r="F1147" s="10">
        <v>5990</v>
      </c>
      <c r="G1147" s="11">
        <v>2</v>
      </c>
      <c r="H1147" s="12">
        <v>0.1</v>
      </c>
      <c r="I1147" s="13">
        <v>1198</v>
      </c>
      <c r="J1147" s="13">
        <v>10782</v>
      </c>
      <c r="K1147" s="13">
        <v>2477.6799999999998</v>
      </c>
      <c r="L1147" s="8" t="s">
        <v>682</v>
      </c>
      <c r="M1147" s="19" t="s">
        <v>1460</v>
      </c>
      <c r="N1147" s="9" t="s">
        <v>22</v>
      </c>
      <c r="O1147" s="9" t="s">
        <v>23</v>
      </c>
      <c r="P1147">
        <f>DATEVALUE(OnePlusSalesData[[#This Row],[order_date]])</f>
        <v>44043</v>
      </c>
      <c r="Q1147" s="28">
        <f>DATEVALUE(OnePlusSalesData[[#This Row],[delivery_date]])</f>
        <v>44047</v>
      </c>
    </row>
    <row r="1148" spans="1:17" ht="16" x14ac:dyDescent="0.45">
      <c r="A1148" s="2" t="s">
        <v>2179</v>
      </c>
      <c r="B1148" s="2" t="s">
        <v>16</v>
      </c>
      <c r="C1148" s="3" t="s">
        <v>152</v>
      </c>
      <c r="D1148" s="3" t="s">
        <v>40</v>
      </c>
      <c r="E1148" s="3" t="s">
        <v>406</v>
      </c>
      <c r="F1148" s="4">
        <v>48999</v>
      </c>
      <c r="G1148" s="5">
        <v>3</v>
      </c>
      <c r="H1148" s="6">
        <v>0.12</v>
      </c>
      <c r="I1148" s="7">
        <v>17639.64</v>
      </c>
      <c r="J1148" s="7">
        <v>129357.36</v>
      </c>
      <c r="K1148" s="7">
        <v>25833.83</v>
      </c>
      <c r="L1148" s="2" t="s">
        <v>1284</v>
      </c>
      <c r="M1148" s="18" t="s">
        <v>2180</v>
      </c>
      <c r="N1148" s="3" t="s">
        <v>22</v>
      </c>
      <c r="O1148" s="3" t="s">
        <v>96</v>
      </c>
      <c r="P1148">
        <f>DATEVALUE(OnePlusSalesData[[#This Row],[order_date]])</f>
        <v>43178</v>
      </c>
      <c r="Q1148" s="28">
        <f>DATEVALUE(OnePlusSalesData[[#This Row],[delivery_date]])</f>
        <v>43181</v>
      </c>
    </row>
    <row r="1149" spans="1:17" ht="16" x14ac:dyDescent="0.45">
      <c r="A1149" s="8" t="s">
        <v>2181</v>
      </c>
      <c r="B1149" s="8" t="s">
        <v>58</v>
      </c>
      <c r="C1149" s="9" t="s">
        <v>113</v>
      </c>
      <c r="D1149" s="9" t="s">
        <v>18</v>
      </c>
      <c r="E1149" s="9" t="s">
        <v>102</v>
      </c>
      <c r="F1149" s="10">
        <v>1490</v>
      </c>
      <c r="G1149" s="11">
        <v>3</v>
      </c>
      <c r="H1149" s="12">
        <v>0.05</v>
      </c>
      <c r="I1149" s="13">
        <v>223.5</v>
      </c>
      <c r="J1149" s="13">
        <v>4246.5</v>
      </c>
      <c r="K1149" s="13">
        <v>700.67</v>
      </c>
      <c r="L1149" s="8" t="s">
        <v>1138</v>
      </c>
      <c r="M1149" s="19" t="s">
        <v>186</v>
      </c>
      <c r="N1149" s="9" t="s">
        <v>22</v>
      </c>
      <c r="O1149" s="9" t="s">
        <v>31</v>
      </c>
      <c r="P1149">
        <f>DATEVALUE(OnePlusSalesData[[#This Row],[order_date]])</f>
        <v>43822</v>
      </c>
      <c r="Q1149" s="28">
        <f>DATEVALUE(OnePlusSalesData[[#This Row],[delivery_date]])</f>
        <v>43829</v>
      </c>
    </row>
    <row r="1150" spans="1:17" ht="16" x14ac:dyDescent="0.45">
      <c r="A1150" s="2" t="s">
        <v>2182</v>
      </c>
      <c r="B1150" s="2" t="s">
        <v>16</v>
      </c>
      <c r="C1150" s="3" t="s">
        <v>140</v>
      </c>
      <c r="D1150" s="3" t="s">
        <v>27</v>
      </c>
      <c r="E1150" s="3" t="s">
        <v>159</v>
      </c>
      <c r="F1150" s="4">
        <v>22999</v>
      </c>
      <c r="G1150" s="5">
        <v>1</v>
      </c>
      <c r="H1150" s="6">
        <v>0.1</v>
      </c>
      <c r="I1150" s="7">
        <v>2299.9</v>
      </c>
      <c r="J1150" s="7">
        <v>20699.099999999999</v>
      </c>
      <c r="K1150" s="7">
        <v>4762.8100000000004</v>
      </c>
      <c r="L1150" s="2" t="s">
        <v>169</v>
      </c>
      <c r="M1150" s="18" t="s">
        <v>1286</v>
      </c>
      <c r="N1150" s="3" t="s">
        <v>22</v>
      </c>
      <c r="O1150" s="3" t="s">
        <v>146</v>
      </c>
      <c r="P1150">
        <f>DATEVALUE(OnePlusSalesData[[#This Row],[order_date]])</f>
        <v>44171</v>
      </c>
      <c r="Q1150" s="28">
        <f>DATEVALUE(OnePlusSalesData[[#This Row],[delivery_date]])</f>
        <v>44175</v>
      </c>
    </row>
    <row r="1151" spans="1:17" ht="16" x14ac:dyDescent="0.45">
      <c r="A1151" s="8" t="s">
        <v>2183</v>
      </c>
      <c r="B1151" s="8" t="s">
        <v>16</v>
      </c>
      <c r="C1151" s="9" t="s">
        <v>140</v>
      </c>
      <c r="D1151" s="9" t="s">
        <v>18</v>
      </c>
      <c r="E1151" s="9" t="s">
        <v>179</v>
      </c>
      <c r="F1151" s="10">
        <v>1290</v>
      </c>
      <c r="G1151" s="11">
        <v>2</v>
      </c>
      <c r="H1151" s="12">
        <v>0.05</v>
      </c>
      <c r="I1151" s="13">
        <v>129</v>
      </c>
      <c r="J1151" s="13">
        <v>2451</v>
      </c>
      <c r="K1151" s="13">
        <v>478.08</v>
      </c>
      <c r="L1151" s="8" t="s">
        <v>2184</v>
      </c>
      <c r="M1151" s="19" t="s">
        <v>1195</v>
      </c>
      <c r="N1151" s="9" t="s">
        <v>44</v>
      </c>
      <c r="O1151" s="9" t="s">
        <v>45</v>
      </c>
      <c r="P1151">
        <f>DATEVALUE(OnePlusSalesData[[#This Row],[order_date]])</f>
        <v>43937</v>
      </c>
      <c r="Q1151" s="28">
        <f>DATEVALUE(OnePlusSalesData[[#This Row],[delivery_date]])</f>
        <v>43941</v>
      </c>
    </row>
    <row r="1152" spans="1:17" ht="16" x14ac:dyDescent="0.45">
      <c r="A1152" s="2" t="s">
        <v>2185</v>
      </c>
      <c r="B1152" s="2" t="s">
        <v>52</v>
      </c>
      <c r="C1152" s="3" t="s">
        <v>106</v>
      </c>
      <c r="D1152" s="3" t="s">
        <v>40</v>
      </c>
      <c r="E1152" s="3" t="s">
        <v>41</v>
      </c>
      <c r="F1152" s="4">
        <v>37999</v>
      </c>
      <c r="G1152" s="5">
        <v>2</v>
      </c>
      <c r="H1152" s="6">
        <v>0</v>
      </c>
      <c r="I1152" s="7">
        <v>0</v>
      </c>
      <c r="J1152" s="7">
        <v>75998</v>
      </c>
      <c r="K1152" s="7">
        <v>15572.98</v>
      </c>
      <c r="L1152" s="2" t="s">
        <v>721</v>
      </c>
      <c r="M1152" s="18" t="s">
        <v>2033</v>
      </c>
      <c r="N1152" s="3" t="s">
        <v>92</v>
      </c>
      <c r="O1152" s="3" t="s">
        <v>45</v>
      </c>
      <c r="P1152">
        <f>DATEVALUE(OnePlusSalesData[[#This Row],[order_date]])</f>
        <v>43124</v>
      </c>
      <c r="Q1152" s="28">
        <f>DATEVALUE(OnePlusSalesData[[#This Row],[delivery_date]])</f>
        <v>43127</v>
      </c>
    </row>
    <row r="1153" spans="1:17" ht="16" x14ac:dyDescent="0.45">
      <c r="A1153" s="8" t="s">
        <v>2186</v>
      </c>
      <c r="B1153" s="8" t="s">
        <v>52</v>
      </c>
      <c r="C1153" s="9" t="s">
        <v>192</v>
      </c>
      <c r="D1153" s="9" t="s">
        <v>27</v>
      </c>
      <c r="E1153" s="9" t="s">
        <v>28</v>
      </c>
      <c r="F1153" s="10">
        <v>12999</v>
      </c>
      <c r="G1153" s="11">
        <v>1</v>
      </c>
      <c r="H1153" s="12">
        <v>0.08</v>
      </c>
      <c r="I1153" s="13">
        <v>1039.92</v>
      </c>
      <c r="J1153" s="13">
        <v>11959.08</v>
      </c>
      <c r="K1153" s="13">
        <v>2280.86</v>
      </c>
      <c r="L1153" s="8" t="s">
        <v>878</v>
      </c>
      <c r="M1153" s="19" t="s">
        <v>323</v>
      </c>
      <c r="N1153" s="9" t="s">
        <v>22</v>
      </c>
      <c r="O1153" s="9" t="s">
        <v>31</v>
      </c>
      <c r="P1153">
        <f>DATEVALUE(OnePlusSalesData[[#This Row],[order_date]])</f>
        <v>43218</v>
      </c>
      <c r="Q1153" s="28">
        <f>DATEVALUE(OnePlusSalesData[[#This Row],[delivery_date]])</f>
        <v>43220</v>
      </c>
    </row>
    <row r="1154" spans="1:17" ht="16" x14ac:dyDescent="0.45">
      <c r="A1154" s="2" t="s">
        <v>2187</v>
      </c>
      <c r="B1154" s="2" t="s">
        <v>25</v>
      </c>
      <c r="C1154" s="3" t="s">
        <v>65</v>
      </c>
      <c r="D1154" s="3" t="s">
        <v>18</v>
      </c>
      <c r="E1154" s="3" t="s">
        <v>102</v>
      </c>
      <c r="F1154" s="4">
        <v>1490</v>
      </c>
      <c r="G1154" s="5">
        <v>1</v>
      </c>
      <c r="H1154" s="6">
        <v>0</v>
      </c>
      <c r="I1154" s="7">
        <v>0</v>
      </c>
      <c r="J1154" s="7">
        <v>1490</v>
      </c>
      <c r="K1154" s="7">
        <v>346.6</v>
      </c>
      <c r="L1154" s="2" t="s">
        <v>2140</v>
      </c>
      <c r="M1154" s="18" t="s">
        <v>694</v>
      </c>
      <c r="N1154" s="3" t="s">
        <v>22</v>
      </c>
      <c r="O1154" s="3" t="s">
        <v>96</v>
      </c>
      <c r="P1154">
        <f>DATEVALUE(OnePlusSalesData[[#This Row],[order_date]])</f>
        <v>43951</v>
      </c>
      <c r="Q1154" s="28">
        <f>DATEVALUE(OnePlusSalesData[[#This Row],[delivery_date]])</f>
        <v>43956</v>
      </c>
    </row>
    <row r="1155" spans="1:17" ht="16" x14ac:dyDescent="0.45">
      <c r="A1155" s="8" t="s">
        <v>2188</v>
      </c>
      <c r="B1155" s="8" t="s">
        <v>16</v>
      </c>
      <c r="C1155" s="9" t="s">
        <v>33</v>
      </c>
      <c r="D1155" s="9" t="s">
        <v>85</v>
      </c>
      <c r="E1155" s="9" t="s">
        <v>265</v>
      </c>
      <c r="F1155" s="10">
        <v>4990</v>
      </c>
      <c r="G1155" s="11">
        <v>1</v>
      </c>
      <c r="H1155" s="12">
        <v>0.08</v>
      </c>
      <c r="I1155" s="13">
        <v>399.2</v>
      </c>
      <c r="J1155" s="13">
        <v>4590.8</v>
      </c>
      <c r="K1155" s="13">
        <v>884.8</v>
      </c>
      <c r="L1155" s="8" t="s">
        <v>2135</v>
      </c>
      <c r="M1155" s="19" t="s">
        <v>447</v>
      </c>
      <c r="N1155" s="9" t="s">
        <v>22</v>
      </c>
      <c r="O1155" s="9" t="s">
        <v>23</v>
      </c>
      <c r="P1155">
        <f>DATEVALUE(OnePlusSalesData[[#This Row],[order_date]])</f>
        <v>43442</v>
      </c>
      <c r="Q1155" s="28">
        <f>DATEVALUE(OnePlusSalesData[[#This Row],[delivery_date]])</f>
        <v>43445</v>
      </c>
    </row>
    <row r="1156" spans="1:17" ht="16" x14ac:dyDescent="0.45">
      <c r="A1156" s="2" t="s">
        <v>2189</v>
      </c>
      <c r="B1156" s="2" t="s">
        <v>52</v>
      </c>
      <c r="C1156" s="3" t="s">
        <v>106</v>
      </c>
      <c r="D1156" s="3" t="s">
        <v>34</v>
      </c>
      <c r="E1156" s="3" t="s">
        <v>35</v>
      </c>
      <c r="F1156" s="4">
        <v>19999</v>
      </c>
      <c r="G1156" s="5">
        <v>1</v>
      </c>
      <c r="H1156" s="6">
        <v>0</v>
      </c>
      <c r="I1156" s="7">
        <v>0</v>
      </c>
      <c r="J1156" s="7">
        <v>19999</v>
      </c>
      <c r="K1156" s="7">
        <v>4746.42</v>
      </c>
      <c r="L1156" s="2" t="s">
        <v>588</v>
      </c>
      <c r="M1156" s="18" t="s">
        <v>932</v>
      </c>
      <c r="N1156" s="3" t="s">
        <v>22</v>
      </c>
      <c r="O1156" s="3" t="s">
        <v>23</v>
      </c>
      <c r="P1156">
        <f>DATEVALUE(OnePlusSalesData[[#This Row],[order_date]])</f>
        <v>43345</v>
      </c>
      <c r="Q1156" s="28">
        <f>DATEVALUE(OnePlusSalesData[[#This Row],[delivery_date]])</f>
        <v>43351</v>
      </c>
    </row>
    <row r="1157" spans="1:17" ht="16" x14ac:dyDescent="0.45">
      <c r="A1157" s="8" t="s">
        <v>2190</v>
      </c>
      <c r="B1157" s="8" t="s">
        <v>52</v>
      </c>
      <c r="C1157" s="9" t="s">
        <v>192</v>
      </c>
      <c r="D1157" s="9" t="s">
        <v>40</v>
      </c>
      <c r="E1157" s="9" t="s">
        <v>406</v>
      </c>
      <c r="F1157" s="10">
        <v>48999</v>
      </c>
      <c r="G1157" s="11">
        <v>1</v>
      </c>
      <c r="H1157" s="12">
        <v>0.05</v>
      </c>
      <c r="I1157" s="13">
        <v>2449.9499999999998</v>
      </c>
      <c r="J1157" s="13">
        <v>46549.05</v>
      </c>
      <c r="K1157" s="13">
        <v>7442.72</v>
      </c>
      <c r="L1157" s="8" t="s">
        <v>1630</v>
      </c>
      <c r="M1157" s="19" t="s">
        <v>2184</v>
      </c>
      <c r="N1157" s="9" t="s">
        <v>22</v>
      </c>
      <c r="O1157" s="9" t="s">
        <v>63</v>
      </c>
      <c r="P1157">
        <f>DATEVALUE(OnePlusSalesData[[#This Row],[order_date]])</f>
        <v>43930</v>
      </c>
      <c r="Q1157" s="28">
        <f>DATEVALUE(OnePlusSalesData[[#This Row],[delivery_date]])</f>
        <v>43937</v>
      </c>
    </row>
    <row r="1158" spans="1:17" ht="16" x14ac:dyDescent="0.45">
      <c r="A1158" s="2" t="s">
        <v>2191</v>
      </c>
      <c r="B1158" s="2" t="s">
        <v>16</v>
      </c>
      <c r="C1158" s="3" t="s">
        <v>33</v>
      </c>
      <c r="D1158" s="3" t="s">
        <v>18</v>
      </c>
      <c r="E1158" s="3" t="s">
        <v>124</v>
      </c>
      <c r="F1158" s="4">
        <v>3990</v>
      </c>
      <c r="G1158" s="5">
        <v>1</v>
      </c>
      <c r="H1158" s="6">
        <v>0.08</v>
      </c>
      <c r="I1158" s="7">
        <v>319.2</v>
      </c>
      <c r="J1158" s="7">
        <v>3670.8</v>
      </c>
      <c r="K1158" s="7">
        <v>640.42999999999995</v>
      </c>
      <c r="L1158" s="2" t="s">
        <v>2192</v>
      </c>
      <c r="M1158" s="18" t="s">
        <v>272</v>
      </c>
      <c r="N1158" s="3" t="s">
        <v>92</v>
      </c>
      <c r="O1158" s="3" t="s">
        <v>96</v>
      </c>
      <c r="P1158">
        <f>DATEVALUE(OnePlusSalesData[[#This Row],[order_date]])</f>
        <v>43330</v>
      </c>
      <c r="Q1158" s="28">
        <f>DATEVALUE(OnePlusSalesData[[#This Row],[delivery_date]])</f>
        <v>43333</v>
      </c>
    </row>
    <row r="1159" spans="1:17" ht="16" x14ac:dyDescent="0.45">
      <c r="A1159" s="8" t="s">
        <v>2193</v>
      </c>
      <c r="B1159" s="8" t="s">
        <v>25</v>
      </c>
      <c r="C1159" s="9" t="s">
        <v>133</v>
      </c>
      <c r="D1159" s="9" t="s">
        <v>40</v>
      </c>
      <c r="E1159" s="9" t="s">
        <v>406</v>
      </c>
      <c r="F1159" s="10">
        <v>48999</v>
      </c>
      <c r="G1159" s="11">
        <v>1</v>
      </c>
      <c r="H1159" s="12">
        <v>0.05</v>
      </c>
      <c r="I1159" s="13">
        <v>2449.9499999999998</v>
      </c>
      <c r="J1159" s="13">
        <v>46549.05</v>
      </c>
      <c r="K1159" s="13">
        <v>11821.24</v>
      </c>
      <c r="L1159" s="8" t="s">
        <v>145</v>
      </c>
      <c r="M1159" s="19" t="s">
        <v>751</v>
      </c>
      <c r="N1159" s="9" t="s">
        <v>22</v>
      </c>
      <c r="O1159" s="9" t="s">
        <v>96</v>
      </c>
      <c r="P1159">
        <f>DATEVALUE(OnePlusSalesData[[#This Row],[order_date]])</f>
        <v>43862</v>
      </c>
      <c r="Q1159" s="28">
        <f>DATEVALUE(OnePlusSalesData[[#This Row],[delivery_date]])</f>
        <v>43864</v>
      </c>
    </row>
    <row r="1160" spans="1:17" ht="16" x14ac:dyDescent="0.45">
      <c r="A1160" s="2" t="s">
        <v>2194</v>
      </c>
      <c r="B1160" s="2" t="s">
        <v>25</v>
      </c>
      <c r="C1160" s="3" t="s">
        <v>172</v>
      </c>
      <c r="D1160" s="3" t="s">
        <v>40</v>
      </c>
      <c r="E1160" s="3" t="s">
        <v>60</v>
      </c>
      <c r="F1160" s="4">
        <v>54999</v>
      </c>
      <c r="G1160" s="5">
        <v>1</v>
      </c>
      <c r="H1160" s="6">
        <v>0.15</v>
      </c>
      <c r="I1160" s="7">
        <v>8249.85</v>
      </c>
      <c r="J1160" s="7">
        <v>46749.15</v>
      </c>
      <c r="K1160" s="7">
        <v>9646.2000000000007</v>
      </c>
      <c r="L1160" s="2" t="s">
        <v>142</v>
      </c>
      <c r="M1160" s="18" t="s">
        <v>242</v>
      </c>
      <c r="N1160" s="3" t="s">
        <v>22</v>
      </c>
      <c r="O1160" s="3" t="s">
        <v>63</v>
      </c>
      <c r="P1160">
        <f>DATEVALUE(OnePlusSalesData[[#This Row],[order_date]])</f>
        <v>43957</v>
      </c>
      <c r="Q1160" s="28">
        <f>DATEVALUE(OnePlusSalesData[[#This Row],[delivery_date]])</f>
        <v>43959</v>
      </c>
    </row>
    <row r="1161" spans="1:17" ht="16" x14ac:dyDescent="0.45">
      <c r="A1161" s="8" t="s">
        <v>2195</v>
      </c>
      <c r="B1161" s="8" t="s">
        <v>16</v>
      </c>
      <c r="C1161" s="9" t="s">
        <v>39</v>
      </c>
      <c r="D1161" s="9" t="s">
        <v>18</v>
      </c>
      <c r="E1161" s="9" t="s">
        <v>102</v>
      </c>
      <c r="F1161" s="10">
        <v>1490</v>
      </c>
      <c r="G1161" s="11">
        <v>1</v>
      </c>
      <c r="H1161" s="12">
        <v>0</v>
      </c>
      <c r="I1161" s="13">
        <v>0</v>
      </c>
      <c r="J1161" s="13">
        <v>1490</v>
      </c>
      <c r="K1161" s="13">
        <v>347.56</v>
      </c>
      <c r="L1161" s="8" t="s">
        <v>466</v>
      </c>
      <c r="M1161" s="19" t="s">
        <v>90</v>
      </c>
      <c r="N1161" s="9" t="s">
        <v>92</v>
      </c>
      <c r="O1161" s="9" t="s">
        <v>23</v>
      </c>
      <c r="P1161">
        <f>DATEVALUE(OnePlusSalesData[[#This Row],[order_date]])</f>
        <v>43412</v>
      </c>
      <c r="Q1161" s="28">
        <f>DATEVALUE(OnePlusSalesData[[#This Row],[delivery_date]])</f>
        <v>43418</v>
      </c>
    </row>
    <row r="1162" spans="1:17" ht="16" x14ac:dyDescent="0.45">
      <c r="A1162" s="2" t="s">
        <v>2196</v>
      </c>
      <c r="B1162" s="2" t="s">
        <v>52</v>
      </c>
      <c r="C1162" s="3" t="s">
        <v>192</v>
      </c>
      <c r="D1162" s="3" t="s">
        <v>27</v>
      </c>
      <c r="E1162" s="3" t="s">
        <v>28</v>
      </c>
      <c r="F1162" s="4">
        <v>12999</v>
      </c>
      <c r="G1162" s="5">
        <v>1</v>
      </c>
      <c r="H1162" s="6">
        <v>0.05</v>
      </c>
      <c r="I1162" s="7">
        <v>649.95000000000005</v>
      </c>
      <c r="J1162" s="7">
        <v>12349.05</v>
      </c>
      <c r="K1162" s="7">
        <v>2627.18</v>
      </c>
      <c r="L1162" s="2" t="s">
        <v>1091</v>
      </c>
      <c r="M1162" s="18" t="s">
        <v>412</v>
      </c>
      <c r="N1162" s="3" t="s">
        <v>92</v>
      </c>
      <c r="O1162" s="3" t="s">
        <v>23</v>
      </c>
      <c r="P1162">
        <f>DATEVALUE(OnePlusSalesData[[#This Row],[order_date]])</f>
        <v>44070</v>
      </c>
      <c r="Q1162" s="28">
        <f>DATEVALUE(OnePlusSalesData[[#This Row],[delivery_date]])</f>
        <v>44075</v>
      </c>
    </row>
    <row r="1163" spans="1:17" ht="16" x14ac:dyDescent="0.45">
      <c r="A1163" s="8" t="s">
        <v>2197</v>
      </c>
      <c r="B1163" s="8" t="s">
        <v>52</v>
      </c>
      <c r="C1163" s="9" t="s">
        <v>358</v>
      </c>
      <c r="D1163" s="9" t="s">
        <v>85</v>
      </c>
      <c r="E1163" s="9" t="s">
        <v>258</v>
      </c>
      <c r="F1163" s="10">
        <v>2999</v>
      </c>
      <c r="G1163" s="11">
        <v>1</v>
      </c>
      <c r="H1163" s="12">
        <v>0</v>
      </c>
      <c r="I1163" s="13">
        <v>0</v>
      </c>
      <c r="J1163" s="13">
        <v>2999</v>
      </c>
      <c r="K1163" s="13">
        <v>486.81</v>
      </c>
      <c r="L1163" s="8" t="s">
        <v>927</v>
      </c>
      <c r="M1163" s="19" t="s">
        <v>889</v>
      </c>
      <c r="N1163" s="9" t="s">
        <v>44</v>
      </c>
      <c r="O1163" s="9" t="s">
        <v>63</v>
      </c>
      <c r="P1163">
        <f>DATEVALUE(OnePlusSalesData[[#This Row],[order_date]])</f>
        <v>43313</v>
      </c>
      <c r="Q1163" s="28">
        <f>DATEVALUE(OnePlusSalesData[[#This Row],[delivery_date]])</f>
        <v>43319</v>
      </c>
    </row>
    <row r="1164" spans="1:17" ht="16" x14ac:dyDescent="0.45">
      <c r="A1164" s="2" t="s">
        <v>2198</v>
      </c>
      <c r="B1164" s="2" t="s">
        <v>25</v>
      </c>
      <c r="C1164" s="3" t="s">
        <v>120</v>
      </c>
      <c r="D1164" s="3" t="s">
        <v>40</v>
      </c>
      <c r="E1164" s="3" t="s">
        <v>148</v>
      </c>
      <c r="F1164" s="4">
        <v>41999</v>
      </c>
      <c r="G1164" s="5">
        <v>2</v>
      </c>
      <c r="H1164" s="6">
        <v>0</v>
      </c>
      <c r="I1164" s="7">
        <v>0</v>
      </c>
      <c r="J1164" s="7">
        <v>83998</v>
      </c>
      <c r="K1164" s="7">
        <v>21318.45</v>
      </c>
      <c r="L1164" s="2" t="s">
        <v>1936</v>
      </c>
      <c r="M1164" s="18" t="s">
        <v>655</v>
      </c>
      <c r="N1164" s="3" t="s">
        <v>22</v>
      </c>
      <c r="O1164" s="3" t="s">
        <v>63</v>
      </c>
      <c r="P1164">
        <f>DATEVALUE(OnePlusSalesData[[#This Row],[order_date]])</f>
        <v>43671</v>
      </c>
      <c r="Q1164" s="28">
        <f>DATEVALUE(OnePlusSalesData[[#This Row],[delivery_date]])</f>
        <v>43673</v>
      </c>
    </row>
    <row r="1165" spans="1:17" ht="16" x14ac:dyDescent="0.45">
      <c r="A1165" s="8" t="s">
        <v>2199</v>
      </c>
      <c r="B1165" s="8" t="s">
        <v>25</v>
      </c>
      <c r="C1165" s="9" t="s">
        <v>26</v>
      </c>
      <c r="D1165" s="9" t="s">
        <v>18</v>
      </c>
      <c r="E1165" s="9" t="s">
        <v>124</v>
      </c>
      <c r="F1165" s="10">
        <v>3990</v>
      </c>
      <c r="G1165" s="11">
        <v>1</v>
      </c>
      <c r="H1165" s="12">
        <v>0.05</v>
      </c>
      <c r="I1165" s="13">
        <v>199.5</v>
      </c>
      <c r="J1165" s="13">
        <v>3790.5</v>
      </c>
      <c r="K1165" s="13">
        <v>871.32</v>
      </c>
      <c r="L1165" s="8" t="s">
        <v>2200</v>
      </c>
      <c r="M1165" s="19" t="s">
        <v>1694</v>
      </c>
      <c r="N1165" s="9" t="s">
        <v>44</v>
      </c>
      <c r="O1165" s="9" t="s">
        <v>31</v>
      </c>
      <c r="P1165">
        <f>DATEVALUE(OnePlusSalesData[[#This Row],[order_date]])</f>
        <v>43526</v>
      </c>
      <c r="Q1165" s="28">
        <f>DATEVALUE(OnePlusSalesData[[#This Row],[delivery_date]])</f>
        <v>43533</v>
      </c>
    </row>
    <row r="1166" spans="1:17" ht="16" x14ac:dyDescent="0.45">
      <c r="A1166" s="2" t="s">
        <v>2201</v>
      </c>
      <c r="B1166" s="2" t="s">
        <v>58</v>
      </c>
      <c r="C1166" s="3" t="s">
        <v>221</v>
      </c>
      <c r="D1166" s="3" t="s">
        <v>85</v>
      </c>
      <c r="E1166" s="3" t="s">
        <v>228</v>
      </c>
      <c r="F1166" s="4">
        <v>5990</v>
      </c>
      <c r="G1166" s="5">
        <v>2</v>
      </c>
      <c r="H1166" s="6">
        <v>0</v>
      </c>
      <c r="I1166" s="7">
        <v>0</v>
      </c>
      <c r="J1166" s="7">
        <v>11980</v>
      </c>
      <c r="K1166" s="7">
        <v>1993.46</v>
      </c>
      <c r="L1166" s="2" t="s">
        <v>1500</v>
      </c>
      <c r="M1166" s="18" t="s">
        <v>611</v>
      </c>
      <c r="N1166" s="3" t="s">
        <v>92</v>
      </c>
      <c r="O1166" s="3" t="s">
        <v>23</v>
      </c>
      <c r="P1166">
        <f>DATEVALUE(OnePlusSalesData[[#This Row],[order_date]])</f>
        <v>43184</v>
      </c>
      <c r="Q1166" s="28">
        <f>DATEVALUE(OnePlusSalesData[[#This Row],[delivery_date]])</f>
        <v>43188</v>
      </c>
    </row>
    <row r="1167" spans="1:17" ht="16" x14ac:dyDescent="0.45">
      <c r="A1167" s="8" t="s">
        <v>2202</v>
      </c>
      <c r="B1167" s="8" t="s">
        <v>52</v>
      </c>
      <c r="C1167" s="9" t="s">
        <v>358</v>
      </c>
      <c r="D1167" s="9" t="s">
        <v>40</v>
      </c>
      <c r="E1167" s="9" t="s">
        <v>41</v>
      </c>
      <c r="F1167" s="10">
        <v>37999</v>
      </c>
      <c r="G1167" s="11">
        <v>2</v>
      </c>
      <c r="H1167" s="12">
        <v>0.08</v>
      </c>
      <c r="I1167" s="13">
        <v>6079.84</v>
      </c>
      <c r="J1167" s="13">
        <v>69918.16</v>
      </c>
      <c r="K1167" s="13">
        <v>11434.53</v>
      </c>
      <c r="L1167" s="8" t="s">
        <v>90</v>
      </c>
      <c r="M1167" s="19" t="s">
        <v>781</v>
      </c>
      <c r="N1167" s="9" t="s">
        <v>22</v>
      </c>
      <c r="O1167" s="9" t="s">
        <v>63</v>
      </c>
      <c r="P1167">
        <f>DATEVALUE(OnePlusSalesData[[#This Row],[order_date]])</f>
        <v>43418</v>
      </c>
      <c r="Q1167" s="28">
        <f>DATEVALUE(OnePlusSalesData[[#This Row],[delivery_date]])</f>
        <v>43425</v>
      </c>
    </row>
    <row r="1168" spans="1:17" ht="16" x14ac:dyDescent="0.45">
      <c r="A1168" s="2" t="s">
        <v>2203</v>
      </c>
      <c r="B1168" s="2" t="s">
        <v>25</v>
      </c>
      <c r="C1168" s="3" t="s">
        <v>172</v>
      </c>
      <c r="D1168" s="3" t="s">
        <v>27</v>
      </c>
      <c r="E1168" s="3" t="s">
        <v>28</v>
      </c>
      <c r="F1168" s="4">
        <v>12999</v>
      </c>
      <c r="G1168" s="5">
        <v>1</v>
      </c>
      <c r="H1168" s="6">
        <v>0.12</v>
      </c>
      <c r="I1168" s="7">
        <v>1559.88</v>
      </c>
      <c r="J1168" s="7">
        <v>11439.12</v>
      </c>
      <c r="K1168" s="7">
        <v>2955.39</v>
      </c>
      <c r="L1168" s="2" t="s">
        <v>1377</v>
      </c>
      <c r="M1168" s="18" t="s">
        <v>254</v>
      </c>
      <c r="N1168" s="3" t="s">
        <v>92</v>
      </c>
      <c r="O1168" s="3" t="s">
        <v>23</v>
      </c>
      <c r="P1168">
        <f>DATEVALUE(OnePlusSalesData[[#This Row],[order_date]])</f>
        <v>43935</v>
      </c>
      <c r="Q1168" s="28">
        <f>DATEVALUE(OnePlusSalesData[[#This Row],[delivery_date]])</f>
        <v>43938</v>
      </c>
    </row>
    <row r="1169" spans="1:17" ht="16" x14ac:dyDescent="0.45">
      <c r="A1169" s="8" t="s">
        <v>2204</v>
      </c>
      <c r="B1169" s="8" t="s">
        <v>16</v>
      </c>
      <c r="C1169" s="9" t="s">
        <v>39</v>
      </c>
      <c r="D1169" s="9" t="s">
        <v>40</v>
      </c>
      <c r="E1169" s="9" t="s">
        <v>41</v>
      </c>
      <c r="F1169" s="10">
        <v>37999</v>
      </c>
      <c r="G1169" s="11">
        <v>2</v>
      </c>
      <c r="H1169" s="12">
        <v>0.08</v>
      </c>
      <c r="I1169" s="13">
        <v>6079.84</v>
      </c>
      <c r="J1169" s="13">
        <v>69918.16</v>
      </c>
      <c r="K1169" s="13">
        <v>17253.580000000002</v>
      </c>
      <c r="L1169" s="8" t="s">
        <v>322</v>
      </c>
      <c r="M1169" s="19" t="s">
        <v>880</v>
      </c>
      <c r="N1169" s="9" t="s">
        <v>92</v>
      </c>
      <c r="O1169" s="9" t="s">
        <v>23</v>
      </c>
      <c r="P1169">
        <f>DATEVALUE(OnePlusSalesData[[#This Row],[order_date]])</f>
        <v>43217</v>
      </c>
      <c r="Q1169" s="28">
        <f>DATEVALUE(OnePlusSalesData[[#This Row],[delivery_date]])</f>
        <v>43222</v>
      </c>
    </row>
    <row r="1170" spans="1:17" ht="16" x14ac:dyDescent="0.45">
      <c r="A1170" s="2" t="s">
        <v>2205</v>
      </c>
      <c r="B1170" s="2" t="s">
        <v>16</v>
      </c>
      <c r="C1170" s="3" t="s">
        <v>152</v>
      </c>
      <c r="D1170" s="3" t="s">
        <v>34</v>
      </c>
      <c r="E1170" s="3" t="s">
        <v>77</v>
      </c>
      <c r="F1170" s="4">
        <v>24999</v>
      </c>
      <c r="G1170" s="5">
        <v>2</v>
      </c>
      <c r="H1170" s="6">
        <v>0.05</v>
      </c>
      <c r="I1170" s="7">
        <v>2499.9</v>
      </c>
      <c r="J1170" s="7">
        <v>47498.1</v>
      </c>
      <c r="K1170" s="7">
        <v>6795.83</v>
      </c>
      <c r="L1170" s="2" t="s">
        <v>2206</v>
      </c>
      <c r="M1170" s="18" t="s">
        <v>2207</v>
      </c>
      <c r="N1170" s="3" t="s">
        <v>50</v>
      </c>
      <c r="O1170" s="3" t="s">
        <v>31</v>
      </c>
      <c r="P1170">
        <f>DATEVALUE(OnePlusSalesData[[#This Row],[order_date]])</f>
        <v>43159</v>
      </c>
      <c r="Q1170" s="28">
        <f>DATEVALUE(OnePlusSalesData[[#This Row],[delivery_date]])</f>
        <v>43165</v>
      </c>
    </row>
    <row r="1171" spans="1:17" ht="16" x14ac:dyDescent="0.45">
      <c r="A1171" s="8" t="s">
        <v>2208</v>
      </c>
      <c r="B1171" s="8" t="s">
        <v>25</v>
      </c>
      <c r="C1171" s="9" t="s">
        <v>65</v>
      </c>
      <c r="D1171" s="9" t="s">
        <v>18</v>
      </c>
      <c r="E1171" s="9" t="s">
        <v>19</v>
      </c>
      <c r="F1171" s="10">
        <v>1990</v>
      </c>
      <c r="G1171" s="11">
        <v>1</v>
      </c>
      <c r="H1171" s="12">
        <v>0.05</v>
      </c>
      <c r="I1171" s="13">
        <v>99.5</v>
      </c>
      <c r="J1171" s="13">
        <v>1890.5</v>
      </c>
      <c r="K1171" s="13">
        <v>379.62</v>
      </c>
      <c r="L1171" s="8" t="s">
        <v>125</v>
      </c>
      <c r="M1171" s="19" t="s">
        <v>1419</v>
      </c>
      <c r="N1171" s="9" t="s">
        <v>22</v>
      </c>
      <c r="O1171" s="9" t="s">
        <v>146</v>
      </c>
      <c r="P1171">
        <f>DATEVALUE(OnePlusSalesData[[#This Row],[order_date]])</f>
        <v>43498</v>
      </c>
      <c r="Q1171" s="28">
        <f>DATEVALUE(OnePlusSalesData[[#This Row],[delivery_date]])</f>
        <v>43500</v>
      </c>
    </row>
    <row r="1172" spans="1:17" ht="16" x14ac:dyDescent="0.45">
      <c r="A1172" s="2" t="s">
        <v>2209</v>
      </c>
      <c r="B1172" s="2" t="s">
        <v>52</v>
      </c>
      <c r="C1172" s="3" t="s">
        <v>106</v>
      </c>
      <c r="D1172" s="3" t="s">
        <v>40</v>
      </c>
      <c r="E1172" s="3" t="s">
        <v>60</v>
      </c>
      <c r="F1172" s="4">
        <v>54999</v>
      </c>
      <c r="G1172" s="5">
        <v>3</v>
      </c>
      <c r="H1172" s="6">
        <v>0.05</v>
      </c>
      <c r="I1172" s="7">
        <v>8249.85</v>
      </c>
      <c r="J1172" s="7">
        <v>156747.15</v>
      </c>
      <c r="K1172" s="7">
        <v>38283.199999999997</v>
      </c>
      <c r="L1172" s="2" t="s">
        <v>1256</v>
      </c>
      <c r="M1172" s="18" t="s">
        <v>889</v>
      </c>
      <c r="N1172" s="3" t="s">
        <v>22</v>
      </c>
      <c r="O1172" s="3" t="s">
        <v>63</v>
      </c>
      <c r="P1172">
        <f>DATEVALUE(OnePlusSalesData[[#This Row],[order_date]])</f>
        <v>43314</v>
      </c>
      <c r="Q1172" s="28">
        <f>DATEVALUE(OnePlusSalesData[[#This Row],[delivery_date]])</f>
        <v>43319</v>
      </c>
    </row>
    <row r="1173" spans="1:17" ht="16" x14ac:dyDescent="0.45">
      <c r="A1173" s="8" t="s">
        <v>2210</v>
      </c>
      <c r="B1173" s="8" t="s">
        <v>52</v>
      </c>
      <c r="C1173" s="9" t="s">
        <v>53</v>
      </c>
      <c r="D1173" s="9" t="s">
        <v>34</v>
      </c>
      <c r="E1173" s="9" t="s">
        <v>77</v>
      </c>
      <c r="F1173" s="10">
        <v>24999</v>
      </c>
      <c r="G1173" s="11">
        <v>3</v>
      </c>
      <c r="H1173" s="12">
        <v>0</v>
      </c>
      <c r="I1173" s="13">
        <v>0</v>
      </c>
      <c r="J1173" s="13">
        <v>74997</v>
      </c>
      <c r="K1173" s="13">
        <v>14543.08</v>
      </c>
      <c r="L1173" s="8" t="s">
        <v>337</v>
      </c>
      <c r="M1173" s="19" t="s">
        <v>338</v>
      </c>
      <c r="N1173" s="9" t="s">
        <v>22</v>
      </c>
      <c r="O1173" s="9" t="s">
        <v>63</v>
      </c>
      <c r="P1173">
        <f>DATEVALUE(OnePlusSalesData[[#This Row],[order_date]])</f>
        <v>44025</v>
      </c>
      <c r="Q1173" s="28">
        <f>DATEVALUE(OnePlusSalesData[[#This Row],[delivery_date]])</f>
        <v>44029</v>
      </c>
    </row>
    <row r="1174" spans="1:17" ht="16" x14ac:dyDescent="0.45">
      <c r="A1174" s="2" t="s">
        <v>2211</v>
      </c>
      <c r="B1174" s="2" t="s">
        <v>16</v>
      </c>
      <c r="C1174" s="3" t="s">
        <v>39</v>
      </c>
      <c r="D1174" s="3" t="s">
        <v>40</v>
      </c>
      <c r="E1174" s="3" t="s">
        <v>47</v>
      </c>
      <c r="F1174" s="4">
        <v>37999</v>
      </c>
      <c r="G1174" s="5">
        <v>1</v>
      </c>
      <c r="H1174" s="6">
        <v>0</v>
      </c>
      <c r="I1174" s="7">
        <v>0</v>
      </c>
      <c r="J1174" s="7">
        <v>37999</v>
      </c>
      <c r="K1174" s="7">
        <v>8388.2800000000007</v>
      </c>
      <c r="L1174" s="2" t="s">
        <v>617</v>
      </c>
      <c r="M1174" s="18" t="s">
        <v>303</v>
      </c>
      <c r="N1174" s="3" t="s">
        <v>22</v>
      </c>
      <c r="O1174" s="3" t="s">
        <v>23</v>
      </c>
      <c r="P1174">
        <f>DATEVALUE(OnePlusSalesData[[#This Row],[order_date]])</f>
        <v>43576</v>
      </c>
      <c r="Q1174" s="28">
        <f>DATEVALUE(OnePlusSalesData[[#This Row],[delivery_date]])</f>
        <v>43578</v>
      </c>
    </row>
    <row r="1175" spans="1:17" ht="16" x14ac:dyDescent="0.45">
      <c r="A1175" s="8" t="s">
        <v>2212</v>
      </c>
      <c r="B1175" s="8" t="s">
        <v>52</v>
      </c>
      <c r="C1175" s="9" t="s">
        <v>53</v>
      </c>
      <c r="D1175" s="9" t="s">
        <v>18</v>
      </c>
      <c r="E1175" s="9" t="s">
        <v>179</v>
      </c>
      <c r="F1175" s="10">
        <v>1290</v>
      </c>
      <c r="G1175" s="11">
        <v>2</v>
      </c>
      <c r="H1175" s="12">
        <v>0.08</v>
      </c>
      <c r="I1175" s="13">
        <v>206.4</v>
      </c>
      <c r="J1175" s="13">
        <v>2373.6</v>
      </c>
      <c r="K1175" s="13">
        <v>412.31</v>
      </c>
      <c r="L1175" s="8" t="s">
        <v>135</v>
      </c>
      <c r="M1175" s="19" t="s">
        <v>952</v>
      </c>
      <c r="N1175" s="9" t="s">
        <v>22</v>
      </c>
      <c r="O1175" s="9" t="s">
        <v>31</v>
      </c>
      <c r="P1175">
        <f>DATEVALUE(OnePlusSalesData[[#This Row],[order_date]])</f>
        <v>43622</v>
      </c>
      <c r="Q1175" s="28">
        <f>DATEVALUE(OnePlusSalesData[[#This Row],[delivery_date]])</f>
        <v>43628</v>
      </c>
    </row>
    <row r="1176" spans="1:17" ht="16" x14ac:dyDescent="0.45">
      <c r="A1176" s="2" t="s">
        <v>2213</v>
      </c>
      <c r="B1176" s="2" t="s">
        <v>16</v>
      </c>
      <c r="C1176" s="3" t="s">
        <v>152</v>
      </c>
      <c r="D1176" s="3" t="s">
        <v>85</v>
      </c>
      <c r="E1176" s="3" t="s">
        <v>265</v>
      </c>
      <c r="F1176" s="4">
        <v>4990</v>
      </c>
      <c r="G1176" s="5">
        <v>1</v>
      </c>
      <c r="H1176" s="6">
        <v>0</v>
      </c>
      <c r="I1176" s="7">
        <v>0</v>
      </c>
      <c r="J1176" s="7">
        <v>4990</v>
      </c>
      <c r="K1176" s="7">
        <v>930.51</v>
      </c>
      <c r="L1176" s="2" t="s">
        <v>1156</v>
      </c>
      <c r="M1176" s="18" t="s">
        <v>1722</v>
      </c>
      <c r="N1176" s="3" t="s">
        <v>22</v>
      </c>
      <c r="O1176" s="3" t="s">
        <v>23</v>
      </c>
      <c r="P1176">
        <f>DATEVALUE(OnePlusSalesData[[#This Row],[order_date]])</f>
        <v>43272</v>
      </c>
      <c r="Q1176" s="28">
        <f>DATEVALUE(OnePlusSalesData[[#This Row],[delivery_date]])</f>
        <v>43276</v>
      </c>
    </row>
    <row r="1177" spans="1:17" ht="16" x14ac:dyDescent="0.45">
      <c r="A1177" s="8" t="s">
        <v>2214</v>
      </c>
      <c r="B1177" s="8" t="s">
        <v>52</v>
      </c>
      <c r="C1177" s="9" t="s">
        <v>53</v>
      </c>
      <c r="D1177" s="9" t="s">
        <v>85</v>
      </c>
      <c r="E1177" s="9" t="s">
        <v>265</v>
      </c>
      <c r="F1177" s="10">
        <v>4990</v>
      </c>
      <c r="G1177" s="11">
        <v>1</v>
      </c>
      <c r="H1177" s="12">
        <v>0.1</v>
      </c>
      <c r="I1177" s="13">
        <v>499</v>
      </c>
      <c r="J1177" s="13">
        <v>4491</v>
      </c>
      <c r="K1177" s="13">
        <v>823.18</v>
      </c>
      <c r="L1177" s="8" t="s">
        <v>1459</v>
      </c>
      <c r="M1177" s="19" t="s">
        <v>2215</v>
      </c>
      <c r="N1177" s="9" t="s">
        <v>22</v>
      </c>
      <c r="O1177" s="9" t="s">
        <v>23</v>
      </c>
      <c r="P1177">
        <f>DATEVALUE(OnePlusSalesData[[#This Row],[order_date]])</f>
        <v>44044</v>
      </c>
      <c r="Q1177" s="28">
        <f>DATEVALUE(OnePlusSalesData[[#This Row],[delivery_date]])</f>
        <v>44049</v>
      </c>
    </row>
    <row r="1178" spans="1:17" ht="16" x14ac:dyDescent="0.45">
      <c r="A1178" s="2" t="s">
        <v>2216</v>
      </c>
      <c r="B1178" s="2" t="s">
        <v>25</v>
      </c>
      <c r="C1178" s="3" t="s">
        <v>26</v>
      </c>
      <c r="D1178" s="3" t="s">
        <v>40</v>
      </c>
      <c r="E1178" s="3" t="s">
        <v>148</v>
      </c>
      <c r="F1178" s="4">
        <v>41999</v>
      </c>
      <c r="G1178" s="5">
        <v>1</v>
      </c>
      <c r="H1178" s="6">
        <v>0.05</v>
      </c>
      <c r="I1178" s="7">
        <v>2099.9499999999998</v>
      </c>
      <c r="J1178" s="7">
        <v>39899.050000000003</v>
      </c>
      <c r="K1178" s="7">
        <v>8404.7800000000007</v>
      </c>
      <c r="L1178" s="2" t="s">
        <v>319</v>
      </c>
      <c r="M1178" s="18" t="s">
        <v>532</v>
      </c>
      <c r="N1178" s="3" t="s">
        <v>92</v>
      </c>
      <c r="O1178" s="3" t="s">
        <v>63</v>
      </c>
      <c r="P1178">
        <f>DATEVALUE(OnePlusSalesData[[#This Row],[order_date]])</f>
        <v>44083</v>
      </c>
      <c r="Q1178" s="28">
        <f>DATEVALUE(OnePlusSalesData[[#This Row],[delivery_date]])</f>
        <v>44088</v>
      </c>
    </row>
    <row r="1179" spans="1:17" ht="16" x14ac:dyDescent="0.45">
      <c r="A1179" s="8" t="s">
        <v>2217</v>
      </c>
      <c r="B1179" s="8" t="s">
        <v>16</v>
      </c>
      <c r="C1179" s="9" t="s">
        <v>152</v>
      </c>
      <c r="D1179" s="9" t="s">
        <v>40</v>
      </c>
      <c r="E1179" s="9" t="s">
        <v>60</v>
      </c>
      <c r="F1179" s="10">
        <v>54999</v>
      </c>
      <c r="G1179" s="11">
        <v>4</v>
      </c>
      <c r="H1179" s="12">
        <v>0</v>
      </c>
      <c r="I1179" s="13">
        <v>0</v>
      </c>
      <c r="J1179" s="13">
        <v>219996</v>
      </c>
      <c r="K1179" s="13">
        <v>35551.83</v>
      </c>
      <c r="L1179" s="8" t="s">
        <v>135</v>
      </c>
      <c r="M1179" s="19" t="s">
        <v>2218</v>
      </c>
      <c r="N1179" s="9" t="s">
        <v>22</v>
      </c>
      <c r="O1179" s="9" t="s">
        <v>23</v>
      </c>
      <c r="P1179">
        <f>DATEVALUE(OnePlusSalesData[[#This Row],[order_date]])</f>
        <v>43622</v>
      </c>
      <c r="Q1179" s="28">
        <f>DATEVALUE(OnePlusSalesData[[#This Row],[delivery_date]])</f>
        <v>43627</v>
      </c>
    </row>
    <row r="1180" spans="1:17" ht="16" x14ac:dyDescent="0.45">
      <c r="A1180" s="2" t="s">
        <v>2219</v>
      </c>
      <c r="B1180" s="2" t="s">
        <v>52</v>
      </c>
      <c r="C1180" s="3" t="s">
        <v>53</v>
      </c>
      <c r="D1180" s="3" t="s">
        <v>85</v>
      </c>
      <c r="E1180" s="3" t="s">
        <v>86</v>
      </c>
      <c r="F1180" s="4">
        <v>1999</v>
      </c>
      <c r="G1180" s="5">
        <v>1</v>
      </c>
      <c r="H1180" s="6">
        <v>0.05</v>
      </c>
      <c r="I1180" s="7">
        <v>99.95</v>
      </c>
      <c r="J1180" s="7">
        <v>1899.05</v>
      </c>
      <c r="K1180" s="7">
        <v>290.19</v>
      </c>
      <c r="L1180" s="2" t="s">
        <v>1252</v>
      </c>
      <c r="M1180" s="18" t="s">
        <v>802</v>
      </c>
      <c r="N1180" s="3" t="s">
        <v>50</v>
      </c>
      <c r="O1180" s="3" t="s">
        <v>23</v>
      </c>
      <c r="P1180">
        <f>DATEVALUE(OnePlusSalesData[[#This Row],[order_date]])</f>
        <v>43635</v>
      </c>
      <c r="Q1180" s="28">
        <f>DATEVALUE(OnePlusSalesData[[#This Row],[delivery_date]])</f>
        <v>43638</v>
      </c>
    </row>
    <row r="1181" spans="1:17" ht="16" x14ac:dyDescent="0.45">
      <c r="A1181" s="8" t="s">
        <v>2220</v>
      </c>
      <c r="B1181" s="8" t="s">
        <v>25</v>
      </c>
      <c r="C1181" s="9" t="s">
        <v>120</v>
      </c>
      <c r="D1181" s="9" t="s">
        <v>40</v>
      </c>
      <c r="E1181" s="9" t="s">
        <v>73</v>
      </c>
      <c r="F1181" s="10">
        <v>32999</v>
      </c>
      <c r="G1181" s="11">
        <v>1</v>
      </c>
      <c r="H1181" s="12">
        <v>0.1</v>
      </c>
      <c r="I1181" s="13">
        <v>3299.9</v>
      </c>
      <c r="J1181" s="13">
        <v>29699.1</v>
      </c>
      <c r="K1181" s="13">
        <v>5701.33</v>
      </c>
      <c r="L1181" s="8" t="s">
        <v>150</v>
      </c>
      <c r="M1181" s="19" t="s">
        <v>135</v>
      </c>
      <c r="N1181" s="9" t="s">
        <v>50</v>
      </c>
      <c r="O1181" s="9" t="s">
        <v>23</v>
      </c>
      <c r="P1181">
        <f>DATEVALUE(OnePlusSalesData[[#This Row],[order_date]])</f>
        <v>43619</v>
      </c>
      <c r="Q1181" s="28">
        <f>DATEVALUE(OnePlusSalesData[[#This Row],[delivery_date]])</f>
        <v>43622</v>
      </c>
    </row>
    <row r="1182" spans="1:17" ht="16" x14ac:dyDescent="0.45">
      <c r="A1182" s="2" t="s">
        <v>2221</v>
      </c>
      <c r="B1182" s="2" t="s">
        <v>25</v>
      </c>
      <c r="C1182" s="3" t="s">
        <v>65</v>
      </c>
      <c r="D1182" s="3" t="s">
        <v>34</v>
      </c>
      <c r="E1182" s="3" t="s">
        <v>35</v>
      </c>
      <c r="F1182" s="4">
        <v>19999</v>
      </c>
      <c r="G1182" s="5">
        <v>1</v>
      </c>
      <c r="H1182" s="6">
        <v>0.05</v>
      </c>
      <c r="I1182" s="7">
        <v>999.95</v>
      </c>
      <c r="J1182" s="7">
        <v>18999.05</v>
      </c>
      <c r="K1182" s="7">
        <v>4862.22</v>
      </c>
      <c r="L1182" s="2" t="s">
        <v>1214</v>
      </c>
      <c r="M1182" s="18" t="s">
        <v>930</v>
      </c>
      <c r="N1182" s="3" t="s">
        <v>44</v>
      </c>
      <c r="O1182" s="3" t="s">
        <v>45</v>
      </c>
      <c r="P1182">
        <f>DATEVALUE(OnePlusSalesData[[#This Row],[order_date]])</f>
        <v>43431</v>
      </c>
      <c r="Q1182" s="28">
        <f>DATEVALUE(OnePlusSalesData[[#This Row],[delivery_date]])</f>
        <v>43433</v>
      </c>
    </row>
    <row r="1183" spans="1:17" ht="16" x14ac:dyDescent="0.45">
      <c r="A1183" s="8" t="s">
        <v>2222</v>
      </c>
      <c r="B1183" s="8" t="s">
        <v>16</v>
      </c>
      <c r="C1183" s="9" t="s">
        <v>140</v>
      </c>
      <c r="D1183" s="9" t="s">
        <v>18</v>
      </c>
      <c r="E1183" s="9" t="s">
        <v>19</v>
      </c>
      <c r="F1183" s="10">
        <v>1990</v>
      </c>
      <c r="G1183" s="11">
        <v>5</v>
      </c>
      <c r="H1183" s="12">
        <v>0.05</v>
      </c>
      <c r="I1183" s="13">
        <v>497.5</v>
      </c>
      <c r="J1183" s="13">
        <v>9452.5</v>
      </c>
      <c r="K1183" s="13">
        <v>1618.9</v>
      </c>
      <c r="L1183" s="8" t="s">
        <v>1193</v>
      </c>
      <c r="M1183" s="19" t="s">
        <v>2223</v>
      </c>
      <c r="N1183" s="9" t="s">
        <v>22</v>
      </c>
      <c r="O1183" s="9" t="s">
        <v>146</v>
      </c>
      <c r="P1183">
        <f>DATEVALUE(OnePlusSalesData[[#This Row],[order_date]])</f>
        <v>43253</v>
      </c>
      <c r="Q1183" s="28">
        <f>DATEVALUE(OnePlusSalesData[[#This Row],[delivery_date]])</f>
        <v>43258</v>
      </c>
    </row>
    <row r="1184" spans="1:17" ht="16" x14ac:dyDescent="0.45">
      <c r="A1184" s="2" t="s">
        <v>2224</v>
      </c>
      <c r="B1184" s="2" t="s">
        <v>58</v>
      </c>
      <c r="C1184" s="3" t="s">
        <v>221</v>
      </c>
      <c r="D1184" s="3" t="s">
        <v>40</v>
      </c>
      <c r="E1184" s="3" t="s">
        <v>41</v>
      </c>
      <c r="F1184" s="4">
        <v>37999</v>
      </c>
      <c r="G1184" s="5">
        <v>2</v>
      </c>
      <c r="H1184" s="6">
        <v>0.08</v>
      </c>
      <c r="I1184" s="7">
        <v>6079.84</v>
      </c>
      <c r="J1184" s="7">
        <v>69918.16</v>
      </c>
      <c r="K1184" s="7">
        <v>16945</v>
      </c>
      <c r="L1184" s="2" t="s">
        <v>2225</v>
      </c>
      <c r="M1184" s="18" t="s">
        <v>1412</v>
      </c>
      <c r="N1184" s="3" t="s">
        <v>22</v>
      </c>
      <c r="O1184" s="3" t="s">
        <v>31</v>
      </c>
      <c r="P1184">
        <f>DATEVALUE(OnePlusSalesData[[#This Row],[order_date]])</f>
        <v>43630</v>
      </c>
      <c r="Q1184" s="28">
        <f>DATEVALUE(OnePlusSalesData[[#This Row],[delivery_date]])</f>
        <v>43636</v>
      </c>
    </row>
    <row r="1185" spans="1:17" ht="16" x14ac:dyDescent="0.45">
      <c r="A1185" s="8" t="s">
        <v>2226</v>
      </c>
      <c r="B1185" s="8" t="s">
        <v>16</v>
      </c>
      <c r="C1185" s="9" t="s">
        <v>140</v>
      </c>
      <c r="D1185" s="9" t="s">
        <v>18</v>
      </c>
      <c r="E1185" s="9" t="s">
        <v>179</v>
      </c>
      <c r="F1185" s="10">
        <v>1290</v>
      </c>
      <c r="G1185" s="11">
        <v>1</v>
      </c>
      <c r="H1185" s="12">
        <v>0.08</v>
      </c>
      <c r="I1185" s="13">
        <v>103.2</v>
      </c>
      <c r="J1185" s="13">
        <v>1186.8</v>
      </c>
      <c r="K1185" s="13">
        <v>193.87</v>
      </c>
      <c r="L1185" s="8" t="s">
        <v>1716</v>
      </c>
      <c r="M1185" s="19" t="s">
        <v>694</v>
      </c>
      <c r="N1185" s="9" t="s">
        <v>22</v>
      </c>
      <c r="O1185" s="9" t="s">
        <v>23</v>
      </c>
      <c r="P1185">
        <f>DATEVALUE(OnePlusSalesData[[#This Row],[order_date]])</f>
        <v>43949</v>
      </c>
      <c r="Q1185" s="28">
        <f>DATEVALUE(OnePlusSalesData[[#This Row],[delivery_date]])</f>
        <v>43956</v>
      </c>
    </row>
    <row r="1186" spans="1:17" ht="16" x14ac:dyDescent="0.45">
      <c r="A1186" s="2" t="s">
        <v>2227</v>
      </c>
      <c r="B1186" s="2" t="s">
        <v>58</v>
      </c>
      <c r="C1186" s="3" t="s">
        <v>113</v>
      </c>
      <c r="D1186" s="3" t="s">
        <v>85</v>
      </c>
      <c r="E1186" s="3" t="s">
        <v>258</v>
      </c>
      <c r="F1186" s="4">
        <v>2999</v>
      </c>
      <c r="G1186" s="5">
        <v>3</v>
      </c>
      <c r="H1186" s="6">
        <v>0.05</v>
      </c>
      <c r="I1186" s="7">
        <v>449.85</v>
      </c>
      <c r="J1186" s="7">
        <v>8547.15</v>
      </c>
      <c r="K1186" s="7">
        <v>1918.96</v>
      </c>
      <c r="L1186" s="2" t="s">
        <v>621</v>
      </c>
      <c r="M1186" s="18" t="s">
        <v>2228</v>
      </c>
      <c r="N1186" s="3" t="s">
        <v>22</v>
      </c>
      <c r="O1186" s="3" t="s">
        <v>23</v>
      </c>
      <c r="P1186">
        <f>DATEVALUE(OnePlusSalesData[[#This Row],[order_date]])</f>
        <v>44122</v>
      </c>
      <c r="Q1186" s="28">
        <f>DATEVALUE(OnePlusSalesData[[#This Row],[delivery_date]])</f>
        <v>44124</v>
      </c>
    </row>
    <row r="1187" spans="1:17" ht="16" x14ac:dyDescent="0.45">
      <c r="A1187" s="8" t="s">
        <v>2229</v>
      </c>
      <c r="B1187" s="8" t="s">
        <v>16</v>
      </c>
      <c r="C1187" s="9" t="s">
        <v>152</v>
      </c>
      <c r="D1187" s="9" t="s">
        <v>40</v>
      </c>
      <c r="E1187" s="9" t="s">
        <v>41</v>
      </c>
      <c r="F1187" s="10">
        <v>37999</v>
      </c>
      <c r="G1187" s="11">
        <v>2</v>
      </c>
      <c r="H1187" s="12">
        <v>0</v>
      </c>
      <c r="I1187" s="13">
        <v>0</v>
      </c>
      <c r="J1187" s="13">
        <v>75998</v>
      </c>
      <c r="K1187" s="13">
        <v>16922.830000000002</v>
      </c>
      <c r="L1187" s="8" t="s">
        <v>1164</v>
      </c>
      <c r="M1187" s="19" t="s">
        <v>1403</v>
      </c>
      <c r="N1187" s="9" t="s">
        <v>22</v>
      </c>
      <c r="O1187" s="9" t="s">
        <v>45</v>
      </c>
      <c r="P1187">
        <f>DATEVALUE(OnePlusSalesData[[#This Row],[order_date]])</f>
        <v>43883</v>
      </c>
      <c r="Q1187" s="28">
        <f>DATEVALUE(OnePlusSalesData[[#This Row],[delivery_date]])</f>
        <v>43888</v>
      </c>
    </row>
    <row r="1188" spans="1:17" ht="16" x14ac:dyDescent="0.45">
      <c r="A1188" s="2" t="s">
        <v>2230</v>
      </c>
      <c r="B1188" s="2" t="s">
        <v>52</v>
      </c>
      <c r="C1188" s="3" t="s">
        <v>69</v>
      </c>
      <c r="D1188" s="3" t="s">
        <v>18</v>
      </c>
      <c r="E1188" s="3" t="s">
        <v>19</v>
      </c>
      <c r="F1188" s="4">
        <v>1990</v>
      </c>
      <c r="G1188" s="5">
        <v>1</v>
      </c>
      <c r="H1188" s="6">
        <v>0.1</v>
      </c>
      <c r="I1188" s="7">
        <v>199</v>
      </c>
      <c r="J1188" s="7">
        <v>1791</v>
      </c>
      <c r="K1188" s="7">
        <v>377.14</v>
      </c>
      <c r="L1188" s="2" t="s">
        <v>1100</v>
      </c>
      <c r="M1188" s="18" t="s">
        <v>355</v>
      </c>
      <c r="N1188" s="3" t="s">
        <v>22</v>
      </c>
      <c r="O1188" s="3" t="s">
        <v>23</v>
      </c>
      <c r="P1188">
        <f>DATEVALUE(OnePlusSalesData[[#This Row],[order_date]])</f>
        <v>43590</v>
      </c>
      <c r="Q1188" s="28">
        <f>DATEVALUE(OnePlusSalesData[[#This Row],[delivery_date]])</f>
        <v>43594</v>
      </c>
    </row>
    <row r="1189" spans="1:17" ht="16" x14ac:dyDescent="0.45">
      <c r="A1189" s="8" t="s">
        <v>2231</v>
      </c>
      <c r="B1189" s="8" t="s">
        <v>58</v>
      </c>
      <c r="C1189" s="9" t="s">
        <v>221</v>
      </c>
      <c r="D1189" s="9" t="s">
        <v>40</v>
      </c>
      <c r="E1189" s="9" t="s">
        <v>73</v>
      </c>
      <c r="F1189" s="10">
        <v>32999</v>
      </c>
      <c r="G1189" s="11">
        <v>2</v>
      </c>
      <c r="H1189" s="12">
        <v>0.15</v>
      </c>
      <c r="I1189" s="13">
        <v>9899.7000000000007</v>
      </c>
      <c r="J1189" s="13">
        <v>56098.3</v>
      </c>
      <c r="K1189" s="13">
        <v>8473.74</v>
      </c>
      <c r="L1189" s="8" t="s">
        <v>218</v>
      </c>
      <c r="M1189" s="19" t="s">
        <v>166</v>
      </c>
      <c r="N1189" s="9" t="s">
        <v>50</v>
      </c>
      <c r="O1189" s="9" t="s">
        <v>31</v>
      </c>
      <c r="P1189">
        <f>DATEVALUE(OnePlusSalesData[[#This Row],[order_date]])</f>
        <v>43798</v>
      </c>
      <c r="Q1189" s="28">
        <f>DATEVALUE(OnePlusSalesData[[#This Row],[delivery_date]])</f>
        <v>43804</v>
      </c>
    </row>
    <row r="1190" spans="1:17" ht="16" x14ac:dyDescent="0.45">
      <c r="A1190" s="2" t="s">
        <v>2232</v>
      </c>
      <c r="B1190" s="2" t="s">
        <v>16</v>
      </c>
      <c r="C1190" s="3" t="s">
        <v>17</v>
      </c>
      <c r="D1190" s="3" t="s">
        <v>27</v>
      </c>
      <c r="E1190" s="3" t="s">
        <v>159</v>
      </c>
      <c r="F1190" s="4">
        <v>22999</v>
      </c>
      <c r="G1190" s="5">
        <v>1</v>
      </c>
      <c r="H1190" s="6">
        <v>0.1</v>
      </c>
      <c r="I1190" s="7">
        <v>2299.9</v>
      </c>
      <c r="J1190" s="7">
        <v>20699.099999999999</v>
      </c>
      <c r="K1190" s="7">
        <v>2975.03</v>
      </c>
      <c r="L1190" s="2" t="s">
        <v>1160</v>
      </c>
      <c r="M1190" s="18" t="s">
        <v>2233</v>
      </c>
      <c r="N1190" s="3" t="s">
        <v>22</v>
      </c>
      <c r="O1190" s="3" t="s">
        <v>63</v>
      </c>
      <c r="P1190">
        <f>DATEVALUE(OnePlusSalesData[[#This Row],[order_date]])</f>
        <v>43251</v>
      </c>
      <c r="Q1190" s="28">
        <f>DATEVALUE(OnePlusSalesData[[#This Row],[delivery_date]])</f>
        <v>43254</v>
      </c>
    </row>
    <row r="1191" spans="1:17" ht="16" x14ac:dyDescent="0.45">
      <c r="A1191" s="8" t="s">
        <v>2234</v>
      </c>
      <c r="B1191" s="8" t="s">
        <v>25</v>
      </c>
      <c r="C1191" s="9" t="s">
        <v>26</v>
      </c>
      <c r="D1191" s="9" t="s">
        <v>27</v>
      </c>
      <c r="E1191" s="9" t="s">
        <v>28</v>
      </c>
      <c r="F1191" s="10">
        <v>12999</v>
      </c>
      <c r="G1191" s="11">
        <v>1</v>
      </c>
      <c r="H1191" s="12">
        <v>0.1</v>
      </c>
      <c r="I1191" s="13">
        <v>1299.9000000000001</v>
      </c>
      <c r="J1191" s="13">
        <v>11699.1</v>
      </c>
      <c r="K1191" s="13">
        <v>2292.0100000000002</v>
      </c>
      <c r="L1191" s="8" t="s">
        <v>1818</v>
      </c>
      <c r="M1191" s="19" t="s">
        <v>300</v>
      </c>
      <c r="N1191" s="9" t="s">
        <v>92</v>
      </c>
      <c r="O1191" s="9" t="s">
        <v>31</v>
      </c>
      <c r="P1191">
        <f>DATEVALUE(OnePlusSalesData[[#This Row],[order_date]])</f>
        <v>43197</v>
      </c>
      <c r="Q1191" s="28">
        <f>DATEVALUE(OnePlusSalesData[[#This Row],[delivery_date]])</f>
        <v>43204</v>
      </c>
    </row>
    <row r="1192" spans="1:17" ht="16" x14ac:dyDescent="0.45">
      <c r="A1192" s="2" t="s">
        <v>2235</v>
      </c>
      <c r="B1192" s="2" t="s">
        <v>25</v>
      </c>
      <c r="C1192" s="3" t="s">
        <v>26</v>
      </c>
      <c r="D1192" s="3" t="s">
        <v>85</v>
      </c>
      <c r="E1192" s="3" t="s">
        <v>265</v>
      </c>
      <c r="F1192" s="4">
        <v>4990</v>
      </c>
      <c r="G1192" s="5">
        <v>1</v>
      </c>
      <c r="H1192" s="6">
        <v>0</v>
      </c>
      <c r="I1192" s="7">
        <v>0</v>
      </c>
      <c r="J1192" s="7">
        <v>4990</v>
      </c>
      <c r="K1192" s="7">
        <v>754.99</v>
      </c>
      <c r="L1192" s="2" t="s">
        <v>149</v>
      </c>
      <c r="M1192" s="18" t="s">
        <v>955</v>
      </c>
      <c r="N1192" s="3" t="s">
        <v>44</v>
      </c>
      <c r="O1192" s="3" t="s">
        <v>63</v>
      </c>
      <c r="P1192">
        <f>DATEVALUE(OnePlusSalesData[[#This Row],[order_date]])</f>
        <v>43612</v>
      </c>
      <c r="Q1192" s="28">
        <f>DATEVALUE(OnePlusSalesData[[#This Row],[delivery_date]])</f>
        <v>43617</v>
      </c>
    </row>
    <row r="1193" spans="1:17" ht="16" x14ac:dyDescent="0.45">
      <c r="A1193" s="8" t="s">
        <v>2236</v>
      </c>
      <c r="B1193" s="8" t="s">
        <v>16</v>
      </c>
      <c r="C1193" s="9" t="s">
        <v>152</v>
      </c>
      <c r="D1193" s="9" t="s">
        <v>34</v>
      </c>
      <c r="E1193" s="9" t="s">
        <v>77</v>
      </c>
      <c r="F1193" s="10">
        <v>24999</v>
      </c>
      <c r="G1193" s="11">
        <v>1</v>
      </c>
      <c r="H1193" s="12">
        <v>0.08</v>
      </c>
      <c r="I1193" s="13">
        <v>1999.92</v>
      </c>
      <c r="J1193" s="13">
        <v>22999.08</v>
      </c>
      <c r="K1193" s="13">
        <v>3331.03</v>
      </c>
      <c r="L1193" s="8" t="s">
        <v>276</v>
      </c>
      <c r="M1193" s="19" t="s">
        <v>1372</v>
      </c>
      <c r="N1193" s="9" t="s">
        <v>22</v>
      </c>
      <c r="O1193" s="9" t="s">
        <v>23</v>
      </c>
      <c r="P1193">
        <f>DATEVALUE(OnePlusSalesData[[#This Row],[order_date]])</f>
        <v>43421</v>
      </c>
      <c r="Q1193" s="28">
        <f>DATEVALUE(OnePlusSalesData[[#This Row],[delivery_date]])</f>
        <v>43428</v>
      </c>
    </row>
    <row r="1194" spans="1:17" ht="16" x14ac:dyDescent="0.45">
      <c r="A1194" s="2" t="s">
        <v>2237</v>
      </c>
      <c r="B1194" s="2" t="s">
        <v>25</v>
      </c>
      <c r="C1194" s="3" t="s">
        <v>65</v>
      </c>
      <c r="D1194" s="3" t="s">
        <v>40</v>
      </c>
      <c r="E1194" s="3" t="s">
        <v>98</v>
      </c>
      <c r="F1194" s="4">
        <v>34999</v>
      </c>
      <c r="G1194" s="5">
        <v>3</v>
      </c>
      <c r="H1194" s="6">
        <v>0</v>
      </c>
      <c r="I1194" s="7">
        <v>0</v>
      </c>
      <c r="J1194" s="7">
        <v>104997</v>
      </c>
      <c r="K1194" s="7">
        <v>22202.400000000001</v>
      </c>
      <c r="L1194" s="2" t="s">
        <v>1408</v>
      </c>
      <c r="M1194" s="18" t="s">
        <v>1409</v>
      </c>
      <c r="N1194" s="3" t="s">
        <v>44</v>
      </c>
      <c r="O1194" s="3" t="s">
        <v>23</v>
      </c>
      <c r="P1194">
        <f>DATEVALUE(OnePlusSalesData[[#This Row],[order_date]])</f>
        <v>43776</v>
      </c>
      <c r="Q1194" s="28">
        <f>DATEVALUE(OnePlusSalesData[[#This Row],[delivery_date]])</f>
        <v>43778</v>
      </c>
    </row>
    <row r="1195" spans="1:17" ht="16" x14ac:dyDescent="0.45">
      <c r="A1195" s="8" t="s">
        <v>2238</v>
      </c>
      <c r="B1195" s="8" t="s">
        <v>52</v>
      </c>
      <c r="C1195" s="9" t="s">
        <v>192</v>
      </c>
      <c r="D1195" s="9" t="s">
        <v>40</v>
      </c>
      <c r="E1195" s="9" t="s">
        <v>54</v>
      </c>
      <c r="F1195" s="10">
        <v>53999</v>
      </c>
      <c r="G1195" s="11">
        <v>2</v>
      </c>
      <c r="H1195" s="12">
        <v>0</v>
      </c>
      <c r="I1195" s="13">
        <v>0</v>
      </c>
      <c r="J1195" s="13">
        <v>107998</v>
      </c>
      <c r="K1195" s="13">
        <v>23559.02</v>
      </c>
      <c r="L1195" s="8" t="s">
        <v>2017</v>
      </c>
      <c r="M1195" s="19" t="s">
        <v>636</v>
      </c>
      <c r="N1195" s="9" t="s">
        <v>22</v>
      </c>
      <c r="O1195" s="9" t="s">
        <v>23</v>
      </c>
      <c r="P1195">
        <f>DATEVALUE(OnePlusSalesData[[#This Row],[order_date]])</f>
        <v>43598</v>
      </c>
      <c r="Q1195" s="28">
        <f>DATEVALUE(OnePlusSalesData[[#This Row],[delivery_date]])</f>
        <v>43600</v>
      </c>
    </row>
    <row r="1196" spans="1:17" ht="16" x14ac:dyDescent="0.45">
      <c r="A1196" s="2" t="s">
        <v>2239</v>
      </c>
      <c r="B1196" s="2" t="s">
        <v>25</v>
      </c>
      <c r="C1196" s="3" t="s">
        <v>133</v>
      </c>
      <c r="D1196" s="3" t="s">
        <v>27</v>
      </c>
      <c r="E1196" s="3" t="s">
        <v>28</v>
      </c>
      <c r="F1196" s="4">
        <v>12999</v>
      </c>
      <c r="G1196" s="5">
        <v>1</v>
      </c>
      <c r="H1196" s="6">
        <v>0</v>
      </c>
      <c r="I1196" s="7">
        <v>0</v>
      </c>
      <c r="J1196" s="7">
        <v>12999</v>
      </c>
      <c r="K1196" s="7">
        <v>2288.1799999999998</v>
      </c>
      <c r="L1196" s="2" t="s">
        <v>117</v>
      </c>
      <c r="M1196" s="18" t="s">
        <v>763</v>
      </c>
      <c r="N1196" s="3" t="s">
        <v>22</v>
      </c>
      <c r="O1196" s="3" t="s">
        <v>23</v>
      </c>
      <c r="P1196">
        <f>DATEVALUE(OnePlusSalesData[[#This Row],[order_date]])</f>
        <v>43504</v>
      </c>
      <c r="Q1196" s="28">
        <f>DATEVALUE(OnePlusSalesData[[#This Row],[delivery_date]])</f>
        <v>43507</v>
      </c>
    </row>
    <row r="1197" spans="1:17" ht="16" x14ac:dyDescent="0.45">
      <c r="A1197" s="8" t="s">
        <v>2240</v>
      </c>
      <c r="B1197" s="8" t="s">
        <v>25</v>
      </c>
      <c r="C1197" s="9" t="s">
        <v>26</v>
      </c>
      <c r="D1197" s="9" t="s">
        <v>85</v>
      </c>
      <c r="E1197" s="9" t="s">
        <v>86</v>
      </c>
      <c r="F1197" s="10">
        <v>1999</v>
      </c>
      <c r="G1197" s="11">
        <v>1</v>
      </c>
      <c r="H1197" s="12">
        <v>0.05</v>
      </c>
      <c r="I1197" s="13">
        <v>99.95</v>
      </c>
      <c r="J1197" s="13">
        <v>1899.05</v>
      </c>
      <c r="K1197" s="13">
        <v>381.26</v>
      </c>
      <c r="L1197" s="8" t="s">
        <v>1096</v>
      </c>
      <c r="M1197" s="19" t="s">
        <v>746</v>
      </c>
      <c r="N1197" s="9" t="s">
        <v>50</v>
      </c>
      <c r="O1197" s="9" t="s">
        <v>63</v>
      </c>
      <c r="P1197">
        <f>DATEVALUE(OnePlusSalesData[[#This Row],[order_date]])</f>
        <v>44160</v>
      </c>
      <c r="Q1197" s="28">
        <f>DATEVALUE(OnePlusSalesData[[#This Row],[delivery_date]])</f>
        <v>44166</v>
      </c>
    </row>
    <row r="1198" spans="1:17" ht="16" x14ac:dyDescent="0.45">
      <c r="A1198" s="2" t="s">
        <v>2241</v>
      </c>
      <c r="B1198" s="2" t="s">
        <v>16</v>
      </c>
      <c r="C1198" s="3" t="s">
        <v>33</v>
      </c>
      <c r="D1198" s="3" t="s">
        <v>85</v>
      </c>
      <c r="E1198" s="3" t="s">
        <v>265</v>
      </c>
      <c r="F1198" s="4">
        <v>4990</v>
      </c>
      <c r="G1198" s="5">
        <v>2</v>
      </c>
      <c r="H1198" s="6">
        <v>0.08</v>
      </c>
      <c r="I1198" s="7">
        <v>798.4</v>
      </c>
      <c r="J1198" s="7">
        <v>9181.6</v>
      </c>
      <c r="K1198" s="7">
        <v>1803.92</v>
      </c>
      <c r="L1198" s="2" t="s">
        <v>1187</v>
      </c>
      <c r="M1198" s="18" t="s">
        <v>873</v>
      </c>
      <c r="N1198" s="3" t="s">
        <v>22</v>
      </c>
      <c r="O1198" s="3" t="s">
        <v>96</v>
      </c>
      <c r="P1198">
        <f>DATEVALUE(OnePlusSalesData[[#This Row],[order_date]])</f>
        <v>43755</v>
      </c>
      <c r="Q1198" s="28">
        <f>DATEVALUE(OnePlusSalesData[[#This Row],[delivery_date]])</f>
        <v>43759</v>
      </c>
    </row>
    <row r="1199" spans="1:17" ht="16" x14ac:dyDescent="0.45">
      <c r="A1199" s="8" t="s">
        <v>2242</v>
      </c>
      <c r="B1199" s="8" t="s">
        <v>16</v>
      </c>
      <c r="C1199" s="9" t="s">
        <v>17</v>
      </c>
      <c r="D1199" s="9" t="s">
        <v>27</v>
      </c>
      <c r="E1199" s="9" t="s">
        <v>176</v>
      </c>
      <c r="F1199" s="10">
        <v>69900</v>
      </c>
      <c r="G1199" s="11">
        <v>1</v>
      </c>
      <c r="H1199" s="12">
        <v>0.1</v>
      </c>
      <c r="I1199" s="13">
        <v>6990</v>
      </c>
      <c r="J1199" s="13">
        <v>62910</v>
      </c>
      <c r="K1199" s="13">
        <v>14594.79</v>
      </c>
      <c r="L1199" s="8" t="s">
        <v>1149</v>
      </c>
      <c r="M1199" s="19" t="s">
        <v>1003</v>
      </c>
      <c r="N1199" s="9" t="s">
        <v>22</v>
      </c>
      <c r="O1199" s="9" t="s">
        <v>31</v>
      </c>
      <c r="P1199">
        <f>DATEVALUE(OnePlusSalesData[[#This Row],[order_date]])</f>
        <v>44155</v>
      </c>
      <c r="Q1199" s="28">
        <f>DATEVALUE(OnePlusSalesData[[#This Row],[delivery_date]])</f>
        <v>44162</v>
      </c>
    </row>
    <row r="1200" spans="1:17" ht="16" x14ac:dyDescent="0.45">
      <c r="A1200" s="2" t="s">
        <v>2243</v>
      </c>
      <c r="B1200" s="2" t="s">
        <v>52</v>
      </c>
      <c r="C1200" s="3" t="s">
        <v>106</v>
      </c>
      <c r="D1200" s="3" t="s">
        <v>34</v>
      </c>
      <c r="E1200" s="3" t="s">
        <v>35</v>
      </c>
      <c r="F1200" s="4">
        <v>19999</v>
      </c>
      <c r="G1200" s="5">
        <v>3</v>
      </c>
      <c r="H1200" s="6">
        <v>0.05</v>
      </c>
      <c r="I1200" s="7">
        <v>2999.85</v>
      </c>
      <c r="J1200" s="7">
        <v>56997.15</v>
      </c>
      <c r="K1200" s="7">
        <v>11172.43</v>
      </c>
      <c r="L1200" s="2" t="s">
        <v>444</v>
      </c>
      <c r="M1200" s="18" t="s">
        <v>2244</v>
      </c>
      <c r="N1200" s="3" t="s">
        <v>22</v>
      </c>
      <c r="O1200" s="3" t="s">
        <v>23</v>
      </c>
      <c r="P1200">
        <f>DATEVALUE(OnePlusSalesData[[#This Row],[order_date]])</f>
        <v>44063</v>
      </c>
      <c r="Q1200" s="28">
        <f>DATEVALUE(OnePlusSalesData[[#This Row],[delivery_date]])</f>
        <v>44069</v>
      </c>
    </row>
    <row r="1201" spans="1:17" ht="16" x14ac:dyDescent="0.45">
      <c r="A1201" s="8" t="s">
        <v>2245</v>
      </c>
      <c r="B1201" s="8" t="s">
        <v>52</v>
      </c>
      <c r="C1201" s="9" t="s">
        <v>192</v>
      </c>
      <c r="D1201" s="9" t="s">
        <v>18</v>
      </c>
      <c r="E1201" s="9" t="s">
        <v>124</v>
      </c>
      <c r="F1201" s="10">
        <v>3990</v>
      </c>
      <c r="G1201" s="11">
        <v>2</v>
      </c>
      <c r="H1201" s="12">
        <v>0.05</v>
      </c>
      <c r="I1201" s="13">
        <v>399</v>
      </c>
      <c r="J1201" s="13">
        <v>7581</v>
      </c>
      <c r="K1201" s="13">
        <v>1740.07</v>
      </c>
      <c r="L1201" s="8" t="s">
        <v>465</v>
      </c>
      <c r="M1201" s="19" t="s">
        <v>857</v>
      </c>
      <c r="N1201" s="9" t="s">
        <v>22</v>
      </c>
      <c r="O1201" s="9" t="s">
        <v>23</v>
      </c>
      <c r="P1201">
        <f>DATEVALUE(OnePlusSalesData[[#This Row],[order_date]])</f>
        <v>43407</v>
      </c>
      <c r="Q1201" s="28">
        <f>DATEVALUE(OnePlusSalesData[[#This Row],[delivery_date]])</f>
        <v>43413</v>
      </c>
    </row>
    <row r="1202" spans="1:17" ht="16" x14ac:dyDescent="0.45">
      <c r="A1202" s="2" t="s">
        <v>2246</v>
      </c>
      <c r="B1202" s="2" t="s">
        <v>52</v>
      </c>
      <c r="C1202" s="3" t="s">
        <v>192</v>
      </c>
      <c r="D1202" s="3" t="s">
        <v>40</v>
      </c>
      <c r="E1202" s="3" t="s">
        <v>98</v>
      </c>
      <c r="F1202" s="4">
        <v>34999</v>
      </c>
      <c r="G1202" s="5">
        <v>3</v>
      </c>
      <c r="H1202" s="6">
        <v>0.05</v>
      </c>
      <c r="I1202" s="7">
        <v>5249.85</v>
      </c>
      <c r="J1202" s="7">
        <v>99747.15</v>
      </c>
      <c r="K1202" s="7">
        <v>18878.34</v>
      </c>
      <c r="L1202" s="2" t="s">
        <v>1327</v>
      </c>
      <c r="M1202" s="18" t="s">
        <v>424</v>
      </c>
      <c r="N1202" s="3" t="s">
        <v>22</v>
      </c>
      <c r="O1202" s="3" t="s">
        <v>63</v>
      </c>
      <c r="P1202">
        <f>DATEVALUE(OnePlusSalesData[[#This Row],[order_date]])</f>
        <v>43668</v>
      </c>
      <c r="Q1202" s="28">
        <f>DATEVALUE(OnePlusSalesData[[#This Row],[delivery_date]])</f>
        <v>43672</v>
      </c>
    </row>
    <row r="1203" spans="1:17" ht="16" x14ac:dyDescent="0.45">
      <c r="A1203" s="8" t="s">
        <v>2247</v>
      </c>
      <c r="B1203" s="8" t="s">
        <v>16</v>
      </c>
      <c r="C1203" s="9" t="s">
        <v>152</v>
      </c>
      <c r="D1203" s="9" t="s">
        <v>27</v>
      </c>
      <c r="E1203" s="9" t="s">
        <v>28</v>
      </c>
      <c r="F1203" s="10">
        <v>12999</v>
      </c>
      <c r="G1203" s="11">
        <v>1</v>
      </c>
      <c r="H1203" s="12">
        <v>0.1</v>
      </c>
      <c r="I1203" s="13">
        <v>1299.9000000000001</v>
      </c>
      <c r="J1203" s="13">
        <v>11699.1</v>
      </c>
      <c r="K1203" s="13">
        <v>2604</v>
      </c>
      <c r="L1203" s="8" t="s">
        <v>828</v>
      </c>
      <c r="M1203" s="19" t="s">
        <v>1264</v>
      </c>
      <c r="N1203" s="9" t="s">
        <v>22</v>
      </c>
      <c r="O1203" s="9" t="s">
        <v>23</v>
      </c>
      <c r="P1203">
        <f>DATEVALUE(OnePlusSalesData[[#This Row],[order_date]])</f>
        <v>43110</v>
      </c>
      <c r="Q1203" s="28">
        <f>DATEVALUE(OnePlusSalesData[[#This Row],[delivery_date]])</f>
        <v>43113</v>
      </c>
    </row>
    <row r="1204" spans="1:17" ht="16" x14ac:dyDescent="0.45">
      <c r="A1204" s="2" t="s">
        <v>2248</v>
      </c>
      <c r="B1204" s="2" t="s">
        <v>25</v>
      </c>
      <c r="C1204" s="3" t="s">
        <v>65</v>
      </c>
      <c r="D1204" s="3" t="s">
        <v>18</v>
      </c>
      <c r="E1204" s="3" t="s">
        <v>102</v>
      </c>
      <c r="F1204" s="4">
        <v>1490</v>
      </c>
      <c r="G1204" s="5">
        <v>1</v>
      </c>
      <c r="H1204" s="6">
        <v>0.05</v>
      </c>
      <c r="I1204" s="7">
        <v>74.5</v>
      </c>
      <c r="J1204" s="7">
        <v>1415.5</v>
      </c>
      <c r="K1204" s="7">
        <v>344.66</v>
      </c>
      <c r="L1204" s="2" t="s">
        <v>882</v>
      </c>
      <c r="M1204" s="18" t="s">
        <v>1363</v>
      </c>
      <c r="N1204" s="3" t="s">
        <v>22</v>
      </c>
      <c r="O1204" s="3" t="s">
        <v>63</v>
      </c>
      <c r="P1204">
        <f>DATEVALUE(OnePlusSalesData[[#This Row],[order_date]])</f>
        <v>43491</v>
      </c>
      <c r="Q1204" s="28">
        <f>DATEVALUE(OnePlusSalesData[[#This Row],[delivery_date]])</f>
        <v>43493</v>
      </c>
    </row>
    <row r="1205" spans="1:17" ht="16" x14ac:dyDescent="0.45">
      <c r="A1205" s="8" t="s">
        <v>2249</v>
      </c>
      <c r="B1205" s="8" t="s">
        <v>16</v>
      </c>
      <c r="C1205" s="9" t="s">
        <v>140</v>
      </c>
      <c r="D1205" s="9" t="s">
        <v>27</v>
      </c>
      <c r="E1205" s="9" t="s">
        <v>176</v>
      </c>
      <c r="F1205" s="10">
        <v>69900</v>
      </c>
      <c r="G1205" s="11">
        <v>1</v>
      </c>
      <c r="H1205" s="12">
        <v>0.12</v>
      </c>
      <c r="I1205" s="13">
        <v>8388</v>
      </c>
      <c r="J1205" s="13">
        <v>61512</v>
      </c>
      <c r="K1205" s="13">
        <v>9937.64</v>
      </c>
      <c r="L1205" s="8" t="s">
        <v>1219</v>
      </c>
      <c r="M1205" s="19" t="s">
        <v>167</v>
      </c>
      <c r="N1205" s="9" t="s">
        <v>22</v>
      </c>
      <c r="O1205" s="9" t="s">
        <v>63</v>
      </c>
      <c r="P1205">
        <f>DATEVALUE(OnePlusSalesData[[#This Row],[order_date]])</f>
        <v>43808</v>
      </c>
      <c r="Q1205" s="28">
        <f>DATEVALUE(OnePlusSalesData[[#This Row],[delivery_date]])</f>
        <v>43810</v>
      </c>
    </row>
    <row r="1206" spans="1:17" ht="16" x14ac:dyDescent="0.45">
      <c r="A1206" s="2" t="s">
        <v>2250</v>
      </c>
      <c r="B1206" s="2" t="s">
        <v>58</v>
      </c>
      <c r="C1206" s="3" t="s">
        <v>221</v>
      </c>
      <c r="D1206" s="3" t="s">
        <v>34</v>
      </c>
      <c r="E1206" s="3" t="s">
        <v>35</v>
      </c>
      <c r="F1206" s="4">
        <v>19999</v>
      </c>
      <c r="G1206" s="5">
        <v>1</v>
      </c>
      <c r="H1206" s="6">
        <v>0.05</v>
      </c>
      <c r="I1206" s="7">
        <v>999.95</v>
      </c>
      <c r="J1206" s="7">
        <v>18999.05</v>
      </c>
      <c r="K1206" s="7">
        <v>2800.49</v>
      </c>
      <c r="L1206" s="2" t="s">
        <v>1286</v>
      </c>
      <c r="M1206" s="18" t="s">
        <v>1299</v>
      </c>
      <c r="N1206" s="3" t="s">
        <v>50</v>
      </c>
      <c r="O1206" s="3" t="s">
        <v>63</v>
      </c>
      <c r="P1206">
        <f>DATEVALUE(OnePlusSalesData[[#This Row],[order_date]])</f>
        <v>44175</v>
      </c>
      <c r="Q1206" s="28">
        <f>DATEVALUE(OnePlusSalesData[[#This Row],[delivery_date]])</f>
        <v>44178</v>
      </c>
    </row>
    <row r="1207" spans="1:17" ht="16" x14ac:dyDescent="0.45">
      <c r="A1207" s="8" t="s">
        <v>2251</v>
      </c>
      <c r="B1207" s="8" t="s">
        <v>58</v>
      </c>
      <c r="C1207" s="9" t="s">
        <v>113</v>
      </c>
      <c r="D1207" s="9" t="s">
        <v>85</v>
      </c>
      <c r="E1207" s="9" t="s">
        <v>258</v>
      </c>
      <c r="F1207" s="10">
        <v>2999</v>
      </c>
      <c r="G1207" s="11">
        <v>4</v>
      </c>
      <c r="H1207" s="12">
        <v>0.08</v>
      </c>
      <c r="I1207" s="13">
        <v>959.68</v>
      </c>
      <c r="J1207" s="13">
        <v>11036.32</v>
      </c>
      <c r="K1207" s="13">
        <v>2339.9899999999998</v>
      </c>
      <c r="L1207" s="8" t="s">
        <v>2252</v>
      </c>
      <c r="M1207" s="19" t="s">
        <v>601</v>
      </c>
      <c r="N1207" s="9" t="s">
        <v>22</v>
      </c>
      <c r="O1207" s="9" t="s">
        <v>63</v>
      </c>
      <c r="P1207">
        <f>DATEVALUE(OnePlusSalesData[[#This Row],[order_date]])</f>
        <v>43993</v>
      </c>
      <c r="Q1207" s="28">
        <f>DATEVALUE(OnePlusSalesData[[#This Row],[delivery_date]])</f>
        <v>43995</v>
      </c>
    </row>
    <row r="1208" spans="1:17" ht="16" x14ac:dyDescent="0.45">
      <c r="A1208" s="2" t="s">
        <v>2253</v>
      </c>
      <c r="B1208" s="2" t="s">
        <v>58</v>
      </c>
      <c r="C1208" s="3" t="s">
        <v>81</v>
      </c>
      <c r="D1208" s="3" t="s">
        <v>40</v>
      </c>
      <c r="E1208" s="3" t="s">
        <v>148</v>
      </c>
      <c r="F1208" s="4">
        <v>41999</v>
      </c>
      <c r="G1208" s="5">
        <v>1</v>
      </c>
      <c r="H1208" s="6">
        <v>0.08</v>
      </c>
      <c r="I1208" s="7">
        <v>3359.92</v>
      </c>
      <c r="J1208" s="7">
        <v>38639.08</v>
      </c>
      <c r="K1208" s="7">
        <v>10000.68</v>
      </c>
      <c r="L1208" s="2" t="s">
        <v>553</v>
      </c>
      <c r="M1208" s="18" t="s">
        <v>1921</v>
      </c>
      <c r="N1208" s="3" t="s">
        <v>50</v>
      </c>
      <c r="O1208" s="3" t="s">
        <v>63</v>
      </c>
      <c r="P1208">
        <f>DATEVALUE(OnePlusSalesData[[#This Row],[order_date]])</f>
        <v>43467</v>
      </c>
      <c r="Q1208" s="28">
        <f>DATEVALUE(OnePlusSalesData[[#This Row],[delivery_date]])</f>
        <v>43474</v>
      </c>
    </row>
    <row r="1209" spans="1:17" ht="16" x14ac:dyDescent="0.45">
      <c r="A1209" s="8" t="s">
        <v>2254</v>
      </c>
      <c r="B1209" s="8" t="s">
        <v>52</v>
      </c>
      <c r="C1209" s="9" t="s">
        <v>106</v>
      </c>
      <c r="D1209" s="9" t="s">
        <v>18</v>
      </c>
      <c r="E1209" s="9" t="s">
        <v>124</v>
      </c>
      <c r="F1209" s="10">
        <v>3990</v>
      </c>
      <c r="G1209" s="11">
        <v>1</v>
      </c>
      <c r="H1209" s="12">
        <v>0.08</v>
      </c>
      <c r="I1209" s="13">
        <v>319.2</v>
      </c>
      <c r="J1209" s="13">
        <v>3670.8</v>
      </c>
      <c r="K1209" s="13">
        <v>597.02</v>
      </c>
      <c r="L1209" s="8" t="s">
        <v>259</v>
      </c>
      <c r="M1209" s="19" t="s">
        <v>1130</v>
      </c>
      <c r="N1209" s="9" t="s">
        <v>92</v>
      </c>
      <c r="O1209" s="9" t="s">
        <v>63</v>
      </c>
      <c r="P1209">
        <f>DATEVALUE(OnePlusSalesData[[#This Row],[order_date]])</f>
        <v>43147</v>
      </c>
      <c r="Q1209" s="28">
        <f>DATEVALUE(OnePlusSalesData[[#This Row],[delivery_date]])</f>
        <v>43152</v>
      </c>
    </row>
    <row r="1210" spans="1:17" ht="16" x14ac:dyDescent="0.45">
      <c r="A1210" s="2" t="s">
        <v>2255</v>
      </c>
      <c r="B1210" s="2" t="s">
        <v>16</v>
      </c>
      <c r="C1210" s="3" t="s">
        <v>140</v>
      </c>
      <c r="D1210" s="3" t="s">
        <v>27</v>
      </c>
      <c r="E1210" s="3" t="s">
        <v>159</v>
      </c>
      <c r="F1210" s="4">
        <v>22999</v>
      </c>
      <c r="G1210" s="5">
        <v>2</v>
      </c>
      <c r="H1210" s="6">
        <v>0.1</v>
      </c>
      <c r="I1210" s="7">
        <v>4599.8</v>
      </c>
      <c r="J1210" s="7">
        <v>41398.199999999997</v>
      </c>
      <c r="K1210" s="7">
        <v>9578.16</v>
      </c>
      <c r="L1210" s="2" t="s">
        <v>310</v>
      </c>
      <c r="M1210" s="18" t="s">
        <v>142</v>
      </c>
      <c r="N1210" s="3" t="s">
        <v>22</v>
      </c>
      <c r="O1210" s="3" t="s">
        <v>31</v>
      </c>
      <c r="P1210">
        <f>DATEVALUE(OnePlusSalesData[[#This Row],[order_date]])</f>
        <v>43950</v>
      </c>
      <c r="Q1210" s="28">
        <f>DATEVALUE(OnePlusSalesData[[#This Row],[delivery_date]])</f>
        <v>43957</v>
      </c>
    </row>
    <row r="1211" spans="1:17" ht="16" x14ac:dyDescent="0.45">
      <c r="A1211" s="8" t="s">
        <v>2256</v>
      </c>
      <c r="B1211" s="8" t="s">
        <v>25</v>
      </c>
      <c r="C1211" s="9" t="s">
        <v>65</v>
      </c>
      <c r="D1211" s="9" t="s">
        <v>18</v>
      </c>
      <c r="E1211" s="9" t="s">
        <v>124</v>
      </c>
      <c r="F1211" s="10">
        <v>3990</v>
      </c>
      <c r="G1211" s="11">
        <v>5</v>
      </c>
      <c r="H1211" s="12">
        <v>0</v>
      </c>
      <c r="I1211" s="13">
        <v>0</v>
      </c>
      <c r="J1211" s="13">
        <v>19950</v>
      </c>
      <c r="K1211" s="13">
        <v>2885.01</v>
      </c>
      <c r="L1211" s="8" t="s">
        <v>1493</v>
      </c>
      <c r="M1211" s="19" t="s">
        <v>709</v>
      </c>
      <c r="N1211" s="9" t="s">
        <v>22</v>
      </c>
      <c r="O1211" s="9" t="s">
        <v>31</v>
      </c>
      <c r="P1211">
        <f>DATEVALUE(OnePlusSalesData[[#This Row],[order_date]])</f>
        <v>43537</v>
      </c>
      <c r="Q1211" s="28">
        <f>DATEVALUE(OnePlusSalesData[[#This Row],[delivery_date]])</f>
        <v>43543</v>
      </c>
    </row>
    <row r="1212" spans="1:17" ht="16" x14ac:dyDescent="0.45">
      <c r="A1212" s="2" t="s">
        <v>2257</v>
      </c>
      <c r="B1212" s="2" t="s">
        <v>52</v>
      </c>
      <c r="C1212" s="3" t="s">
        <v>69</v>
      </c>
      <c r="D1212" s="3" t="s">
        <v>18</v>
      </c>
      <c r="E1212" s="3" t="s">
        <v>102</v>
      </c>
      <c r="F1212" s="4">
        <v>1490</v>
      </c>
      <c r="G1212" s="5">
        <v>1</v>
      </c>
      <c r="H1212" s="6">
        <v>0</v>
      </c>
      <c r="I1212" s="7">
        <v>0</v>
      </c>
      <c r="J1212" s="7">
        <v>1490</v>
      </c>
      <c r="K1212" s="7">
        <v>296.85000000000002</v>
      </c>
      <c r="L1212" s="2" t="s">
        <v>488</v>
      </c>
      <c r="M1212" s="18" t="s">
        <v>489</v>
      </c>
      <c r="N1212" s="3" t="s">
        <v>22</v>
      </c>
      <c r="O1212" s="3" t="s">
        <v>45</v>
      </c>
      <c r="P1212">
        <f>DATEVALUE(OnePlusSalesData[[#This Row],[order_date]])</f>
        <v>43256</v>
      </c>
      <c r="Q1212" s="28">
        <f>DATEVALUE(OnePlusSalesData[[#This Row],[delivery_date]])</f>
        <v>43263</v>
      </c>
    </row>
    <row r="1213" spans="1:17" ht="16" x14ac:dyDescent="0.45">
      <c r="A1213" s="8" t="s">
        <v>2258</v>
      </c>
      <c r="B1213" s="8" t="s">
        <v>25</v>
      </c>
      <c r="C1213" s="9" t="s">
        <v>172</v>
      </c>
      <c r="D1213" s="9" t="s">
        <v>18</v>
      </c>
      <c r="E1213" s="9" t="s">
        <v>102</v>
      </c>
      <c r="F1213" s="10">
        <v>1490</v>
      </c>
      <c r="G1213" s="11">
        <v>2</v>
      </c>
      <c r="H1213" s="12">
        <v>0.1</v>
      </c>
      <c r="I1213" s="13">
        <v>298</v>
      </c>
      <c r="J1213" s="13">
        <v>2682</v>
      </c>
      <c r="K1213" s="13">
        <v>555.19000000000005</v>
      </c>
      <c r="L1213" s="8" t="s">
        <v>465</v>
      </c>
      <c r="M1213" s="19" t="s">
        <v>857</v>
      </c>
      <c r="N1213" s="9" t="s">
        <v>22</v>
      </c>
      <c r="O1213" s="9" t="s">
        <v>146</v>
      </c>
      <c r="P1213">
        <f>DATEVALUE(OnePlusSalesData[[#This Row],[order_date]])</f>
        <v>43407</v>
      </c>
      <c r="Q1213" s="28">
        <f>DATEVALUE(OnePlusSalesData[[#This Row],[delivery_date]])</f>
        <v>43413</v>
      </c>
    </row>
    <row r="1214" spans="1:17" ht="16" x14ac:dyDescent="0.45">
      <c r="A1214" s="2" t="s">
        <v>2259</v>
      </c>
      <c r="B1214" s="2" t="s">
        <v>16</v>
      </c>
      <c r="C1214" s="3" t="s">
        <v>39</v>
      </c>
      <c r="D1214" s="3" t="s">
        <v>40</v>
      </c>
      <c r="E1214" s="3" t="s">
        <v>54</v>
      </c>
      <c r="F1214" s="4">
        <v>53999</v>
      </c>
      <c r="G1214" s="5">
        <v>1</v>
      </c>
      <c r="H1214" s="6">
        <v>0.1</v>
      </c>
      <c r="I1214" s="7">
        <v>5399.9</v>
      </c>
      <c r="J1214" s="7">
        <v>48599.1</v>
      </c>
      <c r="K1214" s="7">
        <v>7801.19</v>
      </c>
      <c r="L1214" s="2" t="s">
        <v>629</v>
      </c>
      <c r="M1214" s="18" t="s">
        <v>414</v>
      </c>
      <c r="N1214" s="3" t="s">
        <v>22</v>
      </c>
      <c r="O1214" s="3" t="s">
        <v>63</v>
      </c>
      <c r="P1214">
        <f>DATEVALUE(OnePlusSalesData[[#This Row],[order_date]])</f>
        <v>43311</v>
      </c>
      <c r="Q1214" s="28">
        <f>DATEVALUE(OnePlusSalesData[[#This Row],[delivery_date]])</f>
        <v>43316</v>
      </c>
    </row>
    <row r="1215" spans="1:17" ht="16" x14ac:dyDescent="0.45">
      <c r="A1215" s="8" t="s">
        <v>2260</v>
      </c>
      <c r="B1215" s="8" t="s">
        <v>16</v>
      </c>
      <c r="C1215" s="9" t="s">
        <v>17</v>
      </c>
      <c r="D1215" s="9" t="s">
        <v>85</v>
      </c>
      <c r="E1215" s="9" t="s">
        <v>258</v>
      </c>
      <c r="F1215" s="10">
        <v>2999</v>
      </c>
      <c r="G1215" s="11">
        <v>3</v>
      </c>
      <c r="H1215" s="12">
        <v>0.08</v>
      </c>
      <c r="I1215" s="13">
        <v>719.76</v>
      </c>
      <c r="J1215" s="13">
        <v>8277.24</v>
      </c>
      <c r="K1215" s="13">
        <v>1871.85</v>
      </c>
      <c r="L1215" s="8" t="s">
        <v>588</v>
      </c>
      <c r="M1215" s="19" t="s">
        <v>1203</v>
      </c>
      <c r="N1215" s="9" t="s">
        <v>50</v>
      </c>
      <c r="O1215" s="9" t="s">
        <v>23</v>
      </c>
      <c r="P1215">
        <f>DATEVALUE(OnePlusSalesData[[#This Row],[order_date]])</f>
        <v>43345</v>
      </c>
      <c r="Q1215" s="28">
        <f>DATEVALUE(OnePlusSalesData[[#This Row],[delivery_date]])</f>
        <v>43347</v>
      </c>
    </row>
    <row r="1216" spans="1:17" ht="16" x14ac:dyDescent="0.45">
      <c r="A1216" s="2" t="s">
        <v>2261</v>
      </c>
      <c r="B1216" s="2" t="s">
        <v>58</v>
      </c>
      <c r="C1216" s="3" t="s">
        <v>257</v>
      </c>
      <c r="D1216" s="3" t="s">
        <v>40</v>
      </c>
      <c r="E1216" s="3" t="s">
        <v>60</v>
      </c>
      <c r="F1216" s="4">
        <v>54999</v>
      </c>
      <c r="G1216" s="5">
        <v>1</v>
      </c>
      <c r="H1216" s="6">
        <v>0.05</v>
      </c>
      <c r="I1216" s="7">
        <v>2749.95</v>
      </c>
      <c r="J1216" s="7">
        <v>52249.05</v>
      </c>
      <c r="K1216" s="7">
        <v>9212.27</v>
      </c>
      <c r="L1216" s="2" t="s">
        <v>1250</v>
      </c>
      <c r="M1216" s="18" t="s">
        <v>1057</v>
      </c>
      <c r="N1216" s="3" t="s">
        <v>22</v>
      </c>
      <c r="O1216" s="3" t="s">
        <v>63</v>
      </c>
      <c r="P1216">
        <f>DATEVALUE(OnePlusSalesData[[#This Row],[order_date]])</f>
        <v>43592</v>
      </c>
      <c r="Q1216" s="28">
        <f>DATEVALUE(OnePlusSalesData[[#This Row],[delivery_date]])</f>
        <v>43596</v>
      </c>
    </row>
    <row r="1217" spans="1:17" ht="16" x14ac:dyDescent="0.45">
      <c r="A1217" s="8" t="s">
        <v>2262</v>
      </c>
      <c r="B1217" s="8" t="s">
        <v>58</v>
      </c>
      <c r="C1217" s="9" t="s">
        <v>221</v>
      </c>
      <c r="D1217" s="9" t="s">
        <v>85</v>
      </c>
      <c r="E1217" s="9" t="s">
        <v>265</v>
      </c>
      <c r="F1217" s="10">
        <v>4990</v>
      </c>
      <c r="G1217" s="11">
        <v>1</v>
      </c>
      <c r="H1217" s="12">
        <v>0.12</v>
      </c>
      <c r="I1217" s="13">
        <v>598.79999999999995</v>
      </c>
      <c r="J1217" s="13">
        <v>4391.2</v>
      </c>
      <c r="K1217" s="13">
        <v>754.14</v>
      </c>
      <c r="L1217" s="8" t="s">
        <v>273</v>
      </c>
      <c r="M1217" s="19" t="s">
        <v>588</v>
      </c>
      <c r="N1217" s="9" t="s">
        <v>22</v>
      </c>
      <c r="O1217" s="9" t="s">
        <v>63</v>
      </c>
      <c r="P1217">
        <f>DATEVALUE(OnePlusSalesData[[#This Row],[order_date]])</f>
        <v>43339</v>
      </c>
      <c r="Q1217" s="28">
        <f>DATEVALUE(OnePlusSalesData[[#This Row],[delivery_date]])</f>
        <v>43345</v>
      </c>
    </row>
    <row r="1218" spans="1:17" ht="16" x14ac:dyDescent="0.45">
      <c r="A1218" s="2" t="s">
        <v>2263</v>
      </c>
      <c r="B1218" s="2" t="s">
        <v>25</v>
      </c>
      <c r="C1218" s="3" t="s">
        <v>26</v>
      </c>
      <c r="D1218" s="3" t="s">
        <v>85</v>
      </c>
      <c r="E1218" s="3" t="s">
        <v>265</v>
      </c>
      <c r="F1218" s="4">
        <v>4990</v>
      </c>
      <c r="G1218" s="5">
        <v>1</v>
      </c>
      <c r="H1218" s="6">
        <v>0</v>
      </c>
      <c r="I1218" s="7">
        <v>0</v>
      </c>
      <c r="J1218" s="7">
        <v>4990</v>
      </c>
      <c r="K1218" s="7">
        <v>845.07</v>
      </c>
      <c r="L1218" s="2" t="s">
        <v>150</v>
      </c>
      <c r="M1218" s="18" t="s">
        <v>2264</v>
      </c>
      <c r="N1218" s="3" t="s">
        <v>22</v>
      </c>
      <c r="O1218" s="3" t="s">
        <v>23</v>
      </c>
      <c r="P1218">
        <f>DATEVALUE(OnePlusSalesData[[#This Row],[order_date]])</f>
        <v>43619</v>
      </c>
      <c r="Q1218" s="28">
        <f>DATEVALUE(OnePlusSalesData[[#This Row],[delivery_date]])</f>
        <v>43626</v>
      </c>
    </row>
    <row r="1219" spans="1:17" ht="16" x14ac:dyDescent="0.45">
      <c r="A1219" s="8" t="s">
        <v>2265</v>
      </c>
      <c r="B1219" s="8" t="s">
        <v>52</v>
      </c>
      <c r="C1219" s="9" t="s">
        <v>358</v>
      </c>
      <c r="D1219" s="9" t="s">
        <v>40</v>
      </c>
      <c r="E1219" s="9" t="s">
        <v>60</v>
      </c>
      <c r="F1219" s="10">
        <v>54999</v>
      </c>
      <c r="G1219" s="11">
        <v>1</v>
      </c>
      <c r="H1219" s="12">
        <v>0</v>
      </c>
      <c r="I1219" s="13">
        <v>0</v>
      </c>
      <c r="J1219" s="13">
        <v>54999</v>
      </c>
      <c r="K1219" s="13">
        <v>11759.62</v>
      </c>
      <c r="L1219" s="8" t="s">
        <v>379</v>
      </c>
      <c r="M1219" s="19" t="s">
        <v>2266</v>
      </c>
      <c r="N1219" s="9" t="s">
        <v>92</v>
      </c>
      <c r="O1219" s="9" t="s">
        <v>63</v>
      </c>
      <c r="P1219">
        <f>DATEVALUE(OnePlusSalesData[[#This Row],[order_date]])</f>
        <v>43150</v>
      </c>
      <c r="Q1219" s="28">
        <f>DATEVALUE(OnePlusSalesData[[#This Row],[delivery_date]])</f>
        <v>43155</v>
      </c>
    </row>
    <row r="1220" spans="1:17" ht="16" x14ac:dyDescent="0.45">
      <c r="A1220" s="2" t="s">
        <v>2267</v>
      </c>
      <c r="B1220" s="2" t="s">
        <v>16</v>
      </c>
      <c r="C1220" s="3" t="s">
        <v>17</v>
      </c>
      <c r="D1220" s="3" t="s">
        <v>85</v>
      </c>
      <c r="E1220" s="3" t="s">
        <v>228</v>
      </c>
      <c r="F1220" s="4">
        <v>5990</v>
      </c>
      <c r="G1220" s="5">
        <v>3</v>
      </c>
      <c r="H1220" s="6">
        <v>0.05</v>
      </c>
      <c r="I1220" s="7">
        <v>898.5</v>
      </c>
      <c r="J1220" s="7">
        <v>17071.5</v>
      </c>
      <c r="K1220" s="7">
        <v>3018.1</v>
      </c>
      <c r="L1220" s="2" t="s">
        <v>114</v>
      </c>
      <c r="M1220" s="18" t="s">
        <v>226</v>
      </c>
      <c r="N1220" s="3" t="s">
        <v>22</v>
      </c>
      <c r="O1220" s="3" t="s">
        <v>23</v>
      </c>
      <c r="P1220">
        <f>DATEVALUE(OnePlusSalesData[[#This Row],[order_date]])</f>
        <v>43981</v>
      </c>
      <c r="Q1220" s="28">
        <f>DATEVALUE(OnePlusSalesData[[#This Row],[delivery_date]])</f>
        <v>43983</v>
      </c>
    </row>
    <row r="1221" spans="1:17" ht="16" x14ac:dyDescent="0.45">
      <c r="A1221" s="8" t="s">
        <v>2268</v>
      </c>
      <c r="B1221" s="8" t="s">
        <v>25</v>
      </c>
      <c r="C1221" s="9" t="s">
        <v>120</v>
      </c>
      <c r="D1221" s="9" t="s">
        <v>40</v>
      </c>
      <c r="E1221" s="9" t="s">
        <v>47</v>
      </c>
      <c r="F1221" s="10">
        <v>37999</v>
      </c>
      <c r="G1221" s="11">
        <v>2</v>
      </c>
      <c r="H1221" s="12">
        <v>0.08</v>
      </c>
      <c r="I1221" s="13">
        <v>6079.84</v>
      </c>
      <c r="J1221" s="13">
        <v>69918.16</v>
      </c>
      <c r="K1221" s="13">
        <v>12157.64</v>
      </c>
      <c r="L1221" s="8" t="s">
        <v>668</v>
      </c>
      <c r="M1221" s="19" t="s">
        <v>1568</v>
      </c>
      <c r="N1221" s="9" t="s">
        <v>44</v>
      </c>
      <c r="O1221" s="9" t="s">
        <v>96</v>
      </c>
      <c r="P1221">
        <f>DATEVALUE(OnePlusSalesData[[#This Row],[order_date]])</f>
        <v>43701</v>
      </c>
      <c r="Q1221" s="28">
        <f>DATEVALUE(OnePlusSalesData[[#This Row],[delivery_date]])</f>
        <v>43704</v>
      </c>
    </row>
    <row r="1222" spans="1:17" ht="16" x14ac:dyDescent="0.45">
      <c r="A1222" s="2" t="s">
        <v>2269</v>
      </c>
      <c r="B1222" s="2" t="s">
        <v>16</v>
      </c>
      <c r="C1222" s="3" t="s">
        <v>17</v>
      </c>
      <c r="D1222" s="3" t="s">
        <v>18</v>
      </c>
      <c r="E1222" s="3" t="s">
        <v>124</v>
      </c>
      <c r="F1222" s="4">
        <v>3990</v>
      </c>
      <c r="G1222" s="5">
        <v>1</v>
      </c>
      <c r="H1222" s="6">
        <v>0</v>
      </c>
      <c r="I1222" s="7">
        <v>0</v>
      </c>
      <c r="J1222" s="7">
        <v>3990</v>
      </c>
      <c r="K1222" s="7">
        <v>959.98</v>
      </c>
      <c r="L1222" s="2" t="s">
        <v>745</v>
      </c>
      <c r="M1222" s="18" t="s">
        <v>2270</v>
      </c>
      <c r="N1222" s="3" t="s">
        <v>92</v>
      </c>
      <c r="O1222" s="3" t="s">
        <v>23</v>
      </c>
      <c r="P1222">
        <f>DATEVALUE(OnePlusSalesData[[#This Row],[order_date]])</f>
        <v>44159</v>
      </c>
      <c r="Q1222" s="28">
        <f>DATEVALUE(OnePlusSalesData[[#This Row],[delivery_date]])</f>
        <v>44161</v>
      </c>
    </row>
    <row r="1223" spans="1:17" ht="16" x14ac:dyDescent="0.45">
      <c r="A1223" s="8" t="s">
        <v>2271</v>
      </c>
      <c r="B1223" s="8" t="s">
        <v>52</v>
      </c>
      <c r="C1223" s="9" t="s">
        <v>53</v>
      </c>
      <c r="D1223" s="9" t="s">
        <v>18</v>
      </c>
      <c r="E1223" s="9" t="s">
        <v>102</v>
      </c>
      <c r="F1223" s="10">
        <v>1490</v>
      </c>
      <c r="G1223" s="11">
        <v>1</v>
      </c>
      <c r="H1223" s="12">
        <v>0</v>
      </c>
      <c r="I1223" s="13">
        <v>0</v>
      </c>
      <c r="J1223" s="13">
        <v>1490</v>
      </c>
      <c r="K1223" s="13">
        <v>216.95</v>
      </c>
      <c r="L1223" s="8" t="s">
        <v>272</v>
      </c>
      <c r="M1223" s="19" t="s">
        <v>1939</v>
      </c>
      <c r="N1223" s="9" t="s">
        <v>22</v>
      </c>
      <c r="O1223" s="9" t="s">
        <v>31</v>
      </c>
      <c r="P1223">
        <f>DATEVALUE(OnePlusSalesData[[#This Row],[order_date]])</f>
        <v>43333</v>
      </c>
      <c r="Q1223" s="28">
        <f>DATEVALUE(OnePlusSalesData[[#This Row],[delivery_date]])</f>
        <v>43336</v>
      </c>
    </row>
    <row r="1224" spans="1:17" ht="16" x14ac:dyDescent="0.45">
      <c r="A1224" s="2" t="s">
        <v>2272</v>
      </c>
      <c r="B1224" s="2" t="s">
        <v>25</v>
      </c>
      <c r="C1224" s="3" t="s">
        <v>26</v>
      </c>
      <c r="D1224" s="3" t="s">
        <v>40</v>
      </c>
      <c r="E1224" s="3" t="s">
        <v>98</v>
      </c>
      <c r="F1224" s="4">
        <v>34999</v>
      </c>
      <c r="G1224" s="5">
        <v>1</v>
      </c>
      <c r="H1224" s="6">
        <v>0.1</v>
      </c>
      <c r="I1224" s="7">
        <v>3499.9</v>
      </c>
      <c r="J1224" s="7">
        <v>31499.1</v>
      </c>
      <c r="K1224" s="7">
        <v>7168.34</v>
      </c>
      <c r="L1224" s="2" t="s">
        <v>1617</v>
      </c>
      <c r="M1224" s="18" t="s">
        <v>2273</v>
      </c>
      <c r="N1224" s="3" t="s">
        <v>22</v>
      </c>
      <c r="O1224" s="3" t="s">
        <v>23</v>
      </c>
      <c r="P1224">
        <f>DATEVALUE(OnePlusSalesData[[#This Row],[order_date]])</f>
        <v>43768</v>
      </c>
      <c r="Q1224" s="28">
        <f>DATEVALUE(OnePlusSalesData[[#This Row],[delivery_date]])</f>
        <v>43771</v>
      </c>
    </row>
    <row r="1225" spans="1:17" ht="16" x14ac:dyDescent="0.45">
      <c r="A1225" s="8" t="s">
        <v>2274</v>
      </c>
      <c r="B1225" s="8" t="s">
        <v>16</v>
      </c>
      <c r="C1225" s="9" t="s">
        <v>39</v>
      </c>
      <c r="D1225" s="9" t="s">
        <v>18</v>
      </c>
      <c r="E1225" s="9" t="s">
        <v>124</v>
      </c>
      <c r="F1225" s="10">
        <v>3990</v>
      </c>
      <c r="G1225" s="11">
        <v>1</v>
      </c>
      <c r="H1225" s="12">
        <v>0</v>
      </c>
      <c r="I1225" s="13">
        <v>0</v>
      </c>
      <c r="J1225" s="13">
        <v>3990</v>
      </c>
      <c r="K1225" s="13">
        <v>742.01</v>
      </c>
      <c r="L1225" s="8" t="s">
        <v>817</v>
      </c>
      <c r="M1225" s="19" t="s">
        <v>818</v>
      </c>
      <c r="N1225" s="9" t="s">
        <v>22</v>
      </c>
      <c r="O1225" s="9" t="s">
        <v>96</v>
      </c>
      <c r="P1225">
        <f>DATEVALUE(OnePlusSalesData[[#This Row],[order_date]])</f>
        <v>43112</v>
      </c>
      <c r="Q1225" s="28">
        <f>DATEVALUE(OnePlusSalesData[[#This Row],[delivery_date]])</f>
        <v>43116</v>
      </c>
    </row>
    <row r="1226" spans="1:17" ht="16" x14ac:dyDescent="0.45">
      <c r="A1226" s="2" t="s">
        <v>2275</v>
      </c>
      <c r="B1226" s="2" t="s">
        <v>58</v>
      </c>
      <c r="C1226" s="3" t="s">
        <v>257</v>
      </c>
      <c r="D1226" s="3" t="s">
        <v>27</v>
      </c>
      <c r="E1226" s="3" t="s">
        <v>28</v>
      </c>
      <c r="F1226" s="4">
        <v>12999</v>
      </c>
      <c r="G1226" s="5">
        <v>1</v>
      </c>
      <c r="H1226" s="6">
        <v>0.08</v>
      </c>
      <c r="I1226" s="7">
        <v>1039.92</v>
      </c>
      <c r="J1226" s="7">
        <v>11959.08</v>
      </c>
      <c r="K1226" s="7">
        <v>1940.15</v>
      </c>
      <c r="L1226" s="2" t="s">
        <v>2276</v>
      </c>
      <c r="M1226" s="18" t="s">
        <v>662</v>
      </c>
      <c r="N1226" s="3" t="s">
        <v>92</v>
      </c>
      <c r="O1226" s="3" t="s">
        <v>23</v>
      </c>
      <c r="P1226">
        <f>DATEVALUE(OnePlusSalesData[[#This Row],[order_date]])</f>
        <v>43691</v>
      </c>
      <c r="Q1226" s="28">
        <f>DATEVALUE(OnePlusSalesData[[#This Row],[delivery_date]])</f>
        <v>43695</v>
      </c>
    </row>
    <row r="1227" spans="1:17" ht="16" x14ac:dyDescent="0.45">
      <c r="A1227" s="8" t="s">
        <v>2277</v>
      </c>
      <c r="B1227" s="8" t="s">
        <v>25</v>
      </c>
      <c r="C1227" s="9" t="s">
        <v>26</v>
      </c>
      <c r="D1227" s="9" t="s">
        <v>40</v>
      </c>
      <c r="E1227" s="9" t="s">
        <v>148</v>
      </c>
      <c r="F1227" s="10">
        <v>41999</v>
      </c>
      <c r="G1227" s="11">
        <v>2</v>
      </c>
      <c r="H1227" s="12">
        <v>0.08</v>
      </c>
      <c r="I1227" s="13">
        <v>6719.84</v>
      </c>
      <c r="J1227" s="13">
        <v>77278.16</v>
      </c>
      <c r="K1227" s="13">
        <v>17951.900000000001</v>
      </c>
      <c r="L1227" s="8" t="s">
        <v>326</v>
      </c>
      <c r="M1227" s="19" t="s">
        <v>66</v>
      </c>
      <c r="N1227" s="9" t="s">
        <v>22</v>
      </c>
      <c r="O1227" s="9" t="s">
        <v>23</v>
      </c>
      <c r="P1227">
        <f>DATEVALUE(OnePlusSalesData[[#This Row],[order_date]])</f>
        <v>43744</v>
      </c>
      <c r="Q1227" s="28">
        <f>DATEVALUE(OnePlusSalesData[[#This Row],[delivery_date]])</f>
        <v>43748</v>
      </c>
    </row>
    <row r="1228" spans="1:17" ht="16" x14ac:dyDescent="0.45">
      <c r="A1228" s="2" t="s">
        <v>2278</v>
      </c>
      <c r="B1228" s="2" t="s">
        <v>52</v>
      </c>
      <c r="C1228" s="3" t="s">
        <v>192</v>
      </c>
      <c r="D1228" s="3" t="s">
        <v>85</v>
      </c>
      <c r="E1228" s="3" t="s">
        <v>258</v>
      </c>
      <c r="F1228" s="4">
        <v>2999</v>
      </c>
      <c r="G1228" s="5">
        <v>5</v>
      </c>
      <c r="H1228" s="6">
        <v>0.05</v>
      </c>
      <c r="I1228" s="7">
        <v>749.75</v>
      </c>
      <c r="J1228" s="7">
        <v>14245.25</v>
      </c>
      <c r="K1228" s="7">
        <v>3569.96</v>
      </c>
      <c r="L1228" s="2" t="s">
        <v>1594</v>
      </c>
      <c r="M1228" s="18" t="s">
        <v>197</v>
      </c>
      <c r="N1228" s="3" t="s">
        <v>22</v>
      </c>
      <c r="O1228" s="3" t="s">
        <v>31</v>
      </c>
      <c r="P1228">
        <f>DATEVALUE(OnePlusSalesData[[#This Row],[order_date]])</f>
        <v>43662</v>
      </c>
      <c r="Q1228" s="28">
        <f>DATEVALUE(OnePlusSalesData[[#This Row],[delivery_date]])</f>
        <v>43669</v>
      </c>
    </row>
    <row r="1229" spans="1:17" ht="16" x14ac:dyDescent="0.45">
      <c r="A1229" s="8" t="s">
        <v>2279</v>
      </c>
      <c r="B1229" s="8" t="s">
        <v>25</v>
      </c>
      <c r="C1229" s="9" t="s">
        <v>120</v>
      </c>
      <c r="D1229" s="9" t="s">
        <v>18</v>
      </c>
      <c r="E1229" s="9" t="s">
        <v>102</v>
      </c>
      <c r="F1229" s="10">
        <v>1490</v>
      </c>
      <c r="G1229" s="11">
        <v>1</v>
      </c>
      <c r="H1229" s="12">
        <v>0.1</v>
      </c>
      <c r="I1229" s="13">
        <v>149</v>
      </c>
      <c r="J1229" s="13">
        <v>1341</v>
      </c>
      <c r="K1229" s="13">
        <v>301.67</v>
      </c>
      <c r="L1229" s="8" t="s">
        <v>420</v>
      </c>
      <c r="M1229" s="19" t="s">
        <v>214</v>
      </c>
      <c r="N1229" s="9" t="s">
        <v>22</v>
      </c>
      <c r="O1229" s="9" t="s">
        <v>23</v>
      </c>
      <c r="P1229">
        <f>DATEVALUE(OnePlusSalesData[[#This Row],[order_date]])</f>
        <v>43182</v>
      </c>
      <c r="Q1229" s="28">
        <f>DATEVALUE(OnePlusSalesData[[#This Row],[delivery_date]])</f>
        <v>43187</v>
      </c>
    </row>
    <row r="1230" spans="1:17" ht="16" x14ac:dyDescent="0.45">
      <c r="A1230" s="2" t="s">
        <v>2280</v>
      </c>
      <c r="B1230" s="2" t="s">
        <v>16</v>
      </c>
      <c r="C1230" s="3" t="s">
        <v>39</v>
      </c>
      <c r="D1230" s="3" t="s">
        <v>27</v>
      </c>
      <c r="E1230" s="3" t="s">
        <v>28</v>
      </c>
      <c r="F1230" s="4">
        <v>12999</v>
      </c>
      <c r="G1230" s="5">
        <v>1</v>
      </c>
      <c r="H1230" s="6">
        <v>0.05</v>
      </c>
      <c r="I1230" s="7">
        <v>649.95000000000005</v>
      </c>
      <c r="J1230" s="7">
        <v>12349.05</v>
      </c>
      <c r="K1230" s="7">
        <v>2615.2399999999998</v>
      </c>
      <c r="L1230" s="2" t="s">
        <v>755</v>
      </c>
      <c r="M1230" s="18" t="s">
        <v>1599</v>
      </c>
      <c r="N1230" s="3" t="s">
        <v>22</v>
      </c>
      <c r="O1230" s="3" t="s">
        <v>23</v>
      </c>
      <c r="P1230">
        <f>DATEVALUE(OnePlusSalesData[[#This Row],[order_date]])</f>
        <v>43866</v>
      </c>
      <c r="Q1230" s="28">
        <f>DATEVALUE(OnePlusSalesData[[#This Row],[delivery_date]])</f>
        <v>43869</v>
      </c>
    </row>
    <row r="1231" spans="1:17" ht="16" x14ac:dyDescent="0.45">
      <c r="A1231" s="8" t="s">
        <v>2281</v>
      </c>
      <c r="B1231" s="8" t="s">
        <v>52</v>
      </c>
      <c r="C1231" s="9" t="s">
        <v>358</v>
      </c>
      <c r="D1231" s="9" t="s">
        <v>27</v>
      </c>
      <c r="E1231" s="9" t="s">
        <v>159</v>
      </c>
      <c r="F1231" s="10">
        <v>22999</v>
      </c>
      <c r="G1231" s="11">
        <v>1</v>
      </c>
      <c r="H1231" s="12">
        <v>0.08</v>
      </c>
      <c r="I1231" s="13">
        <v>1839.92</v>
      </c>
      <c r="J1231" s="13">
        <v>21159.08</v>
      </c>
      <c r="K1231" s="13">
        <v>3645.82</v>
      </c>
      <c r="L1231" s="8" t="s">
        <v>480</v>
      </c>
      <c r="M1231" s="19" t="s">
        <v>1739</v>
      </c>
      <c r="N1231" s="9" t="s">
        <v>50</v>
      </c>
      <c r="O1231" s="9" t="s">
        <v>96</v>
      </c>
      <c r="P1231">
        <f>DATEVALUE(OnePlusSalesData[[#This Row],[order_date]])</f>
        <v>43481</v>
      </c>
      <c r="Q1231" s="28">
        <f>DATEVALUE(OnePlusSalesData[[#This Row],[delivery_date]])</f>
        <v>43487</v>
      </c>
    </row>
    <row r="1232" spans="1:17" ht="16" x14ac:dyDescent="0.45">
      <c r="A1232" s="2" t="s">
        <v>2282</v>
      </c>
      <c r="B1232" s="2" t="s">
        <v>16</v>
      </c>
      <c r="C1232" s="3" t="s">
        <v>33</v>
      </c>
      <c r="D1232" s="3" t="s">
        <v>40</v>
      </c>
      <c r="E1232" s="3" t="s">
        <v>54</v>
      </c>
      <c r="F1232" s="4">
        <v>53999</v>
      </c>
      <c r="G1232" s="5">
        <v>1</v>
      </c>
      <c r="H1232" s="6">
        <v>0.1</v>
      </c>
      <c r="I1232" s="7">
        <v>5399.9</v>
      </c>
      <c r="J1232" s="7">
        <v>48599.1</v>
      </c>
      <c r="K1232" s="7">
        <v>10475.11</v>
      </c>
      <c r="L1232" s="2" t="s">
        <v>1340</v>
      </c>
      <c r="M1232" s="18" t="s">
        <v>2283</v>
      </c>
      <c r="N1232" s="3" t="s">
        <v>50</v>
      </c>
      <c r="O1232" s="3" t="s">
        <v>45</v>
      </c>
      <c r="P1232">
        <f>DATEVALUE(OnePlusSalesData[[#This Row],[order_date]])</f>
        <v>43331</v>
      </c>
      <c r="Q1232" s="28">
        <f>DATEVALUE(OnePlusSalesData[[#This Row],[delivery_date]])</f>
        <v>43338</v>
      </c>
    </row>
    <row r="1233" spans="1:17" ht="16" x14ac:dyDescent="0.45">
      <c r="A1233" s="8" t="s">
        <v>2284</v>
      </c>
      <c r="B1233" s="8" t="s">
        <v>16</v>
      </c>
      <c r="C1233" s="9" t="s">
        <v>140</v>
      </c>
      <c r="D1233" s="9" t="s">
        <v>40</v>
      </c>
      <c r="E1233" s="9" t="s">
        <v>406</v>
      </c>
      <c r="F1233" s="10">
        <v>48999</v>
      </c>
      <c r="G1233" s="11">
        <v>1</v>
      </c>
      <c r="H1233" s="12">
        <v>0.1</v>
      </c>
      <c r="I1233" s="13">
        <v>4899.8999999999996</v>
      </c>
      <c r="J1233" s="13">
        <v>44099.1</v>
      </c>
      <c r="K1233" s="13">
        <v>9748.31</v>
      </c>
      <c r="L1233" s="8" t="s">
        <v>1015</v>
      </c>
      <c r="M1233" s="19" t="s">
        <v>249</v>
      </c>
      <c r="N1233" s="9" t="s">
        <v>44</v>
      </c>
      <c r="O1233" s="9" t="s">
        <v>31</v>
      </c>
      <c r="P1233">
        <f>DATEVALUE(OnePlusSalesData[[#This Row],[order_date]])</f>
        <v>43209</v>
      </c>
      <c r="Q1233" s="28">
        <f>DATEVALUE(OnePlusSalesData[[#This Row],[delivery_date]])</f>
        <v>43213</v>
      </c>
    </row>
    <row r="1234" spans="1:17" ht="16" x14ac:dyDescent="0.45">
      <c r="A1234" s="2" t="s">
        <v>2285</v>
      </c>
      <c r="B1234" s="2" t="s">
        <v>52</v>
      </c>
      <c r="C1234" s="3" t="s">
        <v>358</v>
      </c>
      <c r="D1234" s="3" t="s">
        <v>40</v>
      </c>
      <c r="E1234" s="3" t="s">
        <v>73</v>
      </c>
      <c r="F1234" s="4">
        <v>32999</v>
      </c>
      <c r="G1234" s="5">
        <v>2</v>
      </c>
      <c r="H1234" s="6">
        <v>0.05</v>
      </c>
      <c r="I1234" s="7">
        <v>3299.9</v>
      </c>
      <c r="J1234" s="7">
        <v>62698.1</v>
      </c>
      <c r="K1234" s="7">
        <v>15864.41</v>
      </c>
      <c r="L1234" s="2" t="s">
        <v>497</v>
      </c>
      <c r="M1234" s="18" t="s">
        <v>275</v>
      </c>
      <c r="N1234" s="3" t="s">
        <v>50</v>
      </c>
      <c r="O1234" s="3" t="s">
        <v>31</v>
      </c>
      <c r="P1234">
        <f>DATEVALUE(OnePlusSalesData[[#This Row],[order_date]])</f>
        <v>43408</v>
      </c>
      <c r="Q1234" s="28">
        <f>DATEVALUE(OnePlusSalesData[[#This Row],[delivery_date]])</f>
        <v>43415</v>
      </c>
    </row>
    <row r="1235" spans="1:17" ht="16" x14ac:dyDescent="0.45">
      <c r="A1235" s="8" t="s">
        <v>2286</v>
      </c>
      <c r="B1235" s="8" t="s">
        <v>25</v>
      </c>
      <c r="C1235" s="9" t="s">
        <v>120</v>
      </c>
      <c r="D1235" s="9" t="s">
        <v>40</v>
      </c>
      <c r="E1235" s="9" t="s">
        <v>406</v>
      </c>
      <c r="F1235" s="10">
        <v>48999</v>
      </c>
      <c r="G1235" s="11">
        <v>1</v>
      </c>
      <c r="H1235" s="12">
        <v>0.05</v>
      </c>
      <c r="I1235" s="13">
        <v>2449.9499999999998</v>
      </c>
      <c r="J1235" s="13">
        <v>46549.05</v>
      </c>
      <c r="K1235" s="13">
        <v>8360.0400000000009</v>
      </c>
      <c r="L1235" s="8" t="s">
        <v>506</v>
      </c>
      <c r="M1235" s="19" t="s">
        <v>1644</v>
      </c>
      <c r="N1235" s="9" t="s">
        <v>22</v>
      </c>
      <c r="O1235" s="9" t="s">
        <v>45</v>
      </c>
      <c r="P1235">
        <f>DATEVALUE(OnePlusSalesData[[#This Row],[order_date]])</f>
        <v>43827</v>
      </c>
      <c r="Q1235" s="28">
        <f>DATEVALUE(OnePlusSalesData[[#This Row],[delivery_date]])</f>
        <v>43833</v>
      </c>
    </row>
    <row r="1236" spans="1:17" ht="16" x14ac:dyDescent="0.45">
      <c r="A1236" s="2" t="s">
        <v>2287</v>
      </c>
      <c r="B1236" s="2" t="s">
        <v>16</v>
      </c>
      <c r="C1236" s="3" t="s">
        <v>140</v>
      </c>
      <c r="D1236" s="3" t="s">
        <v>18</v>
      </c>
      <c r="E1236" s="3" t="s">
        <v>124</v>
      </c>
      <c r="F1236" s="4">
        <v>3990</v>
      </c>
      <c r="G1236" s="5">
        <v>3</v>
      </c>
      <c r="H1236" s="6">
        <v>0.1</v>
      </c>
      <c r="I1236" s="7">
        <v>1197</v>
      </c>
      <c r="J1236" s="7">
        <v>10773</v>
      </c>
      <c r="K1236" s="7">
        <v>1891.21</v>
      </c>
      <c r="L1236" s="2" t="s">
        <v>539</v>
      </c>
      <c r="M1236" s="18" t="s">
        <v>503</v>
      </c>
      <c r="N1236" s="3" t="s">
        <v>22</v>
      </c>
      <c r="O1236" s="3" t="s">
        <v>31</v>
      </c>
      <c r="P1236">
        <f>DATEVALUE(OnePlusSalesData[[#This Row],[order_date]])</f>
        <v>44111</v>
      </c>
      <c r="Q1236" s="28">
        <f>DATEVALUE(OnePlusSalesData[[#This Row],[delivery_date]])</f>
        <v>44117</v>
      </c>
    </row>
    <row r="1237" spans="1:17" ht="16" x14ac:dyDescent="0.45">
      <c r="A1237" s="8" t="s">
        <v>2288</v>
      </c>
      <c r="B1237" s="8" t="s">
        <v>16</v>
      </c>
      <c r="C1237" s="9" t="s">
        <v>39</v>
      </c>
      <c r="D1237" s="9" t="s">
        <v>85</v>
      </c>
      <c r="E1237" s="9" t="s">
        <v>265</v>
      </c>
      <c r="F1237" s="10">
        <v>4990</v>
      </c>
      <c r="G1237" s="11">
        <v>1</v>
      </c>
      <c r="H1237" s="12">
        <v>0.1</v>
      </c>
      <c r="I1237" s="13">
        <v>499</v>
      </c>
      <c r="J1237" s="13">
        <v>4491</v>
      </c>
      <c r="K1237" s="13">
        <v>840.66</v>
      </c>
      <c r="L1237" s="8" t="s">
        <v>1654</v>
      </c>
      <c r="M1237" s="19" t="s">
        <v>2118</v>
      </c>
      <c r="N1237" s="9" t="s">
        <v>22</v>
      </c>
      <c r="O1237" s="9" t="s">
        <v>23</v>
      </c>
      <c r="P1237">
        <f>DATEVALUE(OnePlusSalesData[[#This Row],[order_date]])</f>
        <v>43534</v>
      </c>
      <c r="Q1237" s="28">
        <f>DATEVALUE(OnePlusSalesData[[#This Row],[delivery_date]])</f>
        <v>43540</v>
      </c>
    </row>
    <row r="1238" spans="1:17" ht="16" x14ac:dyDescent="0.45">
      <c r="A1238" s="2" t="s">
        <v>2289</v>
      </c>
      <c r="B1238" s="2" t="s">
        <v>16</v>
      </c>
      <c r="C1238" s="3" t="s">
        <v>152</v>
      </c>
      <c r="D1238" s="3" t="s">
        <v>40</v>
      </c>
      <c r="E1238" s="3" t="s">
        <v>60</v>
      </c>
      <c r="F1238" s="4">
        <v>54999</v>
      </c>
      <c r="G1238" s="5">
        <v>2</v>
      </c>
      <c r="H1238" s="6">
        <v>0.05</v>
      </c>
      <c r="I1238" s="7">
        <v>5499.9</v>
      </c>
      <c r="J1238" s="7">
        <v>104498.1</v>
      </c>
      <c r="K1238" s="7">
        <v>17520.79</v>
      </c>
      <c r="L1238" s="2" t="s">
        <v>345</v>
      </c>
      <c r="M1238" s="18" t="s">
        <v>366</v>
      </c>
      <c r="N1238" s="3" t="s">
        <v>50</v>
      </c>
      <c r="O1238" s="3" t="s">
        <v>23</v>
      </c>
      <c r="P1238">
        <f>DATEVALUE(OnePlusSalesData[[#This Row],[order_date]])</f>
        <v>43838</v>
      </c>
      <c r="Q1238" s="28">
        <f>DATEVALUE(OnePlusSalesData[[#This Row],[delivery_date]])</f>
        <v>43844</v>
      </c>
    </row>
    <row r="1239" spans="1:17" ht="16" x14ac:dyDescent="0.45">
      <c r="A1239" s="8" t="s">
        <v>2290</v>
      </c>
      <c r="B1239" s="8" t="s">
        <v>25</v>
      </c>
      <c r="C1239" s="9" t="s">
        <v>133</v>
      </c>
      <c r="D1239" s="9" t="s">
        <v>34</v>
      </c>
      <c r="E1239" s="9" t="s">
        <v>77</v>
      </c>
      <c r="F1239" s="10">
        <v>24999</v>
      </c>
      <c r="G1239" s="11">
        <v>1</v>
      </c>
      <c r="H1239" s="12">
        <v>0.12</v>
      </c>
      <c r="I1239" s="13">
        <v>2999.88</v>
      </c>
      <c r="J1239" s="13">
        <v>21999.119999999999</v>
      </c>
      <c r="K1239" s="13">
        <v>4883.8100000000004</v>
      </c>
      <c r="L1239" s="8" t="s">
        <v>930</v>
      </c>
      <c r="M1239" s="19" t="s">
        <v>626</v>
      </c>
      <c r="N1239" s="9" t="s">
        <v>22</v>
      </c>
      <c r="O1239" s="9" t="s">
        <v>146</v>
      </c>
      <c r="P1239">
        <f>DATEVALUE(OnePlusSalesData[[#This Row],[order_date]])</f>
        <v>43433</v>
      </c>
      <c r="Q1239" s="28">
        <f>DATEVALUE(OnePlusSalesData[[#This Row],[delivery_date]])</f>
        <v>43436</v>
      </c>
    </row>
    <row r="1240" spans="1:17" ht="16" x14ac:dyDescent="0.45">
      <c r="A1240" s="2" t="s">
        <v>2291</v>
      </c>
      <c r="B1240" s="2" t="s">
        <v>25</v>
      </c>
      <c r="C1240" s="3" t="s">
        <v>26</v>
      </c>
      <c r="D1240" s="3" t="s">
        <v>34</v>
      </c>
      <c r="E1240" s="3" t="s">
        <v>77</v>
      </c>
      <c r="F1240" s="4">
        <v>24999</v>
      </c>
      <c r="G1240" s="5">
        <v>1</v>
      </c>
      <c r="H1240" s="6">
        <v>0.08</v>
      </c>
      <c r="I1240" s="7">
        <v>1999.92</v>
      </c>
      <c r="J1240" s="7">
        <v>22999.08</v>
      </c>
      <c r="K1240" s="7">
        <v>3724</v>
      </c>
      <c r="L1240" s="2" t="s">
        <v>225</v>
      </c>
      <c r="M1240" s="18" t="s">
        <v>312</v>
      </c>
      <c r="N1240" s="3" t="s">
        <v>92</v>
      </c>
      <c r="O1240" s="3" t="s">
        <v>23</v>
      </c>
      <c r="P1240">
        <f>DATEVALUE(OnePlusSalesData[[#This Row],[order_date]])</f>
        <v>43977</v>
      </c>
      <c r="Q1240" s="28">
        <f>DATEVALUE(OnePlusSalesData[[#This Row],[delivery_date]])</f>
        <v>43979</v>
      </c>
    </row>
    <row r="1241" spans="1:17" ht="16" x14ac:dyDescent="0.45">
      <c r="A1241" s="8" t="s">
        <v>2292</v>
      </c>
      <c r="B1241" s="8" t="s">
        <v>52</v>
      </c>
      <c r="C1241" s="9" t="s">
        <v>106</v>
      </c>
      <c r="D1241" s="9" t="s">
        <v>18</v>
      </c>
      <c r="E1241" s="9" t="s">
        <v>19</v>
      </c>
      <c r="F1241" s="10">
        <v>1990</v>
      </c>
      <c r="G1241" s="11">
        <v>1</v>
      </c>
      <c r="H1241" s="12">
        <v>0.08</v>
      </c>
      <c r="I1241" s="13">
        <v>159.19999999999999</v>
      </c>
      <c r="J1241" s="13">
        <v>1830.8</v>
      </c>
      <c r="K1241" s="13">
        <v>292.68</v>
      </c>
      <c r="L1241" s="8" t="s">
        <v>497</v>
      </c>
      <c r="M1241" s="19" t="s">
        <v>466</v>
      </c>
      <c r="N1241" s="9" t="s">
        <v>22</v>
      </c>
      <c r="O1241" s="9" t="s">
        <v>63</v>
      </c>
      <c r="P1241">
        <f>DATEVALUE(OnePlusSalesData[[#This Row],[order_date]])</f>
        <v>43408</v>
      </c>
      <c r="Q1241" s="28">
        <f>DATEVALUE(OnePlusSalesData[[#This Row],[delivery_date]])</f>
        <v>43412</v>
      </c>
    </row>
    <row r="1242" spans="1:17" ht="16" x14ac:dyDescent="0.45">
      <c r="A1242" s="2" t="s">
        <v>2293</v>
      </c>
      <c r="B1242" s="2" t="s">
        <v>16</v>
      </c>
      <c r="C1242" s="3" t="s">
        <v>17</v>
      </c>
      <c r="D1242" s="3" t="s">
        <v>18</v>
      </c>
      <c r="E1242" s="3" t="s">
        <v>179</v>
      </c>
      <c r="F1242" s="4">
        <v>1290</v>
      </c>
      <c r="G1242" s="5">
        <v>2</v>
      </c>
      <c r="H1242" s="6">
        <v>0</v>
      </c>
      <c r="I1242" s="7">
        <v>0</v>
      </c>
      <c r="J1242" s="7">
        <v>2580</v>
      </c>
      <c r="K1242" s="7">
        <v>468.83</v>
      </c>
      <c r="L1242" s="2" t="s">
        <v>2252</v>
      </c>
      <c r="M1242" s="18" t="s">
        <v>1237</v>
      </c>
      <c r="N1242" s="3" t="s">
        <v>22</v>
      </c>
      <c r="O1242" s="3" t="s">
        <v>23</v>
      </c>
      <c r="P1242">
        <f>DATEVALUE(OnePlusSalesData[[#This Row],[order_date]])</f>
        <v>43993</v>
      </c>
      <c r="Q1242" s="28">
        <f>DATEVALUE(OnePlusSalesData[[#This Row],[delivery_date]])</f>
        <v>43997</v>
      </c>
    </row>
    <row r="1243" spans="1:17" ht="16" x14ac:dyDescent="0.45">
      <c r="A1243" s="8" t="s">
        <v>2294</v>
      </c>
      <c r="B1243" s="8" t="s">
        <v>58</v>
      </c>
      <c r="C1243" s="9" t="s">
        <v>257</v>
      </c>
      <c r="D1243" s="9" t="s">
        <v>18</v>
      </c>
      <c r="E1243" s="9" t="s">
        <v>102</v>
      </c>
      <c r="F1243" s="10">
        <v>1490</v>
      </c>
      <c r="G1243" s="11">
        <v>3</v>
      </c>
      <c r="H1243" s="12">
        <v>0.08</v>
      </c>
      <c r="I1243" s="13">
        <v>357.6</v>
      </c>
      <c r="J1243" s="13">
        <v>4112.3999999999996</v>
      </c>
      <c r="K1243" s="13">
        <v>743.97</v>
      </c>
      <c r="L1243" s="8" t="s">
        <v>708</v>
      </c>
      <c r="M1243" s="19" t="s">
        <v>652</v>
      </c>
      <c r="N1243" s="9" t="s">
        <v>50</v>
      </c>
      <c r="O1243" s="9" t="s">
        <v>146</v>
      </c>
      <c r="P1243">
        <f>DATEVALUE(OnePlusSalesData[[#This Row],[order_date]])</f>
        <v>43538</v>
      </c>
      <c r="Q1243" s="28">
        <f>DATEVALUE(OnePlusSalesData[[#This Row],[delivery_date]])</f>
        <v>43545</v>
      </c>
    </row>
    <row r="1244" spans="1:17" ht="16" x14ac:dyDescent="0.45">
      <c r="A1244" s="2" t="s">
        <v>2295</v>
      </c>
      <c r="B1244" s="2" t="s">
        <v>25</v>
      </c>
      <c r="C1244" s="3" t="s">
        <v>133</v>
      </c>
      <c r="D1244" s="3" t="s">
        <v>40</v>
      </c>
      <c r="E1244" s="3" t="s">
        <v>148</v>
      </c>
      <c r="F1244" s="4">
        <v>41999</v>
      </c>
      <c r="G1244" s="5">
        <v>2</v>
      </c>
      <c r="H1244" s="6">
        <v>0</v>
      </c>
      <c r="I1244" s="7">
        <v>0</v>
      </c>
      <c r="J1244" s="7">
        <v>83998</v>
      </c>
      <c r="K1244" s="7">
        <v>21145.3</v>
      </c>
      <c r="L1244" s="2" t="s">
        <v>539</v>
      </c>
      <c r="M1244" s="18" t="s">
        <v>503</v>
      </c>
      <c r="N1244" s="3" t="s">
        <v>92</v>
      </c>
      <c r="O1244" s="3" t="s">
        <v>63</v>
      </c>
      <c r="P1244">
        <f>DATEVALUE(OnePlusSalesData[[#This Row],[order_date]])</f>
        <v>44111</v>
      </c>
      <c r="Q1244" s="28">
        <f>DATEVALUE(OnePlusSalesData[[#This Row],[delivery_date]])</f>
        <v>44117</v>
      </c>
    </row>
    <row r="1245" spans="1:17" ht="16" x14ac:dyDescent="0.45">
      <c r="A1245" s="8" t="s">
        <v>2296</v>
      </c>
      <c r="B1245" s="8" t="s">
        <v>16</v>
      </c>
      <c r="C1245" s="9" t="s">
        <v>152</v>
      </c>
      <c r="D1245" s="9" t="s">
        <v>40</v>
      </c>
      <c r="E1245" s="9" t="s">
        <v>41</v>
      </c>
      <c r="F1245" s="10">
        <v>37999</v>
      </c>
      <c r="G1245" s="11">
        <v>3</v>
      </c>
      <c r="H1245" s="12">
        <v>0.08</v>
      </c>
      <c r="I1245" s="13">
        <v>9119.76</v>
      </c>
      <c r="J1245" s="13">
        <v>104877.24</v>
      </c>
      <c r="K1245" s="13">
        <v>14907.82</v>
      </c>
      <c r="L1245" s="8" t="s">
        <v>1057</v>
      </c>
      <c r="M1245" s="19" t="s">
        <v>356</v>
      </c>
      <c r="N1245" s="9" t="s">
        <v>92</v>
      </c>
      <c r="O1245" s="9" t="s">
        <v>31</v>
      </c>
      <c r="P1245">
        <f>DATEVALUE(OnePlusSalesData[[#This Row],[order_date]])</f>
        <v>43596</v>
      </c>
      <c r="Q1245" s="28">
        <f>DATEVALUE(OnePlusSalesData[[#This Row],[delivery_date]])</f>
        <v>43599</v>
      </c>
    </row>
    <row r="1246" spans="1:17" ht="16" x14ac:dyDescent="0.45">
      <c r="A1246" s="2" t="s">
        <v>2297</v>
      </c>
      <c r="B1246" s="2" t="s">
        <v>16</v>
      </c>
      <c r="C1246" s="3" t="s">
        <v>39</v>
      </c>
      <c r="D1246" s="3" t="s">
        <v>18</v>
      </c>
      <c r="E1246" s="3" t="s">
        <v>19</v>
      </c>
      <c r="F1246" s="4">
        <v>1990</v>
      </c>
      <c r="G1246" s="5">
        <v>4</v>
      </c>
      <c r="H1246" s="6">
        <v>0</v>
      </c>
      <c r="I1246" s="7">
        <v>0</v>
      </c>
      <c r="J1246" s="7">
        <v>7960</v>
      </c>
      <c r="K1246" s="7">
        <v>1205.3900000000001</v>
      </c>
      <c r="L1246" s="2" t="s">
        <v>154</v>
      </c>
      <c r="M1246" s="18" t="s">
        <v>661</v>
      </c>
      <c r="N1246" s="3" t="s">
        <v>22</v>
      </c>
      <c r="O1246" s="3" t="s">
        <v>31</v>
      </c>
      <c r="P1246">
        <f>DATEVALUE(OnePlusSalesData[[#This Row],[order_date]])</f>
        <v>43682</v>
      </c>
      <c r="Q1246" s="28">
        <f>DATEVALUE(OnePlusSalesData[[#This Row],[delivery_date]])</f>
        <v>43688</v>
      </c>
    </row>
    <row r="1247" spans="1:17" ht="16" x14ac:dyDescent="0.45">
      <c r="A1247" s="8" t="s">
        <v>2298</v>
      </c>
      <c r="B1247" s="8" t="s">
        <v>58</v>
      </c>
      <c r="C1247" s="9" t="s">
        <v>59</v>
      </c>
      <c r="D1247" s="9" t="s">
        <v>85</v>
      </c>
      <c r="E1247" s="9" t="s">
        <v>86</v>
      </c>
      <c r="F1247" s="10">
        <v>1999</v>
      </c>
      <c r="G1247" s="11">
        <v>1</v>
      </c>
      <c r="H1247" s="12">
        <v>0.08</v>
      </c>
      <c r="I1247" s="13">
        <v>159.91999999999999</v>
      </c>
      <c r="J1247" s="13">
        <v>1839.08</v>
      </c>
      <c r="K1247" s="13">
        <v>413.75</v>
      </c>
      <c r="L1247" s="8" t="s">
        <v>434</v>
      </c>
      <c r="M1247" s="19" t="s">
        <v>666</v>
      </c>
      <c r="N1247" s="9" t="s">
        <v>22</v>
      </c>
      <c r="O1247" s="9" t="s">
        <v>45</v>
      </c>
      <c r="P1247">
        <f>DATEVALUE(OnePlusSalesData[[#This Row],[order_date]])</f>
        <v>44150</v>
      </c>
      <c r="Q1247" s="28">
        <f>DATEVALUE(OnePlusSalesData[[#This Row],[delivery_date]])</f>
        <v>44152</v>
      </c>
    </row>
    <row r="1248" spans="1:17" ht="16" x14ac:dyDescent="0.45">
      <c r="A1248" s="2" t="s">
        <v>2299</v>
      </c>
      <c r="B1248" s="2" t="s">
        <v>16</v>
      </c>
      <c r="C1248" s="3" t="s">
        <v>33</v>
      </c>
      <c r="D1248" s="3" t="s">
        <v>27</v>
      </c>
      <c r="E1248" s="3" t="s">
        <v>159</v>
      </c>
      <c r="F1248" s="4">
        <v>22999</v>
      </c>
      <c r="G1248" s="5">
        <v>1</v>
      </c>
      <c r="H1248" s="6">
        <v>0.05</v>
      </c>
      <c r="I1248" s="7">
        <v>1149.95</v>
      </c>
      <c r="J1248" s="7">
        <v>21849.05</v>
      </c>
      <c r="K1248" s="7">
        <v>5536.68</v>
      </c>
      <c r="L1248" s="2" t="s">
        <v>2300</v>
      </c>
      <c r="M1248" s="18" t="s">
        <v>1859</v>
      </c>
      <c r="N1248" s="3" t="s">
        <v>50</v>
      </c>
      <c r="O1248" s="3" t="s">
        <v>63</v>
      </c>
      <c r="P1248">
        <f>DATEVALUE(OnePlusSalesData[[#This Row],[order_date]])</f>
        <v>43469</v>
      </c>
      <c r="Q1248" s="28">
        <f>DATEVALUE(OnePlusSalesData[[#This Row],[delivery_date]])</f>
        <v>43471</v>
      </c>
    </row>
    <row r="1249" spans="1:17" ht="16" x14ac:dyDescent="0.45">
      <c r="A1249" s="8" t="s">
        <v>2301</v>
      </c>
      <c r="B1249" s="8" t="s">
        <v>52</v>
      </c>
      <c r="C1249" s="9" t="s">
        <v>358</v>
      </c>
      <c r="D1249" s="9" t="s">
        <v>18</v>
      </c>
      <c r="E1249" s="9" t="s">
        <v>179</v>
      </c>
      <c r="F1249" s="10">
        <v>1290</v>
      </c>
      <c r="G1249" s="11">
        <v>1</v>
      </c>
      <c r="H1249" s="12">
        <v>0.05</v>
      </c>
      <c r="I1249" s="13">
        <v>64.5</v>
      </c>
      <c r="J1249" s="13">
        <v>1225.5</v>
      </c>
      <c r="K1249" s="13">
        <v>218.17</v>
      </c>
      <c r="L1249" s="8" t="s">
        <v>1524</v>
      </c>
      <c r="M1249" s="19" t="s">
        <v>1015</v>
      </c>
      <c r="N1249" s="9" t="s">
        <v>22</v>
      </c>
      <c r="O1249" s="9" t="s">
        <v>23</v>
      </c>
      <c r="P1249">
        <f>DATEVALUE(OnePlusSalesData[[#This Row],[order_date]])</f>
        <v>43205</v>
      </c>
      <c r="Q1249" s="28">
        <f>DATEVALUE(OnePlusSalesData[[#This Row],[delivery_date]])</f>
        <v>43209</v>
      </c>
    </row>
    <row r="1250" spans="1:17" ht="16" x14ac:dyDescent="0.45">
      <c r="A1250" s="2" t="s">
        <v>2302</v>
      </c>
      <c r="B1250" s="2" t="s">
        <v>25</v>
      </c>
      <c r="C1250" s="3" t="s">
        <v>26</v>
      </c>
      <c r="D1250" s="3" t="s">
        <v>34</v>
      </c>
      <c r="E1250" s="3" t="s">
        <v>35</v>
      </c>
      <c r="F1250" s="4">
        <v>19999</v>
      </c>
      <c r="G1250" s="5">
        <v>1</v>
      </c>
      <c r="H1250" s="6">
        <v>0.05</v>
      </c>
      <c r="I1250" s="7">
        <v>999.95</v>
      </c>
      <c r="J1250" s="7">
        <v>18999.05</v>
      </c>
      <c r="K1250" s="7">
        <v>2888.38</v>
      </c>
      <c r="L1250" s="2" t="s">
        <v>1342</v>
      </c>
      <c r="M1250" s="18" t="s">
        <v>1343</v>
      </c>
      <c r="N1250" s="3" t="s">
        <v>22</v>
      </c>
      <c r="O1250" s="3" t="s">
        <v>31</v>
      </c>
      <c r="P1250">
        <f>DATEVALUE(OnePlusSalesData[[#This Row],[order_date]])</f>
        <v>43185</v>
      </c>
      <c r="Q1250" s="28">
        <f>DATEVALUE(OnePlusSalesData[[#This Row],[delivery_date]])</f>
        <v>43192</v>
      </c>
    </row>
    <row r="1251" spans="1:17" ht="16" x14ac:dyDescent="0.45">
      <c r="A1251" s="8" t="s">
        <v>2303</v>
      </c>
      <c r="B1251" s="8" t="s">
        <v>25</v>
      </c>
      <c r="C1251" s="9" t="s">
        <v>120</v>
      </c>
      <c r="D1251" s="9" t="s">
        <v>40</v>
      </c>
      <c r="E1251" s="9" t="s">
        <v>73</v>
      </c>
      <c r="F1251" s="10">
        <v>32999</v>
      </c>
      <c r="G1251" s="11">
        <v>3</v>
      </c>
      <c r="H1251" s="12">
        <v>0</v>
      </c>
      <c r="I1251" s="13">
        <v>0</v>
      </c>
      <c r="J1251" s="13">
        <v>98997</v>
      </c>
      <c r="K1251" s="13">
        <v>25120.73</v>
      </c>
      <c r="L1251" s="8" t="s">
        <v>1130</v>
      </c>
      <c r="M1251" s="19" t="s">
        <v>2206</v>
      </c>
      <c r="N1251" s="9" t="s">
        <v>50</v>
      </c>
      <c r="O1251" s="9" t="s">
        <v>23</v>
      </c>
      <c r="P1251">
        <f>DATEVALUE(OnePlusSalesData[[#This Row],[order_date]])</f>
        <v>43152</v>
      </c>
      <c r="Q1251" s="28">
        <f>DATEVALUE(OnePlusSalesData[[#This Row],[delivery_date]])</f>
        <v>43159</v>
      </c>
    </row>
    <row r="1252" spans="1:17" ht="16" x14ac:dyDescent="0.45">
      <c r="A1252" s="2" t="s">
        <v>2304</v>
      </c>
      <c r="B1252" s="2" t="s">
        <v>25</v>
      </c>
      <c r="C1252" s="3" t="s">
        <v>65</v>
      </c>
      <c r="D1252" s="3" t="s">
        <v>40</v>
      </c>
      <c r="E1252" s="3" t="s">
        <v>73</v>
      </c>
      <c r="F1252" s="4">
        <v>32999</v>
      </c>
      <c r="G1252" s="5">
        <v>1</v>
      </c>
      <c r="H1252" s="6">
        <v>0</v>
      </c>
      <c r="I1252" s="7">
        <v>0</v>
      </c>
      <c r="J1252" s="7">
        <v>32999</v>
      </c>
      <c r="K1252" s="7">
        <v>5946.85</v>
      </c>
      <c r="L1252" s="2" t="s">
        <v>48</v>
      </c>
      <c r="M1252" s="18" t="s">
        <v>347</v>
      </c>
      <c r="N1252" s="3" t="s">
        <v>22</v>
      </c>
      <c r="O1252" s="3" t="s">
        <v>31</v>
      </c>
      <c r="P1252">
        <f>DATEVALUE(OnePlusSalesData[[#This Row],[order_date]])</f>
        <v>43609</v>
      </c>
      <c r="Q1252" s="28">
        <f>DATEVALUE(OnePlusSalesData[[#This Row],[delivery_date]])</f>
        <v>43614</v>
      </c>
    </row>
    <row r="1253" spans="1:17" ht="16" x14ac:dyDescent="0.45">
      <c r="A1253" s="8" t="s">
        <v>2305</v>
      </c>
      <c r="B1253" s="8" t="s">
        <v>58</v>
      </c>
      <c r="C1253" s="9" t="s">
        <v>257</v>
      </c>
      <c r="D1253" s="9" t="s">
        <v>40</v>
      </c>
      <c r="E1253" s="9" t="s">
        <v>41</v>
      </c>
      <c r="F1253" s="10">
        <v>37999</v>
      </c>
      <c r="G1253" s="11">
        <v>3</v>
      </c>
      <c r="H1253" s="12">
        <v>0.1</v>
      </c>
      <c r="I1253" s="13">
        <v>11399.7</v>
      </c>
      <c r="J1253" s="13">
        <v>102597.3</v>
      </c>
      <c r="K1253" s="13">
        <v>20703.89</v>
      </c>
      <c r="L1253" s="8" t="s">
        <v>1190</v>
      </c>
      <c r="M1253" s="19" t="s">
        <v>2306</v>
      </c>
      <c r="N1253" s="9" t="s">
        <v>92</v>
      </c>
      <c r="O1253" s="9" t="s">
        <v>31</v>
      </c>
      <c r="P1253">
        <f>DATEVALUE(OnePlusSalesData[[#This Row],[order_date]])</f>
        <v>43130</v>
      </c>
      <c r="Q1253" s="28">
        <f>DATEVALUE(OnePlusSalesData[[#This Row],[delivery_date]])</f>
        <v>43137</v>
      </c>
    </row>
    <row r="1254" spans="1:17" ht="16" x14ac:dyDescent="0.45">
      <c r="A1254" s="2" t="s">
        <v>2307</v>
      </c>
      <c r="B1254" s="2" t="s">
        <v>52</v>
      </c>
      <c r="C1254" s="3" t="s">
        <v>69</v>
      </c>
      <c r="D1254" s="3" t="s">
        <v>40</v>
      </c>
      <c r="E1254" s="3" t="s">
        <v>47</v>
      </c>
      <c r="F1254" s="4">
        <v>37999</v>
      </c>
      <c r="G1254" s="5">
        <v>2</v>
      </c>
      <c r="H1254" s="6">
        <v>0.1</v>
      </c>
      <c r="I1254" s="7">
        <v>7599.8</v>
      </c>
      <c r="J1254" s="7">
        <v>68398.2</v>
      </c>
      <c r="K1254" s="7">
        <v>14794.87</v>
      </c>
      <c r="L1254" s="2" t="s">
        <v>2308</v>
      </c>
      <c r="M1254" s="18" t="s">
        <v>2309</v>
      </c>
      <c r="N1254" s="3" t="s">
        <v>22</v>
      </c>
      <c r="O1254" s="3" t="s">
        <v>45</v>
      </c>
      <c r="P1254">
        <f>DATEVALUE(OnePlusSalesData[[#This Row],[order_date]])</f>
        <v>43698</v>
      </c>
      <c r="Q1254" s="28">
        <f>DATEVALUE(OnePlusSalesData[[#This Row],[delivery_date]])</f>
        <v>43702</v>
      </c>
    </row>
    <row r="1255" spans="1:17" ht="16" x14ac:dyDescent="0.45">
      <c r="A1255" s="8" t="s">
        <v>2310</v>
      </c>
      <c r="B1255" s="8" t="s">
        <v>58</v>
      </c>
      <c r="C1255" s="9" t="s">
        <v>113</v>
      </c>
      <c r="D1255" s="9" t="s">
        <v>40</v>
      </c>
      <c r="E1255" s="9" t="s">
        <v>41</v>
      </c>
      <c r="F1255" s="10">
        <v>37999</v>
      </c>
      <c r="G1255" s="11">
        <v>2</v>
      </c>
      <c r="H1255" s="12">
        <v>0.05</v>
      </c>
      <c r="I1255" s="13">
        <v>3799.9</v>
      </c>
      <c r="J1255" s="13">
        <v>72198.100000000006</v>
      </c>
      <c r="K1255" s="13">
        <v>11991.78</v>
      </c>
      <c r="L1255" s="8" t="s">
        <v>1793</v>
      </c>
      <c r="M1255" s="19" t="s">
        <v>1974</v>
      </c>
      <c r="N1255" s="9" t="s">
        <v>22</v>
      </c>
      <c r="O1255" s="9" t="s">
        <v>96</v>
      </c>
      <c r="P1255">
        <f>DATEVALUE(OnePlusSalesData[[#This Row],[order_date]])</f>
        <v>43523</v>
      </c>
      <c r="Q1255" s="28">
        <f>DATEVALUE(OnePlusSalesData[[#This Row],[delivery_date]])</f>
        <v>43530</v>
      </c>
    </row>
    <row r="1256" spans="1:17" ht="16" x14ac:dyDescent="0.45">
      <c r="A1256" s="2" t="s">
        <v>2311</v>
      </c>
      <c r="B1256" s="2" t="s">
        <v>25</v>
      </c>
      <c r="C1256" s="3" t="s">
        <v>133</v>
      </c>
      <c r="D1256" s="3" t="s">
        <v>40</v>
      </c>
      <c r="E1256" s="3" t="s">
        <v>406</v>
      </c>
      <c r="F1256" s="4">
        <v>48999</v>
      </c>
      <c r="G1256" s="5">
        <v>2</v>
      </c>
      <c r="H1256" s="6">
        <v>0.08</v>
      </c>
      <c r="I1256" s="7">
        <v>7839.84</v>
      </c>
      <c r="J1256" s="7">
        <v>90158.16</v>
      </c>
      <c r="K1256" s="7">
        <v>18821.349999999999</v>
      </c>
      <c r="L1256" s="2" t="s">
        <v>362</v>
      </c>
      <c r="M1256" s="18" t="s">
        <v>208</v>
      </c>
      <c r="N1256" s="3" t="s">
        <v>22</v>
      </c>
      <c r="O1256" s="3" t="s">
        <v>23</v>
      </c>
      <c r="P1256">
        <f>DATEVALUE(OnePlusSalesData[[#This Row],[order_date]])</f>
        <v>43750</v>
      </c>
      <c r="Q1256" s="28">
        <f>DATEVALUE(OnePlusSalesData[[#This Row],[delivery_date]])</f>
        <v>43753</v>
      </c>
    </row>
    <row r="1257" spans="1:17" ht="16" x14ac:dyDescent="0.45">
      <c r="A1257" s="8" t="s">
        <v>2312</v>
      </c>
      <c r="B1257" s="8" t="s">
        <v>16</v>
      </c>
      <c r="C1257" s="9" t="s">
        <v>140</v>
      </c>
      <c r="D1257" s="9" t="s">
        <v>40</v>
      </c>
      <c r="E1257" s="9" t="s">
        <v>60</v>
      </c>
      <c r="F1257" s="10">
        <v>54999</v>
      </c>
      <c r="G1257" s="11">
        <v>3</v>
      </c>
      <c r="H1257" s="12">
        <v>0.08</v>
      </c>
      <c r="I1257" s="13">
        <v>13199.76</v>
      </c>
      <c r="J1257" s="13">
        <v>151797.24</v>
      </c>
      <c r="K1257" s="13">
        <v>37366.69</v>
      </c>
      <c r="L1257" s="8" t="s">
        <v>1423</v>
      </c>
      <c r="M1257" s="19" t="s">
        <v>340</v>
      </c>
      <c r="N1257" s="9" t="s">
        <v>22</v>
      </c>
      <c r="O1257" s="9" t="s">
        <v>63</v>
      </c>
      <c r="P1257">
        <f>DATEVALUE(OnePlusSalesData[[#This Row],[order_date]])</f>
        <v>44125</v>
      </c>
      <c r="Q1257" s="28">
        <f>DATEVALUE(OnePlusSalesData[[#This Row],[delivery_date]])</f>
        <v>44132</v>
      </c>
    </row>
    <row r="1258" spans="1:17" ht="16" x14ac:dyDescent="0.45">
      <c r="A1258" s="2" t="s">
        <v>2313</v>
      </c>
      <c r="B1258" s="2" t="s">
        <v>52</v>
      </c>
      <c r="C1258" s="3" t="s">
        <v>358</v>
      </c>
      <c r="D1258" s="3" t="s">
        <v>18</v>
      </c>
      <c r="E1258" s="3" t="s">
        <v>102</v>
      </c>
      <c r="F1258" s="4">
        <v>1490</v>
      </c>
      <c r="G1258" s="5">
        <v>1</v>
      </c>
      <c r="H1258" s="6">
        <v>0.1</v>
      </c>
      <c r="I1258" s="7">
        <v>149</v>
      </c>
      <c r="J1258" s="7">
        <v>1341</v>
      </c>
      <c r="K1258" s="7">
        <v>268.95</v>
      </c>
      <c r="L1258" s="2" t="s">
        <v>417</v>
      </c>
      <c r="M1258" s="18" t="s">
        <v>418</v>
      </c>
      <c r="N1258" s="3" t="s">
        <v>50</v>
      </c>
      <c r="O1258" s="3" t="s">
        <v>23</v>
      </c>
      <c r="P1258">
        <f>DATEVALUE(OnePlusSalesData[[#This Row],[order_date]])</f>
        <v>43291</v>
      </c>
      <c r="Q1258" s="28">
        <f>DATEVALUE(OnePlusSalesData[[#This Row],[delivery_date]])</f>
        <v>43295</v>
      </c>
    </row>
    <row r="1259" spans="1:17" ht="16" x14ac:dyDescent="0.45">
      <c r="A1259" s="8" t="s">
        <v>2314</v>
      </c>
      <c r="B1259" s="8" t="s">
        <v>16</v>
      </c>
      <c r="C1259" s="9" t="s">
        <v>140</v>
      </c>
      <c r="D1259" s="9" t="s">
        <v>40</v>
      </c>
      <c r="E1259" s="9" t="s">
        <v>406</v>
      </c>
      <c r="F1259" s="10">
        <v>48999</v>
      </c>
      <c r="G1259" s="11">
        <v>2</v>
      </c>
      <c r="H1259" s="12">
        <v>0.05</v>
      </c>
      <c r="I1259" s="13">
        <v>4899.8999999999996</v>
      </c>
      <c r="J1259" s="13">
        <v>93098.1</v>
      </c>
      <c r="K1259" s="13">
        <v>15850.61</v>
      </c>
      <c r="L1259" s="8" t="s">
        <v>627</v>
      </c>
      <c r="M1259" s="19" t="s">
        <v>1231</v>
      </c>
      <c r="N1259" s="9" t="s">
        <v>22</v>
      </c>
      <c r="O1259" s="9" t="s">
        <v>96</v>
      </c>
      <c r="P1259">
        <f>DATEVALUE(OnePlusSalesData[[#This Row],[order_date]])</f>
        <v>43439</v>
      </c>
      <c r="Q1259" s="28">
        <f>DATEVALUE(OnePlusSalesData[[#This Row],[delivery_date]])</f>
        <v>43446</v>
      </c>
    </row>
    <row r="1260" spans="1:17" ht="16" x14ac:dyDescent="0.45">
      <c r="A1260" s="2" t="s">
        <v>2315</v>
      </c>
      <c r="B1260" s="2" t="s">
        <v>52</v>
      </c>
      <c r="C1260" s="3" t="s">
        <v>358</v>
      </c>
      <c r="D1260" s="3" t="s">
        <v>18</v>
      </c>
      <c r="E1260" s="3" t="s">
        <v>179</v>
      </c>
      <c r="F1260" s="4">
        <v>1290</v>
      </c>
      <c r="G1260" s="5">
        <v>1</v>
      </c>
      <c r="H1260" s="6">
        <v>0</v>
      </c>
      <c r="I1260" s="7">
        <v>0</v>
      </c>
      <c r="J1260" s="7">
        <v>1290</v>
      </c>
      <c r="K1260" s="7">
        <v>251.18</v>
      </c>
      <c r="L1260" s="2" t="s">
        <v>463</v>
      </c>
      <c r="M1260" s="18" t="s">
        <v>1697</v>
      </c>
      <c r="N1260" s="3" t="s">
        <v>50</v>
      </c>
      <c r="O1260" s="3" t="s">
        <v>96</v>
      </c>
      <c r="P1260">
        <f>DATEVALUE(OnePlusSalesData[[#This Row],[order_date]])</f>
        <v>44011</v>
      </c>
      <c r="Q1260" s="28">
        <f>DATEVALUE(OnePlusSalesData[[#This Row],[delivery_date]])</f>
        <v>44016</v>
      </c>
    </row>
    <row r="1261" spans="1:17" ht="16" x14ac:dyDescent="0.45">
      <c r="A1261" s="8" t="s">
        <v>2316</v>
      </c>
      <c r="B1261" s="8" t="s">
        <v>52</v>
      </c>
      <c r="C1261" s="9" t="s">
        <v>192</v>
      </c>
      <c r="D1261" s="9" t="s">
        <v>85</v>
      </c>
      <c r="E1261" s="9" t="s">
        <v>258</v>
      </c>
      <c r="F1261" s="10">
        <v>2999</v>
      </c>
      <c r="G1261" s="11">
        <v>2</v>
      </c>
      <c r="H1261" s="12">
        <v>0.05</v>
      </c>
      <c r="I1261" s="13">
        <v>299.89999999999998</v>
      </c>
      <c r="J1261" s="13">
        <v>5698.1</v>
      </c>
      <c r="K1261" s="13">
        <v>1190.4000000000001</v>
      </c>
      <c r="L1261" s="8" t="s">
        <v>1130</v>
      </c>
      <c r="M1261" s="19" t="s">
        <v>400</v>
      </c>
      <c r="N1261" s="9" t="s">
        <v>92</v>
      </c>
      <c r="O1261" s="9" t="s">
        <v>23</v>
      </c>
      <c r="P1261">
        <f>DATEVALUE(OnePlusSalesData[[#This Row],[order_date]])</f>
        <v>43152</v>
      </c>
      <c r="Q1261" s="28">
        <f>DATEVALUE(OnePlusSalesData[[#This Row],[delivery_date]])</f>
        <v>43154</v>
      </c>
    </row>
    <row r="1262" spans="1:17" ht="16" x14ac:dyDescent="0.45">
      <c r="A1262" s="2" t="s">
        <v>2317</v>
      </c>
      <c r="B1262" s="2" t="s">
        <v>16</v>
      </c>
      <c r="C1262" s="3" t="s">
        <v>33</v>
      </c>
      <c r="D1262" s="3" t="s">
        <v>40</v>
      </c>
      <c r="E1262" s="3" t="s">
        <v>98</v>
      </c>
      <c r="F1262" s="4">
        <v>34999</v>
      </c>
      <c r="G1262" s="5">
        <v>5</v>
      </c>
      <c r="H1262" s="6">
        <v>0.05</v>
      </c>
      <c r="I1262" s="7">
        <v>8749.75</v>
      </c>
      <c r="J1262" s="7">
        <v>166245.25</v>
      </c>
      <c r="K1262" s="7">
        <v>31574.31</v>
      </c>
      <c r="L1262" s="2" t="s">
        <v>578</v>
      </c>
      <c r="M1262" s="18" t="s">
        <v>1417</v>
      </c>
      <c r="N1262" s="3" t="s">
        <v>22</v>
      </c>
      <c r="O1262" s="3" t="s">
        <v>31</v>
      </c>
      <c r="P1262">
        <f>DATEVALUE(OnePlusSalesData[[#This Row],[order_date]])</f>
        <v>43346</v>
      </c>
      <c r="Q1262" s="28">
        <f>DATEVALUE(OnePlusSalesData[[#This Row],[delivery_date]])</f>
        <v>43350</v>
      </c>
    </row>
    <row r="1263" spans="1:17" ht="16" x14ac:dyDescent="0.45">
      <c r="A1263" s="8" t="s">
        <v>2318</v>
      </c>
      <c r="B1263" s="8" t="s">
        <v>25</v>
      </c>
      <c r="C1263" s="9" t="s">
        <v>172</v>
      </c>
      <c r="D1263" s="9" t="s">
        <v>40</v>
      </c>
      <c r="E1263" s="9" t="s">
        <v>47</v>
      </c>
      <c r="F1263" s="10">
        <v>37999</v>
      </c>
      <c r="G1263" s="11">
        <v>1</v>
      </c>
      <c r="H1263" s="12">
        <v>0.05</v>
      </c>
      <c r="I1263" s="13">
        <v>1899.95</v>
      </c>
      <c r="J1263" s="13">
        <v>36099.050000000003</v>
      </c>
      <c r="K1263" s="13">
        <v>6228.58</v>
      </c>
      <c r="L1263" s="8" t="s">
        <v>409</v>
      </c>
      <c r="M1263" s="19" t="s">
        <v>156</v>
      </c>
      <c r="N1263" s="9" t="s">
        <v>22</v>
      </c>
      <c r="O1263" s="9" t="s">
        <v>23</v>
      </c>
      <c r="P1263">
        <f>DATEVALUE(OnePlusSalesData[[#This Row],[order_date]])</f>
        <v>44089</v>
      </c>
      <c r="Q1263" s="28">
        <f>DATEVALUE(OnePlusSalesData[[#This Row],[delivery_date]])</f>
        <v>44093</v>
      </c>
    </row>
    <row r="1264" spans="1:17" ht="16" x14ac:dyDescent="0.45">
      <c r="A1264" s="2" t="s">
        <v>2319</v>
      </c>
      <c r="B1264" s="2" t="s">
        <v>52</v>
      </c>
      <c r="C1264" s="3" t="s">
        <v>106</v>
      </c>
      <c r="D1264" s="3" t="s">
        <v>40</v>
      </c>
      <c r="E1264" s="3" t="s">
        <v>41</v>
      </c>
      <c r="F1264" s="4">
        <v>37999</v>
      </c>
      <c r="G1264" s="5">
        <v>1</v>
      </c>
      <c r="H1264" s="6">
        <v>0.1</v>
      </c>
      <c r="I1264" s="7">
        <v>3799.9</v>
      </c>
      <c r="J1264" s="7">
        <v>34199.1</v>
      </c>
      <c r="K1264" s="7">
        <v>8596.32</v>
      </c>
      <c r="L1264" s="2" t="s">
        <v>1186</v>
      </c>
      <c r="M1264" s="18" t="s">
        <v>1187</v>
      </c>
      <c r="N1264" s="3" t="s">
        <v>22</v>
      </c>
      <c r="O1264" s="3" t="s">
        <v>96</v>
      </c>
      <c r="P1264">
        <f>DATEVALUE(OnePlusSalesData[[#This Row],[order_date]])</f>
        <v>43749</v>
      </c>
      <c r="Q1264" s="28">
        <f>DATEVALUE(OnePlusSalesData[[#This Row],[delivery_date]])</f>
        <v>43755</v>
      </c>
    </row>
    <row r="1265" spans="1:17" ht="16" x14ac:dyDescent="0.45">
      <c r="A1265" s="8" t="s">
        <v>2320</v>
      </c>
      <c r="B1265" s="8" t="s">
        <v>58</v>
      </c>
      <c r="C1265" s="9" t="s">
        <v>81</v>
      </c>
      <c r="D1265" s="9" t="s">
        <v>85</v>
      </c>
      <c r="E1265" s="9" t="s">
        <v>86</v>
      </c>
      <c r="F1265" s="10">
        <v>1999</v>
      </c>
      <c r="G1265" s="11">
        <v>1</v>
      </c>
      <c r="H1265" s="12">
        <v>0.15</v>
      </c>
      <c r="I1265" s="13">
        <v>299.85000000000002</v>
      </c>
      <c r="J1265" s="13">
        <v>1699.15</v>
      </c>
      <c r="K1265" s="13">
        <v>351.44</v>
      </c>
      <c r="L1265" s="8" t="s">
        <v>1154</v>
      </c>
      <c r="M1265" s="19" t="s">
        <v>306</v>
      </c>
      <c r="N1265" s="9" t="s">
        <v>22</v>
      </c>
      <c r="O1265" s="9" t="s">
        <v>63</v>
      </c>
      <c r="P1265">
        <f>DATEVALUE(OnePlusSalesData[[#This Row],[order_date]])</f>
        <v>43962</v>
      </c>
      <c r="Q1265" s="28">
        <f>DATEVALUE(OnePlusSalesData[[#This Row],[delivery_date]])</f>
        <v>43965</v>
      </c>
    </row>
    <row r="1266" spans="1:17" ht="16" x14ac:dyDescent="0.45">
      <c r="A1266" s="2" t="s">
        <v>2321</v>
      </c>
      <c r="B1266" s="2" t="s">
        <v>25</v>
      </c>
      <c r="C1266" s="3" t="s">
        <v>133</v>
      </c>
      <c r="D1266" s="3" t="s">
        <v>40</v>
      </c>
      <c r="E1266" s="3" t="s">
        <v>47</v>
      </c>
      <c r="F1266" s="4">
        <v>37999</v>
      </c>
      <c r="G1266" s="5">
        <v>1</v>
      </c>
      <c r="H1266" s="6">
        <v>0</v>
      </c>
      <c r="I1266" s="7">
        <v>0</v>
      </c>
      <c r="J1266" s="7">
        <v>37999</v>
      </c>
      <c r="K1266" s="7">
        <v>7768.07</v>
      </c>
      <c r="L1266" s="2" t="s">
        <v>1972</v>
      </c>
      <c r="M1266" s="18" t="s">
        <v>995</v>
      </c>
      <c r="N1266" s="3" t="s">
        <v>22</v>
      </c>
      <c r="O1266" s="3" t="s">
        <v>31</v>
      </c>
      <c r="P1266">
        <f>DATEVALUE(OnePlusSalesData[[#This Row],[order_date]])</f>
        <v>43262</v>
      </c>
      <c r="Q1266" s="28">
        <f>DATEVALUE(OnePlusSalesData[[#This Row],[delivery_date]])</f>
        <v>43266</v>
      </c>
    </row>
    <row r="1267" spans="1:17" ht="16" x14ac:dyDescent="0.45">
      <c r="A1267" s="8" t="s">
        <v>2322</v>
      </c>
      <c r="B1267" s="8" t="s">
        <v>25</v>
      </c>
      <c r="C1267" s="9" t="s">
        <v>172</v>
      </c>
      <c r="D1267" s="9" t="s">
        <v>27</v>
      </c>
      <c r="E1267" s="9" t="s">
        <v>28</v>
      </c>
      <c r="F1267" s="10">
        <v>12999</v>
      </c>
      <c r="G1267" s="11">
        <v>1</v>
      </c>
      <c r="H1267" s="12">
        <v>0.05</v>
      </c>
      <c r="I1267" s="13">
        <v>649.95000000000005</v>
      </c>
      <c r="J1267" s="13">
        <v>12349.05</v>
      </c>
      <c r="K1267" s="13">
        <v>1908.3</v>
      </c>
      <c r="L1267" s="8" t="s">
        <v>1881</v>
      </c>
      <c r="M1267" s="19" t="s">
        <v>1080</v>
      </c>
      <c r="N1267" s="9" t="s">
        <v>22</v>
      </c>
      <c r="O1267" s="9" t="s">
        <v>96</v>
      </c>
      <c r="P1267">
        <f>DATEVALUE(OnePlusSalesData[[#This Row],[order_date]])</f>
        <v>43696</v>
      </c>
      <c r="Q1267" s="28">
        <f>DATEVALUE(OnePlusSalesData[[#This Row],[delivery_date]])</f>
        <v>43699</v>
      </c>
    </row>
    <row r="1268" spans="1:17" ht="16" x14ac:dyDescent="0.45">
      <c r="A1268" s="2" t="s">
        <v>2323</v>
      </c>
      <c r="B1268" s="2" t="s">
        <v>25</v>
      </c>
      <c r="C1268" s="3" t="s">
        <v>26</v>
      </c>
      <c r="D1268" s="3" t="s">
        <v>34</v>
      </c>
      <c r="E1268" s="3" t="s">
        <v>35</v>
      </c>
      <c r="F1268" s="4">
        <v>19999</v>
      </c>
      <c r="G1268" s="5">
        <v>1</v>
      </c>
      <c r="H1268" s="6">
        <v>0</v>
      </c>
      <c r="I1268" s="7">
        <v>0</v>
      </c>
      <c r="J1268" s="7">
        <v>19999</v>
      </c>
      <c r="K1268" s="7">
        <v>3991.83</v>
      </c>
      <c r="L1268" s="2" t="s">
        <v>799</v>
      </c>
      <c r="M1268" s="18" t="s">
        <v>1854</v>
      </c>
      <c r="N1268" s="3" t="s">
        <v>22</v>
      </c>
      <c r="O1268" s="3" t="s">
        <v>31</v>
      </c>
      <c r="P1268">
        <f>DATEVALUE(OnePlusSalesData[[#This Row],[order_date]])</f>
        <v>43281</v>
      </c>
      <c r="Q1268" s="28">
        <f>DATEVALUE(OnePlusSalesData[[#This Row],[delivery_date]])</f>
        <v>43287</v>
      </c>
    </row>
    <row r="1269" spans="1:17" ht="16" x14ac:dyDescent="0.45">
      <c r="A1269" s="8" t="s">
        <v>2324</v>
      </c>
      <c r="B1269" s="8" t="s">
        <v>52</v>
      </c>
      <c r="C1269" s="9" t="s">
        <v>53</v>
      </c>
      <c r="D1269" s="9" t="s">
        <v>27</v>
      </c>
      <c r="E1269" s="9" t="s">
        <v>159</v>
      </c>
      <c r="F1269" s="10">
        <v>22999</v>
      </c>
      <c r="G1269" s="11">
        <v>2</v>
      </c>
      <c r="H1269" s="12">
        <v>0.08</v>
      </c>
      <c r="I1269" s="13">
        <v>3679.84</v>
      </c>
      <c r="J1269" s="13">
        <v>42318.16</v>
      </c>
      <c r="K1269" s="13">
        <v>7410.48</v>
      </c>
      <c r="L1269" s="8" t="s">
        <v>349</v>
      </c>
      <c r="M1269" s="19" t="s">
        <v>699</v>
      </c>
      <c r="N1269" s="9" t="s">
        <v>44</v>
      </c>
      <c r="O1269" s="9" t="s">
        <v>23</v>
      </c>
      <c r="P1269">
        <f>DATEVALUE(OnePlusSalesData[[#This Row],[order_date]])</f>
        <v>44034</v>
      </c>
      <c r="Q1269" s="28">
        <f>DATEVALUE(OnePlusSalesData[[#This Row],[delivery_date]])</f>
        <v>44038</v>
      </c>
    </row>
    <row r="1270" spans="1:17" ht="16" x14ac:dyDescent="0.45">
      <c r="A1270" s="2" t="s">
        <v>2325</v>
      </c>
      <c r="B1270" s="2" t="s">
        <v>25</v>
      </c>
      <c r="C1270" s="3" t="s">
        <v>172</v>
      </c>
      <c r="D1270" s="3" t="s">
        <v>40</v>
      </c>
      <c r="E1270" s="3" t="s">
        <v>148</v>
      </c>
      <c r="F1270" s="4">
        <v>41999</v>
      </c>
      <c r="G1270" s="5">
        <v>1</v>
      </c>
      <c r="H1270" s="6">
        <v>0</v>
      </c>
      <c r="I1270" s="7">
        <v>0</v>
      </c>
      <c r="J1270" s="7">
        <v>41999</v>
      </c>
      <c r="K1270" s="7">
        <v>8567.82</v>
      </c>
      <c r="L1270" s="2" t="s">
        <v>1888</v>
      </c>
      <c r="M1270" s="18" t="s">
        <v>1506</v>
      </c>
      <c r="N1270" s="3" t="s">
        <v>92</v>
      </c>
      <c r="O1270" s="3" t="s">
        <v>63</v>
      </c>
      <c r="P1270">
        <f>DATEVALUE(OnePlusSalesData[[#This Row],[order_date]])</f>
        <v>43913</v>
      </c>
      <c r="Q1270" s="28">
        <f>DATEVALUE(OnePlusSalesData[[#This Row],[delivery_date]])</f>
        <v>43918</v>
      </c>
    </row>
    <row r="1271" spans="1:17" ht="16" x14ac:dyDescent="0.45">
      <c r="A1271" s="8" t="s">
        <v>2326</v>
      </c>
      <c r="B1271" s="8" t="s">
        <v>58</v>
      </c>
      <c r="C1271" s="9" t="s">
        <v>113</v>
      </c>
      <c r="D1271" s="9" t="s">
        <v>18</v>
      </c>
      <c r="E1271" s="9" t="s">
        <v>19</v>
      </c>
      <c r="F1271" s="10">
        <v>1990</v>
      </c>
      <c r="G1271" s="11">
        <v>3</v>
      </c>
      <c r="H1271" s="12">
        <v>0.05</v>
      </c>
      <c r="I1271" s="13">
        <v>298.5</v>
      </c>
      <c r="J1271" s="13">
        <v>5671.5</v>
      </c>
      <c r="K1271" s="13">
        <v>1266.52</v>
      </c>
      <c r="L1271" s="8" t="s">
        <v>223</v>
      </c>
      <c r="M1271" s="19" t="s">
        <v>145</v>
      </c>
      <c r="N1271" s="9" t="s">
        <v>22</v>
      </c>
      <c r="O1271" s="9" t="s">
        <v>23</v>
      </c>
      <c r="P1271">
        <f>DATEVALUE(OnePlusSalesData[[#This Row],[order_date]])</f>
        <v>43858</v>
      </c>
      <c r="Q1271" s="28">
        <f>DATEVALUE(OnePlusSalesData[[#This Row],[delivery_date]])</f>
        <v>43862</v>
      </c>
    </row>
    <row r="1272" spans="1:17" ht="16" x14ac:dyDescent="0.45">
      <c r="A1272" s="2" t="s">
        <v>2327</v>
      </c>
      <c r="B1272" s="2" t="s">
        <v>16</v>
      </c>
      <c r="C1272" s="3" t="s">
        <v>39</v>
      </c>
      <c r="D1272" s="3" t="s">
        <v>18</v>
      </c>
      <c r="E1272" s="3" t="s">
        <v>102</v>
      </c>
      <c r="F1272" s="4">
        <v>1490</v>
      </c>
      <c r="G1272" s="5">
        <v>2</v>
      </c>
      <c r="H1272" s="6">
        <v>0.1</v>
      </c>
      <c r="I1272" s="7">
        <v>298</v>
      </c>
      <c r="J1272" s="7">
        <v>2682</v>
      </c>
      <c r="K1272" s="7">
        <v>683.11</v>
      </c>
      <c r="L1272" s="2" t="s">
        <v>743</v>
      </c>
      <c r="M1272" s="18" t="s">
        <v>2300</v>
      </c>
      <c r="N1272" s="3" t="s">
        <v>92</v>
      </c>
      <c r="O1272" s="3" t="s">
        <v>96</v>
      </c>
      <c r="P1272">
        <f>DATEVALUE(OnePlusSalesData[[#This Row],[order_date]])</f>
        <v>43463</v>
      </c>
      <c r="Q1272" s="28">
        <f>DATEVALUE(OnePlusSalesData[[#This Row],[delivery_date]])</f>
        <v>43469</v>
      </c>
    </row>
    <row r="1273" spans="1:17" ht="16" x14ac:dyDescent="0.45">
      <c r="A1273" s="8" t="s">
        <v>2328</v>
      </c>
      <c r="B1273" s="8" t="s">
        <v>25</v>
      </c>
      <c r="C1273" s="9" t="s">
        <v>26</v>
      </c>
      <c r="D1273" s="9" t="s">
        <v>40</v>
      </c>
      <c r="E1273" s="9" t="s">
        <v>60</v>
      </c>
      <c r="F1273" s="10">
        <v>54999</v>
      </c>
      <c r="G1273" s="11">
        <v>3</v>
      </c>
      <c r="H1273" s="12">
        <v>0</v>
      </c>
      <c r="I1273" s="13">
        <v>0</v>
      </c>
      <c r="J1273" s="13">
        <v>164997</v>
      </c>
      <c r="K1273" s="13">
        <v>23940.639999999999</v>
      </c>
      <c r="L1273" s="8" t="s">
        <v>2030</v>
      </c>
      <c r="M1273" s="19" t="s">
        <v>1894</v>
      </c>
      <c r="N1273" s="9" t="s">
        <v>92</v>
      </c>
      <c r="O1273" s="9" t="s">
        <v>23</v>
      </c>
      <c r="P1273">
        <f>DATEVALUE(OnePlusSalesData[[#This Row],[order_date]])</f>
        <v>43510</v>
      </c>
      <c r="Q1273" s="28">
        <f>DATEVALUE(OnePlusSalesData[[#This Row],[delivery_date]])</f>
        <v>43517</v>
      </c>
    </row>
    <row r="1274" spans="1:17" ht="16" x14ac:dyDescent="0.45">
      <c r="A1274" s="2" t="s">
        <v>2329</v>
      </c>
      <c r="B1274" s="2" t="s">
        <v>16</v>
      </c>
      <c r="C1274" s="3" t="s">
        <v>152</v>
      </c>
      <c r="D1274" s="3" t="s">
        <v>85</v>
      </c>
      <c r="E1274" s="3" t="s">
        <v>86</v>
      </c>
      <c r="F1274" s="4">
        <v>1999</v>
      </c>
      <c r="G1274" s="5">
        <v>2</v>
      </c>
      <c r="H1274" s="6">
        <v>0.1</v>
      </c>
      <c r="I1274" s="7">
        <v>399.8</v>
      </c>
      <c r="J1274" s="7">
        <v>3598.2</v>
      </c>
      <c r="K1274" s="7">
        <v>879.45</v>
      </c>
      <c r="L1274" s="2" t="s">
        <v>1353</v>
      </c>
      <c r="M1274" s="18" t="s">
        <v>289</v>
      </c>
      <c r="N1274" s="3" t="s">
        <v>22</v>
      </c>
      <c r="O1274" s="3" t="s">
        <v>45</v>
      </c>
      <c r="P1274">
        <f>DATEVALUE(OnePlusSalesData[[#This Row],[order_date]])</f>
        <v>43420</v>
      </c>
      <c r="Q1274" s="28">
        <f>DATEVALUE(OnePlusSalesData[[#This Row],[delivery_date]])</f>
        <v>43427</v>
      </c>
    </row>
    <row r="1275" spans="1:17" ht="16" x14ac:dyDescent="0.45">
      <c r="A1275" s="8" t="s">
        <v>2330</v>
      </c>
      <c r="B1275" s="8" t="s">
        <v>25</v>
      </c>
      <c r="C1275" s="9" t="s">
        <v>26</v>
      </c>
      <c r="D1275" s="9" t="s">
        <v>40</v>
      </c>
      <c r="E1275" s="9" t="s">
        <v>148</v>
      </c>
      <c r="F1275" s="10">
        <v>41999</v>
      </c>
      <c r="G1275" s="11">
        <v>1</v>
      </c>
      <c r="H1275" s="12">
        <v>0.05</v>
      </c>
      <c r="I1275" s="13">
        <v>2099.9499999999998</v>
      </c>
      <c r="J1275" s="13">
        <v>39899.050000000003</v>
      </c>
      <c r="K1275" s="13">
        <v>9220.1200000000008</v>
      </c>
      <c r="L1275" s="8" t="s">
        <v>519</v>
      </c>
      <c r="M1275" s="19" t="s">
        <v>1015</v>
      </c>
      <c r="N1275" s="9" t="s">
        <v>22</v>
      </c>
      <c r="O1275" s="9" t="s">
        <v>31</v>
      </c>
      <c r="P1275">
        <f>DATEVALUE(OnePlusSalesData[[#This Row],[order_date]])</f>
        <v>43206</v>
      </c>
      <c r="Q1275" s="28">
        <f>DATEVALUE(OnePlusSalesData[[#This Row],[delivery_date]])</f>
        <v>43209</v>
      </c>
    </row>
    <row r="1276" spans="1:17" ht="16" x14ac:dyDescent="0.45">
      <c r="A1276" s="2" t="s">
        <v>2331</v>
      </c>
      <c r="B1276" s="2" t="s">
        <v>25</v>
      </c>
      <c r="C1276" s="3" t="s">
        <v>65</v>
      </c>
      <c r="D1276" s="3" t="s">
        <v>40</v>
      </c>
      <c r="E1276" s="3" t="s">
        <v>406</v>
      </c>
      <c r="F1276" s="4">
        <v>48999</v>
      </c>
      <c r="G1276" s="5">
        <v>1</v>
      </c>
      <c r="H1276" s="6">
        <v>0.05</v>
      </c>
      <c r="I1276" s="7">
        <v>2449.9499999999998</v>
      </c>
      <c r="J1276" s="7">
        <v>46549.05</v>
      </c>
      <c r="K1276" s="7">
        <v>7412.75</v>
      </c>
      <c r="L1276" s="2" t="s">
        <v>1201</v>
      </c>
      <c r="M1276" s="18" t="s">
        <v>2145</v>
      </c>
      <c r="N1276" s="3" t="s">
        <v>22</v>
      </c>
      <c r="O1276" s="3" t="s">
        <v>96</v>
      </c>
      <c r="P1276">
        <f>DATEVALUE(OnePlusSalesData[[#This Row],[order_date]])</f>
        <v>43584</v>
      </c>
      <c r="Q1276" s="28">
        <f>DATEVALUE(OnePlusSalesData[[#This Row],[delivery_date]])</f>
        <v>43588</v>
      </c>
    </row>
    <row r="1277" spans="1:17" ht="16" x14ac:dyDescent="0.45">
      <c r="A1277" s="8" t="s">
        <v>2332</v>
      </c>
      <c r="B1277" s="8" t="s">
        <v>58</v>
      </c>
      <c r="C1277" s="9" t="s">
        <v>59</v>
      </c>
      <c r="D1277" s="9" t="s">
        <v>18</v>
      </c>
      <c r="E1277" s="9" t="s">
        <v>124</v>
      </c>
      <c r="F1277" s="10">
        <v>3990</v>
      </c>
      <c r="G1277" s="11">
        <v>1</v>
      </c>
      <c r="H1277" s="12">
        <v>0.1</v>
      </c>
      <c r="I1277" s="13">
        <v>399</v>
      </c>
      <c r="J1277" s="13">
        <v>3591</v>
      </c>
      <c r="K1277" s="13">
        <v>598.4</v>
      </c>
      <c r="L1277" s="8" t="s">
        <v>927</v>
      </c>
      <c r="M1277" s="19" t="s">
        <v>630</v>
      </c>
      <c r="N1277" s="9" t="s">
        <v>22</v>
      </c>
      <c r="O1277" s="9" t="s">
        <v>23</v>
      </c>
      <c r="P1277">
        <f>DATEVALUE(OnePlusSalesData[[#This Row],[order_date]])</f>
        <v>43313</v>
      </c>
      <c r="Q1277" s="28">
        <f>DATEVALUE(OnePlusSalesData[[#This Row],[delivery_date]])</f>
        <v>43318</v>
      </c>
    </row>
    <row r="1278" spans="1:17" ht="16" x14ac:dyDescent="0.45">
      <c r="A1278" s="2" t="s">
        <v>2333</v>
      </c>
      <c r="B1278" s="2" t="s">
        <v>16</v>
      </c>
      <c r="C1278" s="3" t="s">
        <v>39</v>
      </c>
      <c r="D1278" s="3" t="s">
        <v>40</v>
      </c>
      <c r="E1278" s="3" t="s">
        <v>406</v>
      </c>
      <c r="F1278" s="4">
        <v>48999</v>
      </c>
      <c r="G1278" s="5">
        <v>3</v>
      </c>
      <c r="H1278" s="6">
        <v>0</v>
      </c>
      <c r="I1278" s="7">
        <v>0</v>
      </c>
      <c r="J1278" s="7">
        <v>146997</v>
      </c>
      <c r="K1278" s="7">
        <v>34796.300000000003</v>
      </c>
      <c r="L1278" s="2" t="s">
        <v>2334</v>
      </c>
      <c r="M1278" s="18" t="s">
        <v>1506</v>
      </c>
      <c r="N1278" s="3" t="s">
        <v>22</v>
      </c>
      <c r="O1278" s="3" t="s">
        <v>23</v>
      </c>
      <c r="P1278">
        <f>DATEVALUE(OnePlusSalesData[[#This Row],[order_date]])</f>
        <v>43915</v>
      </c>
      <c r="Q1278" s="28">
        <f>DATEVALUE(OnePlusSalesData[[#This Row],[delivery_date]])</f>
        <v>43918</v>
      </c>
    </row>
    <row r="1279" spans="1:17" ht="16" x14ac:dyDescent="0.45">
      <c r="A1279" s="8" t="s">
        <v>2335</v>
      </c>
      <c r="B1279" s="8" t="s">
        <v>58</v>
      </c>
      <c r="C1279" s="9" t="s">
        <v>113</v>
      </c>
      <c r="D1279" s="9" t="s">
        <v>18</v>
      </c>
      <c r="E1279" s="9" t="s">
        <v>179</v>
      </c>
      <c r="F1279" s="10">
        <v>1290</v>
      </c>
      <c r="G1279" s="11">
        <v>1</v>
      </c>
      <c r="H1279" s="12">
        <v>0.15</v>
      </c>
      <c r="I1279" s="13">
        <v>193.5</v>
      </c>
      <c r="J1279" s="13">
        <v>1096.5</v>
      </c>
      <c r="K1279" s="13">
        <v>263.92</v>
      </c>
      <c r="L1279" s="8" t="s">
        <v>1378</v>
      </c>
      <c r="M1279" s="19" t="s">
        <v>1489</v>
      </c>
      <c r="N1279" s="9" t="s">
        <v>92</v>
      </c>
      <c r="O1279" s="9" t="s">
        <v>23</v>
      </c>
      <c r="P1279">
        <f>DATEVALUE(OnePlusSalesData[[#This Row],[order_date]])</f>
        <v>43939</v>
      </c>
      <c r="Q1279" s="28">
        <f>DATEVALUE(OnePlusSalesData[[#This Row],[delivery_date]])</f>
        <v>43945</v>
      </c>
    </row>
    <row r="1280" spans="1:17" ht="16" x14ac:dyDescent="0.45">
      <c r="A1280" s="2" t="s">
        <v>2336</v>
      </c>
      <c r="B1280" s="2" t="s">
        <v>25</v>
      </c>
      <c r="C1280" s="3" t="s">
        <v>172</v>
      </c>
      <c r="D1280" s="3" t="s">
        <v>18</v>
      </c>
      <c r="E1280" s="3" t="s">
        <v>102</v>
      </c>
      <c r="F1280" s="4">
        <v>1490</v>
      </c>
      <c r="G1280" s="5">
        <v>3</v>
      </c>
      <c r="H1280" s="6">
        <v>0.08</v>
      </c>
      <c r="I1280" s="7">
        <v>357.6</v>
      </c>
      <c r="J1280" s="7">
        <v>4112.3999999999996</v>
      </c>
      <c r="K1280" s="7">
        <v>1060.3599999999999</v>
      </c>
      <c r="L1280" s="2" t="s">
        <v>791</v>
      </c>
      <c r="M1280" s="18" t="s">
        <v>1045</v>
      </c>
      <c r="N1280" s="3" t="s">
        <v>50</v>
      </c>
      <c r="O1280" s="3" t="s">
        <v>45</v>
      </c>
      <c r="P1280">
        <f>DATEVALUE(OnePlusSalesData[[#This Row],[order_date]])</f>
        <v>43396</v>
      </c>
      <c r="Q1280" s="28">
        <f>DATEVALUE(OnePlusSalesData[[#This Row],[delivery_date]])</f>
        <v>43400</v>
      </c>
    </row>
    <row r="1281" spans="1:17" ht="16" x14ac:dyDescent="0.45">
      <c r="A1281" s="8" t="s">
        <v>2337</v>
      </c>
      <c r="B1281" s="8" t="s">
        <v>16</v>
      </c>
      <c r="C1281" s="9" t="s">
        <v>17</v>
      </c>
      <c r="D1281" s="9" t="s">
        <v>27</v>
      </c>
      <c r="E1281" s="9" t="s">
        <v>159</v>
      </c>
      <c r="F1281" s="10">
        <v>22999</v>
      </c>
      <c r="G1281" s="11">
        <v>1</v>
      </c>
      <c r="H1281" s="12">
        <v>0</v>
      </c>
      <c r="I1281" s="13">
        <v>0</v>
      </c>
      <c r="J1281" s="13">
        <v>22999</v>
      </c>
      <c r="K1281" s="13">
        <v>4688.04</v>
      </c>
      <c r="L1281" s="8" t="s">
        <v>205</v>
      </c>
      <c r="M1281" s="19" t="s">
        <v>1385</v>
      </c>
      <c r="N1281" s="9" t="s">
        <v>92</v>
      </c>
      <c r="O1281" s="9" t="s">
        <v>96</v>
      </c>
      <c r="P1281">
        <f>DATEVALUE(OnePlusSalesData[[#This Row],[order_date]])</f>
        <v>44194</v>
      </c>
      <c r="Q1281" s="28">
        <f>DATEVALUE(OnePlusSalesData[[#This Row],[delivery_date]])</f>
        <v>44201</v>
      </c>
    </row>
    <row r="1282" spans="1:17" ht="16" x14ac:dyDescent="0.45">
      <c r="A1282" s="2" t="s">
        <v>2338</v>
      </c>
      <c r="B1282" s="2" t="s">
        <v>25</v>
      </c>
      <c r="C1282" s="3" t="s">
        <v>65</v>
      </c>
      <c r="D1282" s="3" t="s">
        <v>40</v>
      </c>
      <c r="E1282" s="3" t="s">
        <v>98</v>
      </c>
      <c r="F1282" s="4">
        <v>34999</v>
      </c>
      <c r="G1282" s="5">
        <v>2</v>
      </c>
      <c r="H1282" s="6">
        <v>0</v>
      </c>
      <c r="I1282" s="7">
        <v>0</v>
      </c>
      <c r="J1282" s="7">
        <v>69998</v>
      </c>
      <c r="K1282" s="7">
        <v>10482.44</v>
      </c>
      <c r="L1282" s="2" t="s">
        <v>2339</v>
      </c>
      <c r="M1282" s="18" t="s">
        <v>297</v>
      </c>
      <c r="N1282" s="3" t="s">
        <v>22</v>
      </c>
      <c r="O1282" s="3" t="s">
        <v>96</v>
      </c>
      <c r="P1282">
        <f>DATEVALUE(OnePlusSalesData[[#This Row],[order_date]])</f>
        <v>43710</v>
      </c>
      <c r="Q1282" s="28">
        <f>DATEVALUE(OnePlusSalesData[[#This Row],[delivery_date]])</f>
        <v>43716</v>
      </c>
    </row>
    <row r="1283" spans="1:17" ht="16" x14ac:dyDescent="0.45">
      <c r="A1283" s="8" t="s">
        <v>2340</v>
      </c>
      <c r="B1283" s="8" t="s">
        <v>16</v>
      </c>
      <c r="C1283" s="9" t="s">
        <v>17</v>
      </c>
      <c r="D1283" s="9" t="s">
        <v>40</v>
      </c>
      <c r="E1283" s="9" t="s">
        <v>60</v>
      </c>
      <c r="F1283" s="10">
        <v>54999</v>
      </c>
      <c r="G1283" s="11">
        <v>1</v>
      </c>
      <c r="H1283" s="12">
        <v>0</v>
      </c>
      <c r="I1283" s="13">
        <v>0</v>
      </c>
      <c r="J1283" s="13">
        <v>54999</v>
      </c>
      <c r="K1283" s="13">
        <v>8719.9599999999991</v>
      </c>
      <c r="L1283" s="8" t="s">
        <v>1474</v>
      </c>
      <c r="M1283" s="19" t="s">
        <v>427</v>
      </c>
      <c r="N1283" s="9" t="s">
        <v>22</v>
      </c>
      <c r="O1283" s="9" t="s">
        <v>23</v>
      </c>
      <c r="P1283">
        <f>DATEVALUE(OnePlusSalesData[[#This Row],[order_date]])</f>
        <v>43499</v>
      </c>
      <c r="Q1283" s="28">
        <f>DATEVALUE(OnePlusSalesData[[#This Row],[delivery_date]])</f>
        <v>43501</v>
      </c>
    </row>
    <row r="1284" spans="1:17" ht="16" x14ac:dyDescent="0.45">
      <c r="A1284" s="2" t="s">
        <v>2341</v>
      </c>
      <c r="B1284" s="2" t="s">
        <v>52</v>
      </c>
      <c r="C1284" s="3" t="s">
        <v>106</v>
      </c>
      <c r="D1284" s="3" t="s">
        <v>85</v>
      </c>
      <c r="E1284" s="3" t="s">
        <v>265</v>
      </c>
      <c r="F1284" s="4">
        <v>4990</v>
      </c>
      <c r="G1284" s="5">
        <v>1</v>
      </c>
      <c r="H1284" s="6">
        <v>0</v>
      </c>
      <c r="I1284" s="7">
        <v>0</v>
      </c>
      <c r="J1284" s="7">
        <v>4990</v>
      </c>
      <c r="K1284" s="7">
        <v>1207.3800000000001</v>
      </c>
      <c r="L1284" s="2" t="s">
        <v>522</v>
      </c>
      <c r="M1284" s="18" t="s">
        <v>489</v>
      </c>
      <c r="N1284" s="3" t="s">
        <v>44</v>
      </c>
      <c r="O1284" s="3" t="s">
        <v>31</v>
      </c>
      <c r="P1284">
        <f>DATEVALUE(OnePlusSalesData[[#This Row],[order_date]])</f>
        <v>43261</v>
      </c>
      <c r="Q1284" s="28">
        <f>DATEVALUE(OnePlusSalesData[[#This Row],[delivery_date]])</f>
        <v>43263</v>
      </c>
    </row>
    <row r="1285" spans="1:17" ht="16" x14ac:dyDescent="0.45">
      <c r="A1285" s="8" t="s">
        <v>2342</v>
      </c>
      <c r="B1285" s="8" t="s">
        <v>52</v>
      </c>
      <c r="C1285" s="9" t="s">
        <v>69</v>
      </c>
      <c r="D1285" s="9" t="s">
        <v>27</v>
      </c>
      <c r="E1285" s="9" t="s">
        <v>28</v>
      </c>
      <c r="F1285" s="10">
        <v>12999</v>
      </c>
      <c r="G1285" s="11">
        <v>1</v>
      </c>
      <c r="H1285" s="12">
        <v>0.05</v>
      </c>
      <c r="I1285" s="13">
        <v>649.95000000000005</v>
      </c>
      <c r="J1285" s="13">
        <v>12349.05</v>
      </c>
      <c r="K1285" s="13">
        <v>1824.19</v>
      </c>
      <c r="L1285" s="8" t="s">
        <v>572</v>
      </c>
      <c r="M1285" s="19" t="s">
        <v>573</v>
      </c>
      <c r="N1285" s="9" t="s">
        <v>22</v>
      </c>
      <c r="O1285" s="9" t="s">
        <v>23</v>
      </c>
      <c r="P1285">
        <f>DATEVALUE(OnePlusSalesData[[#This Row],[order_date]])</f>
        <v>43885</v>
      </c>
      <c r="Q1285" s="28">
        <f>DATEVALUE(OnePlusSalesData[[#This Row],[delivery_date]])</f>
        <v>43891</v>
      </c>
    </row>
    <row r="1286" spans="1:17" ht="16" x14ac:dyDescent="0.45">
      <c r="A1286" s="2" t="s">
        <v>2343</v>
      </c>
      <c r="B1286" s="2" t="s">
        <v>58</v>
      </c>
      <c r="C1286" s="3" t="s">
        <v>59</v>
      </c>
      <c r="D1286" s="3" t="s">
        <v>40</v>
      </c>
      <c r="E1286" s="3" t="s">
        <v>148</v>
      </c>
      <c r="F1286" s="4">
        <v>41999</v>
      </c>
      <c r="G1286" s="5">
        <v>1</v>
      </c>
      <c r="H1286" s="6">
        <v>0</v>
      </c>
      <c r="I1286" s="7">
        <v>0</v>
      </c>
      <c r="J1286" s="7">
        <v>41999</v>
      </c>
      <c r="K1286" s="7">
        <v>10793.1</v>
      </c>
      <c r="L1286" s="2" t="s">
        <v>1660</v>
      </c>
      <c r="M1286" s="18" t="s">
        <v>2093</v>
      </c>
      <c r="N1286" s="3" t="s">
        <v>22</v>
      </c>
      <c r="O1286" s="3" t="s">
        <v>63</v>
      </c>
      <c r="P1286">
        <f>DATEVALUE(OnePlusSalesData[[#This Row],[order_date]])</f>
        <v>43881</v>
      </c>
      <c r="Q1286" s="28">
        <f>DATEVALUE(OnePlusSalesData[[#This Row],[delivery_date]])</f>
        <v>43887</v>
      </c>
    </row>
    <row r="1287" spans="1:17" ht="16" x14ac:dyDescent="0.45">
      <c r="A1287" s="8" t="s">
        <v>2344</v>
      </c>
      <c r="B1287" s="8" t="s">
        <v>52</v>
      </c>
      <c r="C1287" s="9" t="s">
        <v>106</v>
      </c>
      <c r="D1287" s="9" t="s">
        <v>27</v>
      </c>
      <c r="E1287" s="9" t="s">
        <v>159</v>
      </c>
      <c r="F1287" s="10">
        <v>22999</v>
      </c>
      <c r="G1287" s="11">
        <v>1</v>
      </c>
      <c r="H1287" s="12">
        <v>0.05</v>
      </c>
      <c r="I1287" s="13">
        <v>1149.95</v>
      </c>
      <c r="J1287" s="13">
        <v>21849.05</v>
      </c>
      <c r="K1287" s="13">
        <v>3087.78</v>
      </c>
      <c r="L1287" s="8" t="s">
        <v>885</v>
      </c>
      <c r="M1287" s="19" t="s">
        <v>609</v>
      </c>
      <c r="N1287" s="9" t="s">
        <v>22</v>
      </c>
      <c r="O1287" s="9" t="s">
        <v>23</v>
      </c>
      <c r="P1287">
        <f>DATEVALUE(OnePlusSalesData[[#This Row],[order_date]])</f>
        <v>43304</v>
      </c>
      <c r="Q1287" s="28">
        <f>DATEVALUE(OnePlusSalesData[[#This Row],[delivery_date]])</f>
        <v>43310</v>
      </c>
    </row>
    <row r="1288" spans="1:17" ht="16" x14ac:dyDescent="0.45">
      <c r="A1288" s="2" t="s">
        <v>2345</v>
      </c>
      <c r="B1288" s="2" t="s">
        <v>58</v>
      </c>
      <c r="C1288" s="3" t="s">
        <v>113</v>
      </c>
      <c r="D1288" s="3" t="s">
        <v>18</v>
      </c>
      <c r="E1288" s="3" t="s">
        <v>179</v>
      </c>
      <c r="F1288" s="4">
        <v>1290</v>
      </c>
      <c r="G1288" s="5">
        <v>5</v>
      </c>
      <c r="H1288" s="6">
        <v>0.1</v>
      </c>
      <c r="I1288" s="7">
        <v>645</v>
      </c>
      <c r="J1288" s="7">
        <v>5805</v>
      </c>
      <c r="K1288" s="7">
        <v>1507.76</v>
      </c>
      <c r="L1288" s="2" t="s">
        <v>560</v>
      </c>
      <c r="M1288" s="18" t="s">
        <v>1041</v>
      </c>
      <c r="N1288" s="3" t="s">
        <v>92</v>
      </c>
      <c r="O1288" s="3" t="s">
        <v>63</v>
      </c>
      <c r="P1288">
        <f>DATEVALUE(OnePlusSalesData[[#This Row],[order_date]])</f>
        <v>43368</v>
      </c>
      <c r="Q1288" s="28">
        <f>DATEVALUE(OnePlusSalesData[[#This Row],[delivery_date]])</f>
        <v>43371</v>
      </c>
    </row>
    <row r="1289" spans="1:17" ht="16" x14ac:dyDescent="0.45">
      <c r="A1289" s="8" t="s">
        <v>2346</v>
      </c>
      <c r="B1289" s="8" t="s">
        <v>16</v>
      </c>
      <c r="C1289" s="9" t="s">
        <v>152</v>
      </c>
      <c r="D1289" s="9" t="s">
        <v>85</v>
      </c>
      <c r="E1289" s="9" t="s">
        <v>265</v>
      </c>
      <c r="F1289" s="10">
        <v>4990</v>
      </c>
      <c r="G1289" s="11">
        <v>3</v>
      </c>
      <c r="H1289" s="12">
        <v>0</v>
      </c>
      <c r="I1289" s="13">
        <v>0</v>
      </c>
      <c r="J1289" s="13">
        <v>14970</v>
      </c>
      <c r="K1289" s="13">
        <v>2133.5700000000002</v>
      </c>
      <c r="L1289" s="8" t="s">
        <v>498</v>
      </c>
      <c r="M1289" s="19" t="s">
        <v>500</v>
      </c>
      <c r="N1289" s="9" t="s">
        <v>92</v>
      </c>
      <c r="O1289" s="9" t="s">
        <v>63</v>
      </c>
      <c r="P1289">
        <f>DATEVALUE(OnePlusSalesData[[#This Row],[order_date]])</f>
        <v>43411</v>
      </c>
      <c r="Q1289" s="28">
        <f>DATEVALUE(OnePlusSalesData[[#This Row],[delivery_date]])</f>
        <v>43414</v>
      </c>
    </row>
    <row r="1290" spans="1:17" ht="16" x14ac:dyDescent="0.45">
      <c r="A1290" s="2" t="s">
        <v>2347</v>
      </c>
      <c r="B1290" s="2" t="s">
        <v>25</v>
      </c>
      <c r="C1290" s="3" t="s">
        <v>65</v>
      </c>
      <c r="D1290" s="3" t="s">
        <v>18</v>
      </c>
      <c r="E1290" s="3" t="s">
        <v>124</v>
      </c>
      <c r="F1290" s="4">
        <v>3990</v>
      </c>
      <c r="G1290" s="5">
        <v>2</v>
      </c>
      <c r="H1290" s="6">
        <v>0.05</v>
      </c>
      <c r="I1290" s="7">
        <v>399</v>
      </c>
      <c r="J1290" s="7">
        <v>7581</v>
      </c>
      <c r="K1290" s="7">
        <v>1702.13</v>
      </c>
      <c r="L1290" s="2" t="s">
        <v>386</v>
      </c>
      <c r="M1290" s="18" t="s">
        <v>1414</v>
      </c>
      <c r="N1290" s="3" t="s">
        <v>22</v>
      </c>
      <c r="O1290" s="3" t="s">
        <v>23</v>
      </c>
      <c r="P1290">
        <f>DATEVALUE(OnePlusSalesData[[#This Row],[order_date]])</f>
        <v>44082</v>
      </c>
      <c r="Q1290" s="28">
        <f>DATEVALUE(OnePlusSalesData[[#This Row],[delivery_date]])</f>
        <v>44087</v>
      </c>
    </row>
    <row r="1291" spans="1:17" ht="16" x14ac:dyDescent="0.45">
      <c r="A1291" s="8" t="s">
        <v>2348</v>
      </c>
      <c r="B1291" s="8" t="s">
        <v>58</v>
      </c>
      <c r="C1291" s="9" t="s">
        <v>59</v>
      </c>
      <c r="D1291" s="9" t="s">
        <v>27</v>
      </c>
      <c r="E1291" s="9" t="s">
        <v>159</v>
      </c>
      <c r="F1291" s="10">
        <v>22999</v>
      </c>
      <c r="G1291" s="11">
        <v>1</v>
      </c>
      <c r="H1291" s="12">
        <v>0.05</v>
      </c>
      <c r="I1291" s="13">
        <v>1149.95</v>
      </c>
      <c r="J1291" s="13">
        <v>21849.05</v>
      </c>
      <c r="K1291" s="13">
        <v>4498.6899999999996</v>
      </c>
      <c r="L1291" s="8" t="s">
        <v>127</v>
      </c>
      <c r="M1291" s="19" t="s">
        <v>616</v>
      </c>
      <c r="N1291" s="9" t="s">
        <v>92</v>
      </c>
      <c r="O1291" s="9" t="s">
        <v>23</v>
      </c>
      <c r="P1291">
        <f>DATEVALUE(OnePlusSalesData[[#This Row],[order_date]])</f>
        <v>43570</v>
      </c>
      <c r="Q1291" s="28">
        <f>DATEVALUE(OnePlusSalesData[[#This Row],[delivery_date]])</f>
        <v>43573</v>
      </c>
    </row>
    <row r="1292" spans="1:17" ht="16" x14ac:dyDescent="0.45">
      <c r="A1292" s="2" t="s">
        <v>2349</v>
      </c>
      <c r="B1292" s="2" t="s">
        <v>25</v>
      </c>
      <c r="C1292" s="3" t="s">
        <v>65</v>
      </c>
      <c r="D1292" s="3" t="s">
        <v>40</v>
      </c>
      <c r="E1292" s="3" t="s">
        <v>47</v>
      </c>
      <c r="F1292" s="4">
        <v>37999</v>
      </c>
      <c r="G1292" s="5">
        <v>3</v>
      </c>
      <c r="H1292" s="6">
        <v>0.05</v>
      </c>
      <c r="I1292" s="7">
        <v>5699.85</v>
      </c>
      <c r="J1292" s="7">
        <v>108297.15</v>
      </c>
      <c r="K1292" s="7">
        <v>16304.61</v>
      </c>
      <c r="L1292" s="2" t="s">
        <v>2088</v>
      </c>
      <c r="M1292" s="18" t="s">
        <v>2350</v>
      </c>
      <c r="N1292" s="3" t="s">
        <v>44</v>
      </c>
      <c r="O1292" s="3" t="s">
        <v>45</v>
      </c>
      <c r="P1292">
        <f>DATEVALUE(OnePlusSalesData[[#This Row],[order_date]])</f>
        <v>44190</v>
      </c>
      <c r="Q1292" s="28">
        <f>DATEVALUE(OnePlusSalesData[[#This Row],[delivery_date]])</f>
        <v>44195</v>
      </c>
    </row>
    <row r="1293" spans="1:17" ht="16" x14ac:dyDescent="0.45">
      <c r="A1293" s="8" t="s">
        <v>2351</v>
      </c>
      <c r="B1293" s="8" t="s">
        <v>16</v>
      </c>
      <c r="C1293" s="9" t="s">
        <v>152</v>
      </c>
      <c r="D1293" s="9" t="s">
        <v>27</v>
      </c>
      <c r="E1293" s="9" t="s">
        <v>28</v>
      </c>
      <c r="F1293" s="10">
        <v>12999</v>
      </c>
      <c r="G1293" s="11">
        <v>1</v>
      </c>
      <c r="H1293" s="12">
        <v>0.1</v>
      </c>
      <c r="I1293" s="13">
        <v>1299.9000000000001</v>
      </c>
      <c r="J1293" s="13">
        <v>11699.1</v>
      </c>
      <c r="K1293" s="13">
        <v>1778.31</v>
      </c>
      <c r="L1293" s="8" t="s">
        <v>1031</v>
      </c>
      <c r="M1293" s="19" t="s">
        <v>632</v>
      </c>
      <c r="N1293" s="9" t="s">
        <v>92</v>
      </c>
      <c r="O1293" s="9" t="s">
        <v>23</v>
      </c>
      <c r="P1293">
        <f>DATEVALUE(OnePlusSalesData[[#This Row],[order_date]])</f>
        <v>43277</v>
      </c>
      <c r="Q1293" s="28">
        <f>DATEVALUE(OnePlusSalesData[[#This Row],[delivery_date]])</f>
        <v>43283</v>
      </c>
    </row>
    <row r="1294" spans="1:17" ht="16" x14ac:dyDescent="0.45">
      <c r="A1294" s="2" t="s">
        <v>2352</v>
      </c>
      <c r="B1294" s="2" t="s">
        <v>16</v>
      </c>
      <c r="C1294" s="3" t="s">
        <v>33</v>
      </c>
      <c r="D1294" s="3" t="s">
        <v>40</v>
      </c>
      <c r="E1294" s="3" t="s">
        <v>406</v>
      </c>
      <c r="F1294" s="4">
        <v>48999</v>
      </c>
      <c r="G1294" s="5">
        <v>3</v>
      </c>
      <c r="H1294" s="6">
        <v>0.05</v>
      </c>
      <c r="I1294" s="7">
        <v>7349.85</v>
      </c>
      <c r="J1294" s="7">
        <v>139647.15</v>
      </c>
      <c r="K1294" s="7">
        <v>26276.05</v>
      </c>
      <c r="L1294" s="2" t="s">
        <v>2244</v>
      </c>
      <c r="M1294" s="18" t="s">
        <v>412</v>
      </c>
      <c r="N1294" s="3" t="s">
        <v>92</v>
      </c>
      <c r="O1294" s="3" t="s">
        <v>45</v>
      </c>
      <c r="P1294">
        <f>DATEVALUE(OnePlusSalesData[[#This Row],[order_date]])</f>
        <v>44069</v>
      </c>
      <c r="Q1294" s="28">
        <f>DATEVALUE(OnePlusSalesData[[#This Row],[delivery_date]])</f>
        <v>44075</v>
      </c>
    </row>
    <row r="1295" spans="1:17" ht="16" x14ac:dyDescent="0.45">
      <c r="A1295" s="8" t="s">
        <v>2353</v>
      </c>
      <c r="B1295" s="8" t="s">
        <v>52</v>
      </c>
      <c r="C1295" s="9" t="s">
        <v>106</v>
      </c>
      <c r="D1295" s="9" t="s">
        <v>40</v>
      </c>
      <c r="E1295" s="9" t="s">
        <v>60</v>
      </c>
      <c r="F1295" s="10">
        <v>54999</v>
      </c>
      <c r="G1295" s="11">
        <v>1</v>
      </c>
      <c r="H1295" s="12">
        <v>0.05</v>
      </c>
      <c r="I1295" s="13">
        <v>2749.95</v>
      </c>
      <c r="J1295" s="13">
        <v>52249.05</v>
      </c>
      <c r="K1295" s="13">
        <v>13382.86</v>
      </c>
      <c r="L1295" s="8" t="s">
        <v>2244</v>
      </c>
      <c r="M1295" s="19" t="s">
        <v>2354</v>
      </c>
      <c r="N1295" s="9" t="s">
        <v>44</v>
      </c>
      <c r="O1295" s="9" t="s">
        <v>23</v>
      </c>
      <c r="P1295">
        <f>DATEVALUE(OnePlusSalesData[[#This Row],[order_date]])</f>
        <v>44069</v>
      </c>
      <c r="Q1295" s="28">
        <f>DATEVALUE(OnePlusSalesData[[#This Row],[delivery_date]])</f>
        <v>44074</v>
      </c>
    </row>
    <row r="1296" spans="1:17" ht="16" x14ac:dyDescent="0.45">
      <c r="A1296" s="2" t="s">
        <v>2355</v>
      </c>
      <c r="B1296" s="2" t="s">
        <v>25</v>
      </c>
      <c r="C1296" s="3" t="s">
        <v>172</v>
      </c>
      <c r="D1296" s="3" t="s">
        <v>85</v>
      </c>
      <c r="E1296" s="3" t="s">
        <v>265</v>
      </c>
      <c r="F1296" s="4">
        <v>4990</v>
      </c>
      <c r="G1296" s="5">
        <v>1</v>
      </c>
      <c r="H1296" s="6">
        <v>0</v>
      </c>
      <c r="I1296" s="7">
        <v>0</v>
      </c>
      <c r="J1296" s="7">
        <v>4990</v>
      </c>
      <c r="K1296" s="7">
        <v>1277.8800000000001</v>
      </c>
      <c r="L1296" s="2" t="s">
        <v>1095</v>
      </c>
      <c r="M1296" s="18" t="s">
        <v>2270</v>
      </c>
      <c r="N1296" s="3" t="s">
        <v>22</v>
      </c>
      <c r="O1296" s="3" t="s">
        <v>63</v>
      </c>
      <c r="P1296">
        <f>DATEVALUE(OnePlusSalesData[[#This Row],[order_date]])</f>
        <v>44154</v>
      </c>
      <c r="Q1296" s="28">
        <f>DATEVALUE(OnePlusSalesData[[#This Row],[delivery_date]])</f>
        <v>44161</v>
      </c>
    </row>
    <row r="1297" spans="1:17" ht="16" x14ac:dyDescent="0.45">
      <c r="A1297" s="8" t="s">
        <v>2356</v>
      </c>
      <c r="B1297" s="8" t="s">
        <v>25</v>
      </c>
      <c r="C1297" s="9" t="s">
        <v>65</v>
      </c>
      <c r="D1297" s="9" t="s">
        <v>40</v>
      </c>
      <c r="E1297" s="9" t="s">
        <v>98</v>
      </c>
      <c r="F1297" s="10">
        <v>34999</v>
      </c>
      <c r="G1297" s="11">
        <v>2</v>
      </c>
      <c r="H1297" s="12">
        <v>0.05</v>
      </c>
      <c r="I1297" s="13">
        <v>3499.9</v>
      </c>
      <c r="J1297" s="13">
        <v>66498.100000000006</v>
      </c>
      <c r="K1297" s="13">
        <v>16714.72</v>
      </c>
      <c r="L1297" s="8" t="s">
        <v>1764</v>
      </c>
      <c r="M1297" s="19" t="s">
        <v>1865</v>
      </c>
      <c r="N1297" s="9" t="s">
        <v>22</v>
      </c>
      <c r="O1297" s="9" t="s">
        <v>96</v>
      </c>
      <c r="P1297">
        <f>DATEVALUE(OnePlusSalesData[[#This Row],[order_date]])</f>
        <v>43707</v>
      </c>
      <c r="Q1297" s="28">
        <f>DATEVALUE(OnePlusSalesData[[#This Row],[delivery_date]])</f>
        <v>43711</v>
      </c>
    </row>
    <row r="1298" spans="1:17" ht="16" x14ac:dyDescent="0.45">
      <c r="A1298" s="2" t="s">
        <v>2357</v>
      </c>
      <c r="B1298" s="2" t="s">
        <v>52</v>
      </c>
      <c r="C1298" s="3" t="s">
        <v>53</v>
      </c>
      <c r="D1298" s="3" t="s">
        <v>18</v>
      </c>
      <c r="E1298" s="3" t="s">
        <v>179</v>
      </c>
      <c r="F1298" s="4">
        <v>1290</v>
      </c>
      <c r="G1298" s="5">
        <v>3</v>
      </c>
      <c r="H1298" s="6">
        <v>0.05</v>
      </c>
      <c r="I1298" s="7">
        <v>193.5</v>
      </c>
      <c r="J1298" s="7">
        <v>3676.5</v>
      </c>
      <c r="K1298" s="7">
        <v>605.29999999999995</v>
      </c>
      <c r="L1298" s="2" t="s">
        <v>996</v>
      </c>
      <c r="M1298" s="18" t="s">
        <v>1722</v>
      </c>
      <c r="N1298" s="3" t="s">
        <v>50</v>
      </c>
      <c r="O1298" s="3" t="s">
        <v>23</v>
      </c>
      <c r="P1298">
        <f>DATEVALUE(OnePlusSalesData[[#This Row],[order_date]])</f>
        <v>43273</v>
      </c>
      <c r="Q1298" s="28">
        <f>DATEVALUE(OnePlusSalesData[[#This Row],[delivery_date]])</f>
        <v>43276</v>
      </c>
    </row>
    <row r="1299" spans="1:17" ht="16" x14ac:dyDescent="0.45">
      <c r="A1299" s="8" t="s">
        <v>2358</v>
      </c>
      <c r="B1299" s="8" t="s">
        <v>52</v>
      </c>
      <c r="C1299" s="9" t="s">
        <v>358</v>
      </c>
      <c r="D1299" s="9" t="s">
        <v>85</v>
      </c>
      <c r="E1299" s="9" t="s">
        <v>86</v>
      </c>
      <c r="F1299" s="10">
        <v>1999</v>
      </c>
      <c r="G1299" s="11">
        <v>1</v>
      </c>
      <c r="H1299" s="12">
        <v>0</v>
      </c>
      <c r="I1299" s="13">
        <v>0</v>
      </c>
      <c r="J1299" s="13">
        <v>1999</v>
      </c>
      <c r="K1299" s="13">
        <v>459.56</v>
      </c>
      <c r="L1299" s="8" t="s">
        <v>1116</v>
      </c>
      <c r="M1299" s="19" t="s">
        <v>1201</v>
      </c>
      <c r="N1299" s="9" t="s">
        <v>92</v>
      </c>
      <c r="O1299" s="9" t="s">
        <v>23</v>
      </c>
      <c r="P1299">
        <f>DATEVALUE(OnePlusSalesData[[#This Row],[order_date]])</f>
        <v>43580</v>
      </c>
      <c r="Q1299" s="28">
        <f>DATEVALUE(OnePlusSalesData[[#This Row],[delivery_date]])</f>
        <v>43584</v>
      </c>
    </row>
    <row r="1300" spans="1:17" ht="16" x14ac:dyDescent="0.45">
      <c r="A1300" s="2" t="s">
        <v>2359</v>
      </c>
      <c r="B1300" s="2" t="s">
        <v>58</v>
      </c>
      <c r="C1300" s="3" t="s">
        <v>257</v>
      </c>
      <c r="D1300" s="3" t="s">
        <v>85</v>
      </c>
      <c r="E1300" s="3" t="s">
        <v>86</v>
      </c>
      <c r="F1300" s="4">
        <v>1999</v>
      </c>
      <c r="G1300" s="5">
        <v>1</v>
      </c>
      <c r="H1300" s="6">
        <v>0.1</v>
      </c>
      <c r="I1300" s="7">
        <v>199.9</v>
      </c>
      <c r="J1300" s="7">
        <v>1799.1</v>
      </c>
      <c r="K1300" s="7">
        <v>369.22</v>
      </c>
      <c r="L1300" s="2" t="s">
        <v>1498</v>
      </c>
      <c r="M1300" s="18" t="s">
        <v>1143</v>
      </c>
      <c r="N1300" s="3" t="s">
        <v>50</v>
      </c>
      <c r="O1300" s="3" t="s">
        <v>63</v>
      </c>
      <c r="P1300">
        <f>DATEVALUE(OnePlusSalesData[[#This Row],[order_date]])</f>
        <v>44104</v>
      </c>
      <c r="Q1300" s="28">
        <f>DATEVALUE(OnePlusSalesData[[#This Row],[delivery_date]])</f>
        <v>44109</v>
      </c>
    </row>
    <row r="1301" spans="1:17" ht="16" x14ac:dyDescent="0.45">
      <c r="A1301" s="8" t="s">
        <v>2360</v>
      </c>
      <c r="B1301" s="8" t="s">
        <v>25</v>
      </c>
      <c r="C1301" s="9" t="s">
        <v>172</v>
      </c>
      <c r="D1301" s="9" t="s">
        <v>27</v>
      </c>
      <c r="E1301" s="9" t="s">
        <v>28</v>
      </c>
      <c r="F1301" s="10">
        <v>12999</v>
      </c>
      <c r="G1301" s="11">
        <v>1</v>
      </c>
      <c r="H1301" s="12">
        <v>0.1</v>
      </c>
      <c r="I1301" s="13">
        <v>1299.9000000000001</v>
      </c>
      <c r="J1301" s="13">
        <v>11699.1</v>
      </c>
      <c r="K1301" s="13">
        <v>1671.75</v>
      </c>
      <c r="L1301" s="8" t="s">
        <v>372</v>
      </c>
      <c r="M1301" s="19" t="s">
        <v>683</v>
      </c>
      <c r="N1301" s="9" t="s">
        <v>22</v>
      </c>
      <c r="O1301" s="9" t="s">
        <v>96</v>
      </c>
      <c r="P1301">
        <f>DATEVALUE(OnePlusSalesData[[#This Row],[order_date]])</f>
        <v>44042</v>
      </c>
      <c r="Q1301" s="28">
        <f>DATEVALUE(OnePlusSalesData[[#This Row],[delivery_date]])</f>
        <v>44046</v>
      </c>
    </row>
    <row r="1302" spans="1:17" ht="16" x14ac:dyDescent="0.45">
      <c r="A1302" s="2" t="s">
        <v>2361</v>
      </c>
      <c r="B1302" s="2" t="s">
        <v>52</v>
      </c>
      <c r="C1302" s="3" t="s">
        <v>358</v>
      </c>
      <c r="D1302" s="3" t="s">
        <v>18</v>
      </c>
      <c r="E1302" s="3" t="s">
        <v>19</v>
      </c>
      <c r="F1302" s="4">
        <v>1990</v>
      </c>
      <c r="G1302" s="5">
        <v>2</v>
      </c>
      <c r="H1302" s="6">
        <v>0.05</v>
      </c>
      <c r="I1302" s="7">
        <v>199</v>
      </c>
      <c r="J1302" s="7">
        <v>3781</v>
      </c>
      <c r="K1302" s="7">
        <v>937.3</v>
      </c>
      <c r="L1302" s="2" t="s">
        <v>2362</v>
      </c>
      <c r="M1302" s="18" t="s">
        <v>1619</v>
      </c>
      <c r="N1302" s="3" t="s">
        <v>22</v>
      </c>
      <c r="O1302" s="3" t="s">
        <v>31</v>
      </c>
      <c r="P1302">
        <f>DATEVALUE(OnePlusSalesData[[#This Row],[order_date]])</f>
        <v>44048</v>
      </c>
      <c r="Q1302" s="28">
        <f>DATEVALUE(OnePlusSalesData[[#This Row],[delivery_date]])</f>
        <v>44050</v>
      </c>
    </row>
    <row r="1303" spans="1:17" ht="16" x14ac:dyDescent="0.45">
      <c r="A1303" s="8" t="s">
        <v>2363</v>
      </c>
      <c r="B1303" s="8" t="s">
        <v>16</v>
      </c>
      <c r="C1303" s="9" t="s">
        <v>152</v>
      </c>
      <c r="D1303" s="9" t="s">
        <v>40</v>
      </c>
      <c r="E1303" s="9" t="s">
        <v>54</v>
      </c>
      <c r="F1303" s="10">
        <v>53999</v>
      </c>
      <c r="G1303" s="11">
        <v>1</v>
      </c>
      <c r="H1303" s="12">
        <v>0</v>
      </c>
      <c r="I1303" s="13">
        <v>0</v>
      </c>
      <c r="J1303" s="13">
        <v>53999</v>
      </c>
      <c r="K1303" s="13">
        <v>8909.7900000000009</v>
      </c>
      <c r="L1303" s="8" t="s">
        <v>383</v>
      </c>
      <c r="M1303" s="19" t="s">
        <v>831</v>
      </c>
      <c r="N1303" s="9" t="s">
        <v>22</v>
      </c>
      <c r="O1303" s="9" t="s">
        <v>23</v>
      </c>
      <c r="P1303">
        <f>DATEVALUE(OnePlusSalesData[[#This Row],[order_date]])</f>
        <v>44095</v>
      </c>
      <c r="Q1303" s="28">
        <f>DATEVALUE(OnePlusSalesData[[#This Row],[delivery_date]])</f>
        <v>44097</v>
      </c>
    </row>
    <row r="1304" spans="1:17" ht="16" x14ac:dyDescent="0.45">
      <c r="A1304" s="2" t="s">
        <v>2364</v>
      </c>
      <c r="B1304" s="2" t="s">
        <v>52</v>
      </c>
      <c r="C1304" s="3" t="s">
        <v>69</v>
      </c>
      <c r="D1304" s="3" t="s">
        <v>18</v>
      </c>
      <c r="E1304" s="3" t="s">
        <v>179</v>
      </c>
      <c r="F1304" s="4">
        <v>1290</v>
      </c>
      <c r="G1304" s="5">
        <v>1</v>
      </c>
      <c r="H1304" s="6">
        <v>0.08</v>
      </c>
      <c r="I1304" s="7">
        <v>103.2</v>
      </c>
      <c r="J1304" s="7">
        <v>1186.8</v>
      </c>
      <c r="K1304" s="7">
        <v>304.64999999999998</v>
      </c>
      <c r="L1304" s="2" t="s">
        <v>1657</v>
      </c>
      <c r="M1304" s="18" t="s">
        <v>986</v>
      </c>
      <c r="N1304" s="3" t="s">
        <v>22</v>
      </c>
      <c r="O1304" s="3" t="s">
        <v>96</v>
      </c>
      <c r="P1304">
        <f>DATEVALUE(OnePlusSalesData[[#This Row],[order_date]])</f>
        <v>43727</v>
      </c>
      <c r="Q1304" s="28">
        <f>DATEVALUE(OnePlusSalesData[[#This Row],[delivery_date]])</f>
        <v>43731</v>
      </c>
    </row>
    <row r="1305" spans="1:17" ht="16" x14ac:dyDescent="0.45">
      <c r="A1305" s="8" t="s">
        <v>2365</v>
      </c>
      <c r="B1305" s="8" t="s">
        <v>52</v>
      </c>
      <c r="C1305" s="9" t="s">
        <v>53</v>
      </c>
      <c r="D1305" s="9" t="s">
        <v>40</v>
      </c>
      <c r="E1305" s="9" t="s">
        <v>60</v>
      </c>
      <c r="F1305" s="10">
        <v>54999</v>
      </c>
      <c r="G1305" s="11">
        <v>1</v>
      </c>
      <c r="H1305" s="12">
        <v>0.1</v>
      </c>
      <c r="I1305" s="13">
        <v>5499.9</v>
      </c>
      <c r="J1305" s="13">
        <v>49499.1</v>
      </c>
      <c r="K1305" s="13">
        <v>10380.44</v>
      </c>
      <c r="L1305" s="8" t="s">
        <v>1085</v>
      </c>
      <c r="M1305" s="19" t="s">
        <v>1086</v>
      </c>
      <c r="N1305" s="9" t="s">
        <v>22</v>
      </c>
      <c r="O1305" s="9" t="s">
        <v>23</v>
      </c>
      <c r="P1305">
        <f>DATEVALUE(OnePlusSalesData[[#This Row],[order_date]])</f>
        <v>44003</v>
      </c>
      <c r="Q1305" s="28">
        <f>DATEVALUE(OnePlusSalesData[[#This Row],[delivery_date]])</f>
        <v>44005</v>
      </c>
    </row>
    <row r="1306" spans="1:17" ht="16" x14ac:dyDescent="0.45">
      <c r="A1306" s="2" t="s">
        <v>2366</v>
      </c>
      <c r="B1306" s="2" t="s">
        <v>25</v>
      </c>
      <c r="C1306" s="3" t="s">
        <v>65</v>
      </c>
      <c r="D1306" s="3" t="s">
        <v>27</v>
      </c>
      <c r="E1306" s="3" t="s">
        <v>176</v>
      </c>
      <c r="F1306" s="4">
        <v>69900</v>
      </c>
      <c r="G1306" s="5">
        <v>1</v>
      </c>
      <c r="H1306" s="6">
        <v>0.05</v>
      </c>
      <c r="I1306" s="7">
        <v>3495</v>
      </c>
      <c r="J1306" s="7">
        <v>66405</v>
      </c>
      <c r="K1306" s="7">
        <v>11309.21</v>
      </c>
      <c r="L1306" s="2" t="s">
        <v>2367</v>
      </c>
      <c r="M1306" s="18" t="s">
        <v>259</v>
      </c>
      <c r="N1306" s="3" t="s">
        <v>22</v>
      </c>
      <c r="O1306" s="3" t="s">
        <v>63</v>
      </c>
      <c r="P1306">
        <f>DATEVALUE(OnePlusSalesData[[#This Row],[order_date]])</f>
        <v>43145</v>
      </c>
      <c r="Q1306" s="28">
        <f>DATEVALUE(OnePlusSalesData[[#This Row],[delivery_date]])</f>
        <v>43147</v>
      </c>
    </row>
    <row r="1307" spans="1:17" ht="16" x14ac:dyDescent="0.45">
      <c r="A1307" s="8" t="s">
        <v>2368</v>
      </c>
      <c r="B1307" s="8" t="s">
        <v>16</v>
      </c>
      <c r="C1307" s="9" t="s">
        <v>39</v>
      </c>
      <c r="D1307" s="9" t="s">
        <v>18</v>
      </c>
      <c r="E1307" s="9" t="s">
        <v>179</v>
      </c>
      <c r="F1307" s="10">
        <v>1290</v>
      </c>
      <c r="G1307" s="11">
        <v>3</v>
      </c>
      <c r="H1307" s="12">
        <v>0.05</v>
      </c>
      <c r="I1307" s="13">
        <v>193.5</v>
      </c>
      <c r="J1307" s="13">
        <v>3676.5</v>
      </c>
      <c r="K1307" s="13">
        <v>664.67</v>
      </c>
      <c r="L1307" s="8" t="s">
        <v>1096</v>
      </c>
      <c r="M1307" s="19" t="s">
        <v>1392</v>
      </c>
      <c r="N1307" s="9" t="s">
        <v>92</v>
      </c>
      <c r="O1307" s="9" t="s">
        <v>31</v>
      </c>
      <c r="P1307">
        <f>DATEVALUE(OnePlusSalesData[[#This Row],[order_date]])</f>
        <v>44160</v>
      </c>
      <c r="Q1307" s="28">
        <f>DATEVALUE(OnePlusSalesData[[#This Row],[delivery_date]])</f>
        <v>44163</v>
      </c>
    </row>
    <row r="1308" spans="1:17" ht="16" x14ac:dyDescent="0.45">
      <c r="A1308" s="2" t="s">
        <v>2369</v>
      </c>
      <c r="B1308" s="2" t="s">
        <v>25</v>
      </c>
      <c r="C1308" s="3" t="s">
        <v>133</v>
      </c>
      <c r="D1308" s="3" t="s">
        <v>85</v>
      </c>
      <c r="E1308" s="3" t="s">
        <v>258</v>
      </c>
      <c r="F1308" s="4">
        <v>2999</v>
      </c>
      <c r="G1308" s="5">
        <v>2</v>
      </c>
      <c r="H1308" s="6">
        <v>0.05</v>
      </c>
      <c r="I1308" s="7">
        <v>299.89999999999998</v>
      </c>
      <c r="J1308" s="7">
        <v>5698.1</v>
      </c>
      <c r="K1308" s="7">
        <v>1377.28</v>
      </c>
      <c r="L1308" s="2" t="s">
        <v>1248</v>
      </c>
      <c r="M1308" s="18" t="s">
        <v>656</v>
      </c>
      <c r="N1308" s="3" t="s">
        <v>22</v>
      </c>
      <c r="O1308" s="3" t="s">
        <v>96</v>
      </c>
      <c r="P1308">
        <f>DATEVALUE(OnePlusSalesData[[#This Row],[order_date]])</f>
        <v>43674</v>
      </c>
      <c r="Q1308" s="28">
        <f>DATEVALUE(OnePlusSalesData[[#This Row],[delivery_date]])</f>
        <v>43676</v>
      </c>
    </row>
    <row r="1309" spans="1:17" ht="16" x14ac:dyDescent="0.45">
      <c r="A1309" s="8" t="s">
        <v>2370</v>
      </c>
      <c r="B1309" s="8" t="s">
        <v>58</v>
      </c>
      <c r="C1309" s="9" t="s">
        <v>59</v>
      </c>
      <c r="D1309" s="9" t="s">
        <v>40</v>
      </c>
      <c r="E1309" s="9" t="s">
        <v>148</v>
      </c>
      <c r="F1309" s="10">
        <v>41999</v>
      </c>
      <c r="G1309" s="11">
        <v>2</v>
      </c>
      <c r="H1309" s="12">
        <v>0.1</v>
      </c>
      <c r="I1309" s="13">
        <v>8399.7999999999993</v>
      </c>
      <c r="J1309" s="13">
        <v>75598.2</v>
      </c>
      <c r="K1309" s="13">
        <v>12728.99</v>
      </c>
      <c r="L1309" s="8" t="s">
        <v>889</v>
      </c>
      <c r="M1309" s="19" t="s">
        <v>701</v>
      </c>
      <c r="N1309" s="9" t="s">
        <v>92</v>
      </c>
      <c r="O1309" s="9" t="s">
        <v>63</v>
      </c>
      <c r="P1309">
        <f>DATEVALUE(OnePlusSalesData[[#This Row],[order_date]])</f>
        <v>43319</v>
      </c>
      <c r="Q1309" s="28">
        <f>DATEVALUE(OnePlusSalesData[[#This Row],[delivery_date]])</f>
        <v>43322</v>
      </c>
    </row>
    <row r="1310" spans="1:17" ht="16" x14ac:dyDescent="0.45">
      <c r="A1310" s="2" t="s">
        <v>2371</v>
      </c>
      <c r="B1310" s="2" t="s">
        <v>16</v>
      </c>
      <c r="C1310" s="3" t="s">
        <v>17</v>
      </c>
      <c r="D1310" s="3" t="s">
        <v>40</v>
      </c>
      <c r="E1310" s="3" t="s">
        <v>98</v>
      </c>
      <c r="F1310" s="4">
        <v>34999</v>
      </c>
      <c r="G1310" s="5">
        <v>5</v>
      </c>
      <c r="H1310" s="6">
        <v>0.05</v>
      </c>
      <c r="I1310" s="7">
        <v>8749.75</v>
      </c>
      <c r="J1310" s="7">
        <v>166245.25</v>
      </c>
      <c r="K1310" s="7">
        <v>41690.53</v>
      </c>
      <c r="L1310" s="2" t="s">
        <v>1630</v>
      </c>
      <c r="M1310" s="18" t="s">
        <v>1468</v>
      </c>
      <c r="N1310" s="3" t="s">
        <v>44</v>
      </c>
      <c r="O1310" s="3" t="s">
        <v>63</v>
      </c>
      <c r="P1310">
        <f>DATEVALUE(OnePlusSalesData[[#This Row],[order_date]])</f>
        <v>43930</v>
      </c>
      <c r="Q1310" s="28">
        <f>DATEVALUE(OnePlusSalesData[[#This Row],[delivery_date]])</f>
        <v>43934</v>
      </c>
    </row>
    <row r="1311" spans="1:17" ht="16" x14ac:dyDescent="0.45">
      <c r="A1311" s="8" t="s">
        <v>2372</v>
      </c>
      <c r="B1311" s="8" t="s">
        <v>16</v>
      </c>
      <c r="C1311" s="9" t="s">
        <v>140</v>
      </c>
      <c r="D1311" s="9" t="s">
        <v>40</v>
      </c>
      <c r="E1311" s="9" t="s">
        <v>406</v>
      </c>
      <c r="F1311" s="10">
        <v>48999</v>
      </c>
      <c r="G1311" s="11">
        <v>1</v>
      </c>
      <c r="H1311" s="12">
        <v>0</v>
      </c>
      <c r="I1311" s="13">
        <v>0</v>
      </c>
      <c r="J1311" s="13">
        <v>48999</v>
      </c>
      <c r="K1311" s="13">
        <v>12026.81</v>
      </c>
      <c r="L1311" s="8" t="s">
        <v>1003</v>
      </c>
      <c r="M1311" s="19" t="s">
        <v>746</v>
      </c>
      <c r="N1311" s="9" t="s">
        <v>22</v>
      </c>
      <c r="O1311" s="9" t="s">
        <v>23</v>
      </c>
      <c r="P1311">
        <f>DATEVALUE(OnePlusSalesData[[#This Row],[order_date]])</f>
        <v>44162</v>
      </c>
      <c r="Q1311" s="28">
        <f>DATEVALUE(OnePlusSalesData[[#This Row],[delivery_date]])</f>
        <v>44166</v>
      </c>
    </row>
    <row r="1312" spans="1:17" ht="16" x14ac:dyDescent="0.45">
      <c r="A1312" s="2" t="s">
        <v>2373</v>
      </c>
      <c r="B1312" s="2" t="s">
        <v>52</v>
      </c>
      <c r="C1312" s="3" t="s">
        <v>53</v>
      </c>
      <c r="D1312" s="3" t="s">
        <v>40</v>
      </c>
      <c r="E1312" s="3" t="s">
        <v>73</v>
      </c>
      <c r="F1312" s="4">
        <v>32999</v>
      </c>
      <c r="G1312" s="5">
        <v>1</v>
      </c>
      <c r="H1312" s="6">
        <v>0.08</v>
      </c>
      <c r="I1312" s="7">
        <v>2639.92</v>
      </c>
      <c r="J1312" s="7">
        <v>30359.08</v>
      </c>
      <c r="K1312" s="7">
        <v>5897.61</v>
      </c>
      <c r="L1312" s="2" t="s">
        <v>376</v>
      </c>
      <c r="M1312" s="18" t="s">
        <v>251</v>
      </c>
      <c r="N1312" s="3" t="s">
        <v>22</v>
      </c>
      <c r="O1312" s="3" t="s">
        <v>63</v>
      </c>
      <c r="P1312">
        <f>DATEVALUE(OnePlusSalesData[[#This Row],[order_date]])</f>
        <v>43761</v>
      </c>
      <c r="Q1312" s="28">
        <f>DATEVALUE(OnePlusSalesData[[#This Row],[delivery_date]])</f>
        <v>43767</v>
      </c>
    </row>
    <row r="1313" spans="1:17" ht="16" x14ac:dyDescent="0.45">
      <c r="A1313" s="8" t="s">
        <v>2374</v>
      </c>
      <c r="B1313" s="8" t="s">
        <v>25</v>
      </c>
      <c r="C1313" s="9" t="s">
        <v>133</v>
      </c>
      <c r="D1313" s="9" t="s">
        <v>40</v>
      </c>
      <c r="E1313" s="9" t="s">
        <v>60</v>
      </c>
      <c r="F1313" s="10">
        <v>54999</v>
      </c>
      <c r="G1313" s="11">
        <v>1</v>
      </c>
      <c r="H1313" s="12">
        <v>0.05</v>
      </c>
      <c r="I1313" s="13">
        <v>2749.95</v>
      </c>
      <c r="J1313" s="13">
        <v>52249.05</v>
      </c>
      <c r="K1313" s="13">
        <v>10008.09</v>
      </c>
      <c r="L1313" s="8" t="s">
        <v>248</v>
      </c>
      <c r="M1313" s="19" t="s">
        <v>878</v>
      </c>
      <c r="N1313" s="9" t="s">
        <v>22</v>
      </c>
      <c r="O1313" s="9" t="s">
        <v>23</v>
      </c>
      <c r="P1313">
        <f>DATEVALUE(OnePlusSalesData[[#This Row],[order_date]])</f>
        <v>43211</v>
      </c>
      <c r="Q1313" s="28">
        <f>DATEVALUE(OnePlusSalesData[[#This Row],[delivery_date]])</f>
        <v>43218</v>
      </c>
    </row>
    <row r="1314" spans="1:17" ht="16" x14ac:dyDescent="0.45">
      <c r="A1314" s="2" t="s">
        <v>2375</v>
      </c>
      <c r="B1314" s="2" t="s">
        <v>25</v>
      </c>
      <c r="C1314" s="3" t="s">
        <v>172</v>
      </c>
      <c r="D1314" s="3" t="s">
        <v>18</v>
      </c>
      <c r="E1314" s="3" t="s">
        <v>179</v>
      </c>
      <c r="F1314" s="4">
        <v>1290</v>
      </c>
      <c r="G1314" s="5">
        <v>1</v>
      </c>
      <c r="H1314" s="6">
        <v>0.05</v>
      </c>
      <c r="I1314" s="7">
        <v>64.5</v>
      </c>
      <c r="J1314" s="7">
        <v>1225.5</v>
      </c>
      <c r="K1314" s="7">
        <v>310.76</v>
      </c>
      <c r="L1314" s="2" t="s">
        <v>1276</v>
      </c>
      <c r="M1314" s="18" t="s">
        <v>2376</v>
      </c>
      <c r="N1314" s="3" t="s">
        <v>22</v>
      </c>
      <c r="O1314" s="3" t="s">
        <v>31</v>
      </c>
      <c r="P1314">
        <f>DATEVALUE(OnePlusSalesData[[#This Row],[order_date]])</f>
        <v>43914</v>
      </c>
      <c r="Q1314" s="28">
        <f>DATEVALUE(OnePlusSalesData[[#This Row],[delivery_date]])</f>
        <v>43920</v>
      </c>
    </row>
    <row r="1315" spans="1:17" ht="16" x14ac:dyDescent="0.45">
      <c r="A1315" s="8" t="s">
        <v>2377</v>
      </c>
      <c r="B1315" s="8" t="s">
        <v>25</v>
      </c>
      <c r="C1315" s="9" t="s">
        <v>120</v>
      </c>
      <c r="D1315" s="9" t="s">
        <v>40</v>
      </c>
      <c r="E1315" s="9" t="s">
        <v>54</v>
      </c>
      <c r="F1315" s="10">
        <v>53999</v>
      </c>
      <c r="G1315" s="11">
        <v>1</v>
      </c>
      <c r="H1315" s="12">
        <v>0.05</v>
      </c>
      <c r="I1315" s="13">
        <v>2699.95</v>
      </c>
      <c r="J1315" s="13">
        <v>51299.05</v>
      </c>
      <c r="K1315" s="13">
        <v>12595.46</v>
      </c>
      <c r="L1315" s="8" t="s">
        <v>1463</v>
      </c>
      <c r="M1315" s="19" t="s">
        <v>75</v>
      </c>
      <c r="N1315" s="9" t="s">
        <v>22</v>
      </c>
      <c r="O1315" s="9" t="s">
        <v>31</v>
      </c>
      <c r="P1315">
        <f>DATEVALUE(OnePlusSalesData[[#This Row],[order_date]])</f>
        <v>43717</v>
      </c>
      <c r="Q1315" s="28">
        <f>DATEVALUE(OnePlusSalesData[[#This Row],[delivery_date]])</f>
        <v>43720</v>
      </c>
    </row>
    <row r="1316" spans="1:17" ht="16" x14ac:dyDescent="0.45">
      <c r="A1316" s="2" t="s">
        <v>2378</v>
      </c>
      <c r="B1316" s="2" t="s">
        <v>16</v>
      </c>
      <c r="C1316" s="3" t="s">
        <v>33</v>
      </c>
      <c r="D1316" s="3" t="s">
        <v>40</v>
      </c>
      <c r="E1316" s="3" t="s">
        <v>60</v>
      </c>
      <c r="F1316" s="4">
        <v>54999</v>
      </c>
      <c r="G1316" s="5">
        <v>1</v>
      </c>
      <c r="H1316" s="6">
        <v>0.1</v>
      </c>
      <c r="I1316" s="7">
        <v>5499.9</v>
      </c>
      <c r="J1316" s="7">
        <v>49499.1</v>
      </c>
      <c r="K1316" s="7">
        <v>10010.02</v>
      </c>
      <c r="L1316" s="2" t="s">
        <v>1629</v>
      </c>
      <c r="M1316" s="18" t="s">
        <v>2142</v>
      </c>
      <c r="N1316" s="3" t="s">
        <v>22</v>
      </c>
      <c r="O1316" s="3" t="s">
        <v>63</v>
      </c>
      <c r="P1316">
        <f>DATEVALUE(OnePlusSalesData[[#This Row],[order_date]])</f>
        <v>43926</v>
      </c>
      <c r="Q1316" s="28">
        <f>DATEVALUE(OnePlusSalesData[[#This Row],[delivery_date]])</f>
        <v>43932</v>
      </c>
    </row>
    <row r="1317" spans="1:17" ht="16" x14ac:dyDescent="0.45">
      <c r="A1317" s="8" t="s">
        <v>2379</v>
      </c>
      <c r="B1317" s="8" t="s">
        <v>52</v>
      </c>
      <c r="C1317" s="9" t="s">
        <v>192</v>
      </c>
      <c r="D1317" s="9" t="s">
        <v>27</v>
      </c>
      <c r="E1317" s="9" t="s">
        <v>159</v>
      </c>
      <c r="F1317" s="10">
        <v>22999</v>
      </c>
      <c r="G1317" s="11">
        <v>1</v>
      </c>
      <c r="H1317" s="12">
        <v>0.12</v>
      </c>
      <c r="I1317" s="13">
        <v>2759.88</v>
      </c>
      <c r="J1317" s="13">
        <v>20239.12</v>
      </c>
      <c r="K1317" s="13">
        <v>3292.32</v>
      </c>
      <c r="L1317" s="8" t="s">
        <v>281</v>
      </c>
      <c r="M1317" s="19" t="s">
        <v>66</v>
      </c>
      <c r="N1317" s="9" t="s">
        <v>22</v>
      </c>
      <c r="O1317" s="9" t="s">
        <v>96</v>
      </c>
      <c r="P1317">
        <f>DATEVALUE(OnePlusSalesData[[#This Row],[order_date]])</f>
        <v>43746</v>
      </c>
      <c r="Q1317" s="28">
        <f>DATEVALUE(OnePlusSalesData[[#This Row],[delivery_date]])</f>
        <v>43748</v>
      </c>
    </row>
    <row r="1318" spans="1:17" ht="16" x14ac:dyDescent="0.45">
      <c r="A1318" s="2" t="s">
        <v>2380</v>
      </c>
      <c r="B1318" s="2" t="s">
        <v>58</v>
      </c>
      <c r="C1318" s="3" t="s">
        <v>81</v>
      </c>
      <c r="D1318" s="3" t="s">
        <v>40</v>
      </c>
      <c r="E1318" s="3" t="s">
        <v>41</v>
      </c>
      <c r="F1318" s="4">
        <v>37999</v>
      </c>
      <c r="G1318" s="5">
        <v>1</v>
      </c>
      <c r="H1318" s="6">
        <v>0.08</v>
      </c>
      <c r="I1318" s="7">
        <v>3039.92</v>
      </c>
      <c r="J1318" s="7">
        <v>34959.08</v>
      </c>
      <c r="K1318" s="7">
        <v>6217.78</v>
      </c>
      <c r="L1318" s="2" t="s">
        <v>156</v>
      </c>
      <c r="M1318" s="18" t="s">
        <v>157</v>
      </c>
      <c r="N1318" s="3" t="s">
        <v>22</v>
      </c>
      <c r="O1318" s="3" t="s">
        <v>63</v>
      </c>
      <c r="P1318">
        <f>DATEVALUE(OnePlusSalesData[[#This Row],[order_date]])</f>
        <v>44093</v>
      </c>
      <c r="Q1318" s="28">
        <f>DATEVALUE(OnePlusSalesData[[#This Row],[delivery_date]])</f>
        <v>44099</v>
      </c>
    </row>
    <row r="1319" spans="1:17" ht="16" x14ac:dyDescent="0.45">
      <c r="A1319" s="8" t="s">
        <v>2381</v>
      </c>
      <c r="B1319" s="8" t="s">
        <v>25</v>
      </c>
      <c r="C1319" s="9" t="s">
        <v>65</v>
      </c>
      <c r="D1319" s="9" t="s">
        <v>34</v>
      </c>
      <c r="E1319" s="9" t="s">
        <v>77</v>
      </c>
      <c r="F1319" s="10">
        <v>24999</v>
      </c>
      <c r="G1319" s="11">
        <v>1</v>
      </c>
      <c r="H1319" s="12">
        <v>0.05</v>
      </c>
      <c r="I1319" s="13">
        <v>1249.95</v>
      </c>
      <c r="J1319" s="13">
        <v>23749.05</v>
      </c>
      <c r="K1319" s="13">
        <v>3987.74</v>
      </c>
      <c r="L1319" s="8" t="s">
        <v>1926</v>
      </c>
      <c r="M1319" s="19" t="s">
        <v>1750</v>
      </c>
      <c r="N1319" s="9" t="s">
        <v>22</v>
      </c>
      <c r="O1319" s="9" t="s">
        <v>31</v>
      </c>
      <c r="P1319">
        <f>DATEVALUE(OnePlusSalesData[[#This Row],[order_date]])</f>
        <v>43643</v>
      </c>
      <c r="Q1319" s="28">
        <f>DATEVALUE(OnePlusSalesData[[#This Row],[delivery_date]])</f>
        <v>43650</v>
      </c>
    </row>
    <row r="1320" spans="1:17" ht="16" x14ac:dyDescent="0.45">
      <c r="A1320" s="2" t="s">
        <v>2382</v>
      </c>
      <c r="B1320" s="2" t="s">
        <v>58</v>
      </c>
      <c r="C1320" s="3" t="s">
        <v>113</v>
      </c>
      <c r="D1320" s="3" t="s">
        <v>85</v>
      </c>
      <c r="E1320" s="3" t="s">
        <v>258</v>
      </c>
      <c r="F1320" s="4">
        <v>2999</v>
      </c>
      <c r="G1320" s="5">
        <v>1</v>
      </c>
      <c r="H1320" s="6">
        <v>0.08</v>
      </c>
      <c r="I1320" s="7">
        <v>239.92</v>
      </c>
      <c r="J1320" s="7">
        <v>2759.08</v>
      </c>
      <c r="K1320" s="7">
        <v>419.9</v>
      </c>
      <c r="L1320" s="2" t="s">
        <v>1862</v>
      </c>
      <c r="M1320" s="18" t="s">
        <v>908</v>
      </c>
      <c r="N1320" s="3" t="s">
        <v>22</v>
      </c>
      <c r="O1320" s="3" t="s">
        <v>23</v>
      </c>
      <c r="P1320">
        <f>DATEVALUE(OnePlusSalesData[[#This Row],[order_date]])</f>
        <v>43541</v>
      </c>
      <c r="Q1320" s="28">
        <f>DATEVALUE(OnePlusSalesData[[#This Row],[delivery_date]])</f>
        <v>43548</v>
      </c>
    </row>
    <row r="1321" spans="1:17" ht="16" x14ac:dyDescent="0.45">
      <c r="A1321" s="8" t="s">
        <v>2383</v>
      </c>
      <c r="B1321" s="8" t="s">
        <v>25</v>
      </c>
      <c r="C1321" s="9" t="s">
        <v>26</v>
      </c>
      <c r="D1321" s="9" t="s">
        <v>18</v>
      </c>
      <c r="E1321" s="9" t="s">
        <v>102</v>
      </c>
      <c r="F1321" s="10">
        <v>1490</v>
      </c>
      <c r="G1321" s="11">
        <v>1</v>
      </c>
      <c r="H1321" s="12">
        <v>0.05</v>
      </c>
      <c r="I1321" s="13">
        <v>74.5</v>
      </c>
      <c r="J1321" s="13">
        <v>1415.5</v>
      </c>
      <c r="K1321" s="13">
        <v>212.16</v>
      </c>
      <c r="L1321" s="8" t="s">
        <v>1052</v>
      </c>
      <c r="M1321" s="19" t="s">
        <v>2384</v>
      </c>
      <c r="N1321" s="9" t="s">
        <v>22</v>
      </c>
      <c r="O1321" s="9" t="s">
        <v>63</v>
      </c>
      <c r="P1321">
        <f>DATEVALUE(OnePlusSalesData[[#This Row],[order_date]])</f>
        <v>43821</v>
      </c>
      <c r="Q1321" s="28">
        <f>DATEVALUE(OnePlusSalesData[[#This Row],[delivery_date]])</f>
        <v>43823</v>
      </c>
    </row>
    <row r="1322" spans="1:17" ht="16" x14ac:dyDescent="0.45">
      <c r="A1322" s="2" t="s">
        <v>2385</v>
      </c>
      <c r="B1322" s="2" t="s">
        <v>58</v>
      </c>
      <c r="C1322" s="3" t="s">
        <v>59</v>
      </c>
      <c r="D1322" s="3" t="s">
        <v>27</v>
      </c>
      <c r="E1322" s="3" t="s">
        <v>28</v>
      </c>
      <c r="F1322" s="4">
        <v>12999</v>
      </c>
      <c r="G1322" s="5">
        <v>1</v>
      </c>
      <c r="H1322" s="6">
        <v>0.05</v>
      </c>
      <c r="I1322" s="7">
        <v>649.95000000000005</v>
      </c>
      <c r="J1322" s="7">
        <v>12349.05</v>
      </c>
      <c r="K1322" s="7">
        <v>3164.24</v>
      </c>
      <c r="L1322" s="2" t="s">
        <v>1222</v>
      </c>
      <c r="M1322" s="18" t="s">
        <v>239</v>
      </c>
      <c r="N1322" s="3" t="s">
        <v>50</v>
      </c>
      <c r="O1322" s="3" t="s">
        <v>23</v>
      </c>
      <c r="P1322">
        <f>DATEVALUE(OnePlusSalesData[[#This Row],[order_date]])</f>
        <v>43946</v>
      </c>
      <c r="Q1322" s="28">
        <f>DATEVALUE(OnePlusSalesData[[#This Row],[delivery_date]])</f>
        <v>43953</v>
      </c>
    </row>
    <row r="1323" spans="1:17" ht="16" x14ac:dyDescent="0.45">
      <c r="A1323" s="8" t="s">
        <v>2386</v>
      </c>
      <c r="B1323" s="8" t="s">
        <v>58</v>
      </c>
      <c r="C1323" s="9" t="s">
        <v>113</v>
      </c>
      <c r="D1323" s="9" t="s">
        <v>40</v>
      </c>
      <c r="E1323" s="9" t="s">
        <v>148</v>
      </c>
      <c r="F1323" s="10">
        <v>41999</v>
      </c>
      <c r="G1323" s="11">
        <v>1</v>
      </c>
      <c r="H1323" s="12">
        <v>0.1</v>
      </c>
      <c r="I1323" s="13">
        <v>4199.8999999999996</v>
      </c>
      <c r="J1323" s="13">
        <v>37799.1</v>
      </c>
      <c r="K1323" s="13">
        <v>9497.85</v>
      </c>
      <c r="L1323" s="8" t="s">
        <v>177</v>
      </c>
      <c r="M1323" s="19" t="s">
        <v>135</v>
      </c>
      <c r="N1323" s="9" t="s">
        <v>22</v>
      </c>
      <c r="O1323" s="9" t="s">
        <v>23</v>
      </c>
      <c r="P1323">
        <f>DATEVALUE(OnePlusSalesData[[#This Row],[order_date]])</f>
        <v>43616</v>
      </c>
      <c r="Q1323" s="28">
        <f>DATEVALUE(OnePlusSalesData[[#This Row],[delivery_date]])</f>
        <v>43622</v>
      </c>
    </row>
    <row r="1324" spans="1:17" ht="16" x14ac:dyDescent="0.45">
      <c r="A1324" s="2" t="s">
        <v>2387</v>
      </c>
      <c r="B1324" s="2" t="s">
        <v>25</v>
      </c>
      <c r="C1324" s="3" t="s">
        <v>133</v>
      </c>
      <c r="D1324" s="3" t="s">
        <v>27</v>
      </c>
      <c r="E1324" s="3" t="s">
        <v>176</v>
      </c>
      <c r="F1324" s="4">
        <v>69900</v>
      </c>
      <c r="G1324" s="5">
        <v>1</v>
      </c>
      <c r="H1324" s="6">
        <v>0.1</v>
      </c>
      <c r="I1324" s="7">
        <v>6990</v>
      </c>
      <c r="J1324" s="7">
        <v>62910</v>
      </c>
      <c r="K1324" s="7">
        <v>14666.63</v>
      </c>
      <c r="L1324" s="2" t="s">
        <v>1073</v>
      </c>
      <c r="M1324" s="18" t="s">
        <v>1067</v>
      </c>
      <c r="N1324" s="3" t="s">
        <v>22</v>
      </c>
      <c r="O1324" s="3" t="s">
        <v>63</v>
      </c>
      <c r="P1324">
        <f>DATEVALUE(OnePlusSalesData[[#This Row],[order_date]])</f>
        <v>43901</v>
      </c>
      <c r="Q1324" s="28">
        <f>DATEVALUE(OnePlusSalesData[[#This Row],[delivery_date]])</f>
        <v>43908</v>
      </c>
    </row>
    <row r="1325" spans="1:17" ht="16" x14ac:dyDescent="0.45">
      <c r="A1325" s="8" t="s">
        <v>2388</v>
      </c>
      <c r="B1325" s="8" t="s">
        <v>16</v>
      </c>
      <c r="C1325" s="9" t="s">
        <v>152</v>
      </c>
      <c r="D1325" s="9" t="s">
        <v>85</v>
      </c>
      <c r="E1325" s="9" t="s">
        <v>86</v>
      </c>
      <c r="F1325" s="10">
        <v>1999</v>
      </c>
      <c r="G1325" s="11">
        <v>2</v>
      </c>
      <c r="H1325" s="12">
        <v>0</v>
      </c>
      <c r="I1325" s="13">
        <v>0</v>
      </c>
      <c r="J1325" s="13">
        <v>3998</v>
      </c>
      <c r="K1325" s="13">
        <v>769.27</v>
      </c>
      <c r="L1325" s="8" t="s">
        <v>2362</v>
      </c>
      <c r="M1325" s="19" t="s">
        <v>95</v>
      </c>
      <c r="N1325" s="9" t="s">
        <v>22</v>
      </c>
      <c r="O1325" s="9" t="s">
        <v>23</v>
      </c>
      <c r="P1325">
        <f>DATEVALUE(OnePlusSalesData[[#This Row],[order_date]])</f>
        <v>44048</v>
      </c>
      <c r="Q1325" s="28">
        <f>DATEVALUE(OnePlusSalesData[[#This Row],[delivery_date]])</f>
        <v>44054</v>
      </c>
    </row>
    <row r="1326" spans="1:17" ht="16" x14ac:dyDescent="0.45">
      <c r="A1326" s="2" t="s">
        <v>2389</v>
      </c>
      <c r="B1326" s="2" t="s">
        <v>16</v>
      </c>
      <c r="C1326" s="3" t="s">
        <v>140</v>
      </c>
      <c r="D1326" s="3" t="s">
        <v>18</v>
      </c>
      <c r="E1326" s="3" t="s">
        <v>102</v>
      </c>
      <c r="F1326" s="4">
        <v>1490</v>
      </c>
      <c r="G1326" s="5">
        <v>1</v>
      </c>
      <c r="H1326" s="6">
        <v>0.12</v>
      </c>
      <c r="I1326" s="7">
        <v>178.8</v>
      </c>
      <c r="J1326" s="7">
        <v>1311.2</v>
      </c>
      <c r="K1326" s="7">
        <v>195.79</v>
      </c>
      <c r="L1326" s="2" t="s">
        <v>1335</v>
      </c>
      <c r="M1326" s="18" t="s">
        <v>2390</v>
      </c>
      <c r="N1326" s="3" t="s">
        <v>22</v>
      </c>
      <c r="O1326" s="3" t="s">
        <v>23</v>
      </c>
      <c r="P1326">
        <f>DATEVALUE(OnePlusSalesData[[#This Row],[order_date]])</f>
        <v>44017</v>
      </c>
      <c r="Q1326" s="28">
        <f>DATEVALUE(OnePlusSalesData[[#This Row],[delivery_date]])</f>
        <v>44022</v>
      </c>
    </row>
    <row r="1327" spans="1:17" ht="16" x14ac:dyDescent="0.45">
      <c r="A1327" s="8" t="s">
        <v>2391</v>
      </c>
      <c r="B1327" s="8" t="s">
        <v>58</v>
      </c>
      <c r="C1327" s="9" t="s">
        <v>257</v>
      </c>
      <c r="D1327" s="9" t="s">
        <v>85</v>
      </c>
      <c r="E1327" s="9" t="s">
        <v>228</v>
      </c>
      <c r="F1327" s="10">
        <v>5990</v>
      </c>
      <c r="G1327" s="11">
        <v>4</v>
      </c>
      <c r="H1327" s="12">
        <v>0.08</v>
      </c>
      <c r="I1327" s="13">
        <v>1916.8</v>
      </c>
      <c r="J1327" s="13">
        <v>22043.200000000001</v>
      </c>
      <c r="K1327" s="13">
        <v>3657.37</v>
      </c>
      <c r="L1327" s="8" t="s">
        <v>532</v>
      </c>
      <c r="M1327" s="19" t="s">
        <v>156</v>
      </c>
      <c r="N1327" s="9" t="s">
        <v>92</v>
      </c>
      <c r="O1327" s="9" t="s">
        <v>63</v>
      </c>
      <c r="P1327">
        <f>DATEVALUE(OnePlusSalesData[[#This Row],[order_date]])</f>
        <v>44088</v>
      </c>
      <c r="Q1327" s="28">
        <f>DATEVALUE(OnePlusSalesData[[#This Row],[delivery_date]])</f>
        <v>44093</v>
      </c>
    </row>
    <row r="1328" spans="1:17" ht="16" x14ac:dyDescent="0.45">
      <c r="A1328" s="2" t="s">
        <v>2392</v>
      </c>
      <c r="B1328" s="2" t="s">
        <v>16</v>
      </c>
      <c r="C1328" s="3" t="s">
        <v>39</v>
      </c>
      <c r="D1328" s="3" t="s">
        <v>18</v>
      </c>
      <c r="E1328" s="3" t="s">
        <v>102</v>
      </c>
      <c r="F1328" s="4">
        <v>1490</v>
      </c>
      <c r="G1328" s="5">
        <v>1</v>
      </c>
      <c r="H1328" s="6">
        <v>0.05</v>
      </c>
      <c r="I1328" s="7">
        <v>74.5</v>
      </c>
      <c r="J1328" s="7">
        <v>1415.5</v>
      </c>
      <c r="K1328" s="7">
        <v>366.06</v>
      </c>
      <c r="L1328" s="2" t="s">
        <v>1943</v>
      </c>
      <c r="M1328" s="18" t="s">
        <v>1389</v>
      </c>
      <c r="N1328" s="3" t="s">
        <v>22</v>
      </c>
      <c r="O1328" s="3" t="s">
        <v>146</v>
      </c>
      <c r="P1328">
        <f>DATEVALUE(OnePlusSalesData[[#This Row],[order_date]])</f>
        <v>43846</v>
      </c>
      <c r="Q1328" s="28">
        <f>DATEVALUE(OnePlusSalesData[[#This Row],[delivery_date]])</f>
        <v>43849</v>
      </c>
    </row>
    <row r="1329" spans="1:17" ht="16" x14ac:dyDescent="0.45">
      <c r="A1329" s="8" t="s">
        <v>2393</v>
      </c>
      <c r="B1329" s="8" t="s">
        <v>16</v>
      </c>
      <c r="C1329" s="9" t="s">
        <v>140</v>
      </c>
      <c r="D1329" s="9" t="s">
        <v>27</v>
      </c>
      <c r="E1329" s="9" t="s">
        <v>176</v>
      </c>
      <c r="F1329" s="10">
        <v>69900</v>
      </c>
      <c r="G1329" s="11">
        <v>1</v>
      </c>
      <c r="H1329" s="12">
        <v>0.05</v>
      </c>
      <c r="I1329" s="13">
        <v>3495</v>
      </c>
      <c r="J1329" s="13">
        <v>66405</v>
      </c>
      <c r="K1329" s="13">
        <v>16820.84</v>
      </c>
      <c r="L1329" s="8" t="s">
        <v>1443</v>
      </c>
      <c r="M1329" s="19" t="s">
        <v>913</v>
      </c>
      <c r="N1329" s="9" t="s">
        <v>22</v>
      </c>
      <c r="O1329" s="9" t="s">
        <v>63</v>
      </c>
      <c r="P1329">
        <f>DATEVALUE(OnePlusSalesData[[#This Row],[order_date]])</f>
        <v>43916</v>
      </c>
      <c r="Q1329" s="28">
        <f>DATEVALUE(OnePlusSalesData[[#This Row],[delivery_date]])</f>
        <v>43923</v>
      </c>
    </row>
    <row r="1330" spans="1:17" ht="16" x14ac:dyDescent="0.45">
      <c r="A1330" s="2" t="s">
        <v>2394</v>
      </c>
      <c r="B1330" s="2" t="s">
        <v>58</v>
      </c>
      <c r="C1330" s="3" t="s">
        <v>113</v>
      </c>
      <c r="D1330" s="3" t="s">
        <v>27</v>
      </c>
      <c r="E1330" s="3" t="s">
        <v>159</v>
      </c>
      <c r="F1330" s="4">
        <v>22999</v>
      </c>
      <c r="G1330" s="5">
        <v>1</v>
      </c>
      <c r="H1330" s="6">
        <v>0.05</v>
      </c>
      <c r="I1330" s="7">
        <v>1149.95</v>
      </c>
      <c r="J1330" s="7">
        <v>21849.05</v>
      </c>
      <c r="K1330" s="7">
        <v>4814.17</v>
      </c>
      <c r="L1330" s="2" t="s">
        <v>614</v>
      </c>
      <c r="M1330" s="18" t="s">
        <v>453</v>
      </c>
      <c r="N1330" s="3" t="s">
        <v>92</v>
      </c>
      <c r="O1330" s="3" t="s">
        <v>31</v>
      </c>
      <c r="P1330">
        <f>DATEVALUE(OnePlusSalesData[[#This Row],[order_date]])</f>
        <v>43236</v>
      </c>
      <c r="Q1330" s="28">
        <f>DATEVALUE(OnePlusSalesData[[#This Row],[delivery_date]])</f>
        <v>43243</v>
      </c>
    </row>
    <row r="1331" spans="1:17" ht="16" x14ac:dyDescent="0.45">
      <c r="A1331" s="8" t="s">
        <v>2395</v>
      </c>
      <c r="B1331" s="8" t="s">
        <v>16</v>
      </c>
      <c r="C1331" s="9" t="s">
        <v>17</v>
      </c>
      <c r="D1331" s="9" t="s">
        <v>18</v>
      </c>
      <c r="E1331" s="9" t="s">
        <v>124</v>
      </c>
      <c r="F1331" s="10">
        <v>3990</v>
      </c>
      <c r="G1331" s="11">
        <v>1</v>
      </c>
      <c r="H1331" s="12">
        <v>0.05</v>
      </c>
      <c r="I1331" s="13">
        <v>199.5</v>
      </c>
      <c r="J1331" s="13">
        <v>3790.5</v>
      </c>
      <c r="K1331" s="13">
        <v>616.26</v>
      </c>
      <c r="L1331" s="8" t="s">
        <v>2396</v>
      </c>
      <c r="M1331" s="19" t="s">
        <v>340</v>
      </c>
      <c r="N1331" s="9" t="s">
        <v>22</v>
      </c>
      <c r="O1331" s="9" t="s">
        <v>96</v>
      </c>
      <c r="P1331">
        <f>DATEVALUE(OnePlusSalesData[[#This Row],[order_date]])</f>
        <v>44129</v>
      </c>
      <c r="Q1331" s="28">
        <f>DATEVALUE(OnePlusSalesData[[#This Row],[delivery_date]])</f>
        <v>44132</v>
      </c>
    </row>
    <row r="1332" spans="1:17" ht="16" x14ac:dyDescent="0.45">
      <c r="A1332" s="2" t="s">
        <v>2397</v>
      </c>
      <c r="B1332" s="2" t="s">
        <v>25</v>
      </c>
      <c r="C1332" s="3" t="s">
        <v>120</v>
      </c>
      <c r="D1332" s="3" t="s">
        <v>27</v>
      </c>
      <c r="E1332" s="3" t="s">
        <v>176</v>
      </c>
      <c r="F1332" s="4">
        <v>69900</v>
      </c>
      <c r="G1332" s="5">
        <v>1</v>
      </c>
      <c r="H1332" s="6">
        <v>0.12</v>
      </c>
      <c r="I1332" s="7">
        <v>8388</v>
      </c>
      <c r="J1332" s="7">
        <v>61512</v>
      </c>
      <c r="K1332" s="7">
        <v>10048.33</v>
      </c>
      <c r="L1332" s="2" t="s">
        <v>1818</v>
      </c>
      <c r="M1332" s="18" t="s">
        <v>2398</v>
      </c>
      <c r="N1332" s="3" t="s">
        <v>22</v>
      </c>
      <c r="O1332" s="3" t="s">
        <v>23</v>
      </c>
      <c r="P1332">
        <f>DATEVALUE(OnePlusSalesData[[#This Row],[order_date]])</f>
        <v>43197</v>
      </c>
      <c r="Q1332" s="28">
        <f>DATEVALUE(OnePlusSalesData[[#This Row],[delivery_date]])</f>
        <v>43202</v>
      </c>
    </row>
    <row r="1333" spans="1:17" ht="16" x14ac:dyDescent="0.45">
      <c r="A1333" s="8" t="s">
        <v>2399</v>
      </c>
      <c r="B1333" s="8" t="s">
        <v>25</v>
      </c>
      <c r="C1333" s="9" t="s">
        <v>26</v>
      </c>
      <c r="D1333" s="9" t="s">
        <v>40</v>
      </c>
      <c r="E1333" s="9" t="s">
        <v>98</v>
      </c>
      <c r="F1333" s="10">
        <v>34999</v>
      </c>
      <c r="G1333" s="11">
        <v>1</v>
      </c>
      <c r="H1333" s="12">
        <v>0.05</v>
      </c>
      <c r="I1333" s="13">
        <v>1749.95</v>
      </c>
      <c r="J1333" s="13">
        <v>33249.050000000003</v>
      </c>
      <c r="K1333" s="13">
        <v>7819.76</v>
      </c>
      <c r="L1333" s="8" t="s">
        <v>1476</v>
      </c>
      <c r="M1333" s="19" t="s">
        <v>2306</v>
      </c>
      <c r="N1333" s="9" t="s">
        <v>92</v>
      </c>
      <c r="O1333" s="9" t="s">
        <v>23</v>
      </c>
      <c r="P1333">
        <f>DATEVALUE(OnePlusSalesData[[#This Row],[order_date]])</f>
        <v>43131</v>
      </c>
      <c r="Q1333" s="28">
        <f>DATEVALUE(OnePlusSalesData[[#This Row],[delivery_date]])</f>
        <v>43137</v>
      </c>
    </row>
    <row r="1334" spans="1:17" ht="16" x14ac:dyDescent="0.45">
      <c r="A1334" s="2" t="s">
        <v>2400</v>
      </c>
      <c r="B1334" s="2" t="s">
        <v>16</v>
      </c>
      <c r="C1334" s="3" t="s">
        <v>33</v>
      </c>
      <c r="D1334" s="3" t="s">
        <v>18</v>
      </c>
      <c r="E1334" s="3" t="s">
        <v>179</v>
      </c>
      <c r="F1334" s="4">
        <v>1290</v>
      </c>
      <c r="G1334" s="5">
        <v>2</v>
      </c>
      <c r="H1334" s="6">
        <v>0</v>
      </c>
      <c r="I1334" s="7">
        <v>0</v>
      </c>
      <c r="J1334" s="7">
        <v>2580</v>
      </c>
      <c r="K1334" s="7">
        <v>605.77</v>
      </c>
      <c r="L1334" s="2" t="s">
        <v>2152</v>
      </c>
      <c r="M1334" s="18" t="s">
        <v>1962</v>
      </c>
      <c r="N1334" s="3" t="s">
        <v>22</v>
      </c>
      <c r="O1334" s="3" t="s">
        <v>63</v>
      </c>
      <c r="P1334">
        <f>DATEVALUE(OnePlusSalesData[[#This Row],[order_date]])</f>
        <v>43269</v>
      </c>
      <c r="Q1334" s="28">
        <f>DATEVALUE(OnePlusSalesData[[#This Row],[delivery_date]])</f>
        <v>43274</v>
      </c>
    </row>
    <row r="1335" spans="1:17" ht="16" x14ac:dyDescent="0.45">
      <c r="A1335" s="8" t="s">
        <v>2401</v>
      </c>
      <c r="B1335" s="8" t="s">
        <v>58</v>
      </c>
      <c r="C1335" s="9" t="s">
        <v>257</v>
      </c>
      <c r="D1335" s="9" t="s">
        <v>34</v>
      </c>
      <c r="E1335" s="9" t="s">
        <v>35</v>
      </c>
      <c r="F1335" s="10">
        <v>19999</v>
      </c>
      <c r="G1335" s="11">
        <v>4</v>
      </c>
      <c r="H1335" s="12">
        <v>0.05</v>
      </c>
      <c r="I1335" s="13">
        <v>3999.8</v>
      </c>
      <c r="J1335" s="13">
        <v>75996.2</v>
      </c>
      <c r="K1335" s="13">
        <v>14228.72</v>
      </c>
      <c r="L1335" s="8" t="s">
        <v>1736</v>
      </c>
      <c r="M1335" s="19" t="s">
        <v>460</v>
      </c>
      <c r="N1335" s="9" t="s">
        <v>92</v>
      </c>
      <c r="O1335" s="9" t="s">
        <v>23</v>
      </c>
      <c r="P1335">
        <f>DATEVALUE(OnePlusSalesData[[#This Row],[order_date]])</f>
        <v>44004</v>
      </c>
      <c r="Q1335" s="28">
        <f>DATEVALUE(OnePlusSalesData[[#This Row],[delivery_date]])</f>
        <v>44007</v>
      </c>
    </row>
    <row r="1336" spans="1:17" ht="16" x14ac:dyDescent="0.45">
      <c r="A1336" s="2" t="s">
        <v>2402</v>
      </c>
      <c r="B1336" s="2" t="s">
        <v>52</v>
      </c>
      <c r="C1336" s="3" t="s">
        <v>192</v>
      </c>
      <c r="D1336" s="3" t="s">
        <v>40</v>
      </c>
      <c r="E1336" s="3" t="s">
        <v>60</v>
      </c>
      <c r="F1336" s="4">
        <v>54999</v>
      </c>
      <c r="G1336" s="5">
        <v>1</v>
      </c>
      <c r="H1336" s="6">
        <v>0</v>
      </c>
      <c r="I1336" s="7">
        <v>0</v>
      </c>
      <c r="J1336" s="7">
        <v>54999</v>
      </c>
      <c r="K1336" s="7">
        <v>13055.97</v>
      </c>
      <c r="L1336" s="2" t="s">
        <v>2403</v>
      </c>
      <c r="M1336" s="18" t="s">
        <v>199</v>
      </c>
      <c r="N1336" s="3" t="s">
        <v>92</v>
      </c>
      <c r="O1336" s="3" t="s">
        <v>96</v>
      </c>
      <c r="P1336">
        <f>DATEVALUE(OnePlusSalesData[[#This Row],[order_date]])</f>
        <v>43845</v>
      </c>
      <c r="Q1336" s="28">
        <f>DATEVALUE(OnePlusSalesData[[#This Row],[delivery_date]])</f>
        <v>43851</v>
      </c>
    </row>
    <row r="1337" spans="1:17" ht="16" x14ac:dyDescent="0.45">
      <c r="A1337" s="8" t="s">
        <v>2404</v>
      </c>
      <c r="B1337" s="8" t="s">
        <v>52</v>
      </c>
      <c r="C1337" s="9" t="s">
        <v>69</v>
      </c>
      <c r="D1337" s="9" t="s">
        <v>27</v>
      </c>
      <c r="E1337" s="9" t="s">
        <v>28</v>
      </c>
      <c r="F1337" s="10">
        <v>12999</v>
      </c>
      <c r="G1337" s="11">
        <v>1</v>
      </c>
      <c r="H1337" s="12">
        <v>0</v>
      </c>
      <c r="I1337" s="13">
        <v>0</v>
      </c>
      <c r="J1337" s="13">
        <v>12999</v>
      </c>
      <c r="K1337" s="13">
        <v>3278.97</v>
      </c>
      <c r="L1337" s="8" t="s">
        <v>115</v>
      </c>
      <c r="M1337" s="19" t="s">
        <v>692</v>
      </c>
      <c r="N1337" s="9" t="s">
        <v>92</v>
      </c>
      <c r="O1337" s="9" t="s">
        <v>63</v>
      </c>
      <c r="P1337">
        <f>DATEVALUE(OnePlusSalesData[[#This Row],[order_date]])</f>
        <v>43984</v>
      </c>
      <c r="Q1337" s="28">
        <f>DATEVALUE(OnePlusSalesData[[#This Row],[delivery_date]])</f>
        <v>43988</v>
      </c>
    </row>
    <row r="1338" spans="1:17" ht="16" x14ac:dyDescent="0.45">
      <c r="A1338" s="2" t="s">
        <v>2405</v>
      </c>
      <c r="B1338" s="2" t="s">
        <v>25</v>
      </c>
      <c r="C1338" s="3" t="s">
        <v>172</v>
      </c>
      <c r="D1338" s="3" t="s">
        <v>34</v>
      </c>
      <c r="E1338" s="3" t="s">
        <v>35</v>
      </c>
      <c r="F1338" s="4">
        <v>19999</v>
      </c>
      <c r="G1338" s="5">
        <v>1</v>
      </c>
      <c r="H1338" s="6">
        <v>0.05</v>
      </c>
      <c r="I1338" s="7">
        <v>999.95</v>
      </c>
      <c r="J1338" s="7">
        <v>18999.05</v>
      </c>
      <c r="K1338" s="7">
        <v>3917.2</v>
      </c>
      <c r="L1338" s="2" t="s">
        <v>761</v>
      </c>
      <c r="M1338" s="18" t="s">
        <v>1217</v>
      </c>
      <c r="N1338" s="3" t="s">
        <v>92</v>
      </c>
      <c r="O1338" s="3" t="s">
        <v>31</v>
      </c>
      <c r="P1338">
        <f>DATEVALUE(OnePlusSalesData[[#This Row],[order_date]])</f>
        <v>43661</v>
      </c>
      <c r="Q1338" s="28">
        <f>DATEVALUE(OnePlusSalesData[[#This Row],[delivery_date]])</f>
        <v>43666</v>
      </c>
    </row>
    <row r="1339" spans="1:17" ht="16" x14ac:dyDescent="0.45">
      <c r="A1339" s="8" t="s">
        <v>2406</v>
      </c>
      <c r="B1339" s="8" t="s">
        <v>58</v>
      </c>
      <c r="C1339" s="9" t="s">
        <v>257</v>
      </c>
      <c r="D1339" s="9" t="s">
        <v>27</v>
      </c>
      <c r="E1339" s="9" t="s">
        <v>176</v>
      </c>
      <c r="F1339" s="10">
        <v>69900</v>
      </c>
      <c r="G1339" s="11">
        <v>1</v>
      </c>
      <c r="H1339" s="12">
        <v>0.1</v>
      </c>
      <c r="I1339" s="13">
        <v>6990</v>
      </c>
      <c r="J1339" s="13">
        <v>62910</v>
      </c>
      <c r="K1339" s="13">
        <v>15054.22</v>
      </c>
      <c r="L1339" s="8" t="s">
        <v>817</v>
      </c>
      <c r="M1339" s="19" t="s">
        <v>1110</v>
      </c>
      <c r="N1339" s="9" t="s">
        <v>22</v>
      </c>
      <c r="O1339" s="9" t="s">
        <v>23</v>
      </c>
      <c r="P1339">
        <f>DATEVALUE(OnePlusSalesData[[#This Row],[order_date]])</f>
        <v>43112</v>
      </c>
      <c r="Q1339" s="28">
        <f>DATEVALUE(OnePlusSalesData[[#This Row],[delivery_date]])</f>
        <v>43114</v>
      </c>
    </row>
    <row r="1340" spans="1:17" ht="16" x14ac:dyDescent="0.45">
      <c r="A1340" s="2" t="s">
        <v>2407</v>
      </c>
      <c r="B1340" s="2" t="s">
        <v>16</v>
      </c>
      <c r="C1340" s="3" t="s">
        <v>33</v>
      </c>
      <c r="D1340" s="3" t="s">
        <v>40</v>
      </c>
      <c r="E1340" s="3" t="s">
        <v>73</v>
      </c>
      <c r="F1340" s="4">
        <v>32999</v>
      </c>
      <c r="G1340" s="5">
        <v>2</v>
      </c>
      <c r="H1340" s="6">
        <v>0.05</v>
      </c>
      <c r="I1340" s="7">
        <v>3299.9</v>
      </c>
      <c r="J1340" s="7">
        <v>62698.1</v>
      </c>
      <c r="K1340" s="7">
        <v>12844.55</v>
      </c>
      <c r="L1340" s="2" t="s">
        <v>778</v>
      </c>
      <c r="M1340" s="18" t="s">
        <v>739</v>
      </c>
      <c r="N1340" s="3" t="s">
        <v>22</v>
      </c>
      <c r="O1340" s="3" t="s">
        <v>63</v>
      </c>
      <c r="P1340">
        <f>DATEVALUE(OnePlusSalesData[[#This Row],[order_date]])</f>
        <v>44015</v>
      </c>
      <c r="Q1340" s="28">
        <f>DATEVALUE(OnePlusSalesData[[#This Row],[delivery_date]])</f>
        <v>44019</v>
      </c>
    </row>
    <row r="1341" spans="1:17" ht="16" x14ac:dyDescent="0.45">
      <c r="A1341" s="8" t="s">
        <v>2408</v>
      </c>
      <c r="B1341" s="8" t="s">
        <v>25</v>
      </c>
      <c r="C1341" s="9" t="s">
        <v>120</v>
      </c>
      <c r="D1341" s="9" t="s">
        <v>85</v>
      </c>
      <c r="E1341" s="9" t="s">
        <v>86</v>
      </c>
      <c r="F1341" s="10">
        <v>1999</v>
      </c>
      <c r="G1341" s="11">
        <v>1</v>
      </c>
      <c r="H1341" s="12">
        <v>0.05</v>
      </c>
      <c r="I1341" s="13">
        <v>99.95</v>
      </c>
      <c r="J1341" s="13">
        <v>1899.05</v>
      </c>
      <c r="K1341" s="13">
        <v>355.29</v>
      </c>
      <c r="L1341" s="8" t="s">
        <v>309</v>
      </c>
      <c r="M1341" s="19" t="s">
        <v>876</v>
      </c>
      <c r="N1341" s="9" t="s">
        <v>22</v>
      </c>
      <c r="O1341" s="9" t="s">
        <v>23</v>
      </c>
      <c r="P1341">
        <f>DATEVALUE(OnePlusSalesData[[#This Row],[order_date]])</f>
        <v>43944</v>
      </c>
      <c r="Q1341" s="28">
        <f>DATEVALUE(OnePlusSalesData[[#This Row],[delivery_date]])</f>
        <v>43947</v>
      </c>
    </row>
    <row r="1342" spans="1:17" ht="16" x14ac:dyDescent="0.45">
      <c r="A1342" s="2" t="s">
        <v>2409</v>
      </c>
      <c r="B1342" s="2" t="s">
        <v>58</v>
      </c>
      <c r="C1342" s="3" t="s">
        <v>257</v>
      </c>
      <c r="D1342" s="3" t="s">
        <v>18</v>
      </c>
      <c r="E1342" s="3" t="s">
        <v>102</v>
      </c>
      <c r="F1342" s="4">
        <v>1490</v>
      </c>
      <c r="G1342" s="5">
        <v>2</v>
      </c>
      <c r="H1342" s="6">
        <v>0.05</v>
      </c>
      <c r="I1342" s="7">
        <v>149</v>
      </c>
      <c r="J1342" s="7">
        <v>2831</v>
      </c>
      <c r="K1342" s="7">
        <v>634.47</v>
      </c>
      <c r="L1342" s="2" t="s">
        <v>320</v>
      </c>
      <c r="M1342" s="18" t="s">
        <v>1678</v>
      </c>
      <c r="N1342" s="3" t="s">
        <v>22</v>
      </c>
      <c r="O1342" s="3" t="s">
        <v>63</v>
      </c>
      <c r="P1342">
        <f>DATEVALUE(OnePlusSalesData[[#This Row],[order_date]])</f>
        <v>44085</v>
      </c>
      <c r="Q1342" s="28">
        <f>DATEVALUE(OnePlusSalesData[[#This Row],[delivery_date]])</f>
        <v>44091</v>
      </c>
    </row>
    <row r="1343" spans="1:17" ht="16" x14ac:dyDescent="0.45">
      <c r="A1343" s="8" t="s">
        <v>2410</v>
      </c>
      <c r="B1343" s="8" t="s">
        <v>16</v>
      </c>
      <c r="C1343" s="9" t="s">
        <v>152</v>
      </c>
      <c r="D1343" s="9" t="s">
        <v>40</v>
      </c>
      <c r="E1343" s="9" t="s">
        <v>98</v>
      </c>
      <c r="F1343" s="10">
        <v>34999</v>
      </c>
      <c r="G1343" s="11">
        <v>1</v>
      </c>
      <c r="H1343" s="12">
        <v>0.1</v>
      </c>
      <c r="I1343" s="13">
        <v>3499.9</v>
      </c>
      <c r="J1343" s="13">
        <v>31499.1</v>
      </c>
      <c r="K1343" s="13">
        <v>6873.61</v>
      </c>
      <c r="L1343" s="8" t="s">
        <v>1564</v>
      </c>
      <c r="M1343" s="19" t="s">
        <v>131</v>
      </c>
      <c r="N1343" s="9" t="s">
        <v>22</v>
      </c>
      <c r="O1343" s="9" t="s">
        <v>31</v>
      </c>
      <c r="P1343">
        <f>DATEVALUE(OnePlusSalesData[[#This Row],[order_date]])</f>
        <v>43555</v>
      </c>
      <c r="Q1343" s="28">
        <f>DATEVALUE(OnePlusSalesData[[#This Row],[delivery_date]])</f>
        <v>43558</v>
      </c>
    </row>
    <row r="1344" spans="1:17" ht="16" x14ac:dyDescent="0.45">
      <c r="A1344" s="2" t="s">
        <v>2411</v>
      </c>
      <c r="B1344" s="2" t="s">
        <v>25</v>
      </c>
      <c r="C1344" s="3" t="s">
        <v>120</v>
      </c>
      <c r="D1344" s="3" t="s">
        <v>18</v>
      </c>
      <c r="E1344" s="3" t="s">
        <v>124</v>
      </c>
      <c r="F1344" s="4">
        <v>3990</v>
      </c>
      <c r="G1344" s="5">
        <v>1</v>
      </c>
      <c r="H1344" s="6">
        <v>0.05</v>
      </c>
      <c r="I1344" s="7">
        <v>199.5</v>
      </c>
      <c r="J1344" s="7">
        <v>3790.5</v>
      </c>
      <c r="K1344" s="7">
        <v>976.14</v>
      </c>
      <c r="L1344" s="2" t="s">
        <v>1671</v>
      </c>
      <c r="M1344" s="18" t="s">
        <v>1235</v>
      </c>
      <c r="N1344" s="3" t="s">
        <v>22</v>
      </c>
      <c r="O1344" s="3" t="s">
        <v>23</v>
      </c>
      <c r="P1344">
        <f>DATEVALUE(OnePlusSalesData[[#This Row],[order_date]])</f>
        <v>43802</v>
      </c>
      <c r="Q1344" s="28">
        <f>DATEVALUE(OnePlusSalesData[[#This Row],[delivery_date]])</f>
        <v>43809</v>
      </c>
    </row>
    <row r="1345" spans="1:17" ht="16" x14ac:dyDescent="0.45">
      <c r="A1345" s="8" t="s">
        <v>2412</v>
      </c>
      <c r="B1345" s="8" t="s">
        <v>16</v>
      </c>
      <c r="C1345" s="9" t="s">
        <v>17</v>
      </c>
      <c r="D1345" s="9" t="s">
        <v>18</v>
      </c>
      <c r="E1345" s="9" t="s">
        <v>102</v>
      </c>
      <c r="F1345" s="10">
        <v>1490</v>
      </c>
      <c r="G1345" s="11">
        <v>2</v>
      </c>
      <c r="H1345" s="12">
        <v>0</v>
      </c>
      <c r="I1345" s="13">
        <v>0</v>
      </c>
      <c r="J1345" s="13">
        <v>2980</v>
      </c>
      <c r="K1345" s="13">
        <v>623.41999999999996</v>
      </c>
      <c r="L1345" s="8" t="s">
        <v>553</v>
      </c>
      <c r="M1345" s="19" t="s">
        <v>900</v>
      </c>
      <c r="N1345" s="9" t="s">
        <v>22</v>
      </c>
      <c r="O1345" s="9" t="s">
        <v>31</v>
      </c>
      <c r="P1345">
        <f>DATEVALUE(OnePlusSalesData[[#This Row],[order_date]])</f>
        <v>43467</v>
      </c>
      <c r="Q1345" s="28">
        <f>DATEVALUE(OnePlusSalesData[[#This Row],[delivery_date]])</f>
        <v>43472</v>
      </c>
    </row>
    <row r="1346" spans="1:17" ht="16" x14ac:dyDescent="0.45">
      <c r="A1346" s="2" t="s">
        <v>2413</v>
      </c>
      <c r="B1346" s="2" t="s">
        <v>16</v>
      </c>
      <c r="C1346" s="3" t="s">
        <v>152</v>
      </c>
      <c r="D1346" s="3" t="s">
        <v>18</v>
      </c>
      <c r="E1346" s="3" t="s">
        <v>19</v>
      </c>
      <c r="F1346" s="4">
        <v>1990</v>
      </c>
      <c r="G1346" s="5">
        <v>1</v>
      </c>
      <c r="H1346" s="6">
        <v>0.08</v>
      </c>
      <c r="I1346" s="7">
        <v>159.19999999999999</v>
      </c>
      <c r="J1346" s="7">
        <v>1830.8</v>
      </c>
      <c r="K1346" s="7">
        <v>430.14</v>
      </c>
      <c r="L1346" s="2" t="s">
        <v>2414</v>
      </c>
      <c r="M1346" s="18" t="s">
        <v>936</v>
      </c>
      <c r="N1346" s="3" t="s">
        <v>22</v>
      </c>
      <c r="O1346" s="3" t="s">
        <v>31</v>
      </c>
      <c r="P1346">
        <f>DATEVALUE(OnePlusSalesData[[#This Row],[order_date]])</f>
        <v>43120</v>
      </c>
      <c r="Q1346" s="28">
        <f>DATEVALUE(OnePlusSalesData[[#This Row],[delivery_date]])</f>
        <v>43125</v>
      </c>
    </row>
    <row r="1347" spans="1:17" ht="16" x14ac:dyDescent="0.45">
      <c r="A1347" s="8" t="s">
        <v>2415</v>
      </c>
      <c r="B1347" s="8" t="s">
        <v>16</v>
      </c>
      <c r="C1347" s="9" t="s">
        <v>39</v>
      </c>
      <c r="D1347" s="9" t="s">
        <v>18</v>
      </c>
      <c r="E1347" s="9" t="s">
        <v>19</v>
      </c>
      <c r="F1347" s="10">
        <v>1990</v>
      </c>
      <c r="G1347" s="11">
        <v>4</v>
      </c>
      <c r="H1347" s="12">
        <v>0.1</v>
      </c>
      <c r="I1347" s="13">
        <v>796</v>
      </c>
      <c r="J1347" s="13">
        <v>7164</v>
      </c>
      <c r="K1347" s="13">
        <v>1556.14</v>
      </c>
      <c r="L1347" s="8" t="s">
        <v>1564</v>
      </c>
      <c r="M1347" s="19" t="s">
        <v>690</v>
      </c>
      <c r="N1347" s="9" t="s">
        <v>22</v>
      </c>
      <c r="O1347" s="9" t="s">
        <v>23</v>
      </c>
      <c r="P1347">
        <f>DATEVALUE(OnePlusSalesData[[#This Row],[order_date]])</f>
        <v>43555</v>
      </c>
      <c r="Q1347" s="28">
        <f>DATEVALUE(OnePlusSalesData[[#This Row],[delivery_date]])</f>
        <v>43562</v>
      </c>
    </row>
    <row r="1348" spans="1:17" ht="16" x14ac:dyDescent="0.45">
      <c r="A1348" s="2" t="s">
        <v>2416</v>
      </c>
      <c r="B1348" s="2" t="s">
        <v>16</v>
      </c>
      <c r="C1348" s="3" t="s">
        <v>152</v>
      </c>
      <c r="D1348" s="3" t="s">
        <v>27</v>
      </c>
      <c r="E1348" s="3" t="s">
        <v>159</v>
      </c>
      <c r="F1348" s="4">
        <v>22999</v>
      </c>
      <c r="G1348" s="5">
        <v>1</v>
      </c>
      <c r="H1348" s="6">
        <v>0</v>
      </c>
      <c r="I1348" s="7">
        <v>0</v>
      </c>
      <c r="J1348" s="7">
        <v>22999</v>
      </c>
      <c r="K1348" s="7">
        <v>3777.19</v>
      </c>
      <c r="L1348" s="2" t="s">
        <v>2417</v>
      </c>
      <c r="M1348" s="18" t="s">
        <v>2418</v>
      </c>
      <c r="N1348" s="3" t="s">
        <v>92</v>
      </c>
      <c r="O1348" s="3" t="s">
        <v>31</v>
      </c>
      <c r="P1348">
        <f>DATEVALUE(OnePlusSalesData[[#This Row],[order_date]])</f>
        <v>43195</v>
      </c>
      <c r="Q1348" s="28">
        <f>DATEVALUE(OnePlusSalesData[[#This Row],[delivery_date]])</f>
        <v>43198</v>
      </c>
    </row>
    <row r="1349" spans="1:17" ht="16" x14ac:dyDescent="0.45">
      <c r="A1349" s="8" t="s">
        <v>2419</v>
      </c>
      <c r="B1349" s="8" t="s">
        <v>16</v>
      </c>
      <c r="C1349" s="9" t="s">
        <v>39</v>
      </c>
      <c r="D1349" s="9" t="s">
        <v>18</v>
      </c>
      <c r="E1349" s="9" t="s">
        <v>19</v>
      </c>
      <c r="F1349" s="10">
        <v>1990</v>
      </c>
      <c r="G1349" s="11">
        <v>1</v>
      </c>
      <c r="H1349" s="12">
        <v>0.05</v>
      </c>
      <c r="I1349" s="13">
        <v>99.5</v>
      </c>
      <c r="J1349" s="13">
        <v>1890.5</v>
      </c>
      <c r="K1349" s="13">
        <v>445.13</v>
      </c>
      <c r="L1349" s="8" t="s">
        <v>1106</v>
      </c>
      <c r="M1349" s="19" t="s">
        <v>2420</v>
      </c>
      <c r="N1349" s="9" t="s">
        <v>22</v>
      </c>
      <c r="O1349" s="9" t="s">
        <v>23</v>
      </c>
      <c r="P1349">
        <f>DATEVALUE(OnePlusSalesData[[#This Row],[order_date]])</f>
        <v>43634</v>
      </c>
      <c r="Q1349" s="28">
        <f>DATEVALUE(OnePlusSalesData[[#This Row],[delivery_date]])</f>
        <v>43637</v>
      </c>
    </row>
    <row r="1350" spans="1:17" ht="16" x14ac:dyDescent="0.45">
      <c r="A1350" s="2" t="s">
        <v>2421</v>
      </c>
      <c r="B1350" s="2" t="s">
        <v>52</v>
      </c>
      <c r="C1350" s="3" t="s">
        <v>53</v>
      </c>
      <c r="D1350" s="3" t="s">
        <v>40</v>
      </c>
      <c r="E1350" s="3" t="s">
        <v>73</v>
      </c>
      <c r="F1350" s="4">
        <v>32999</v>
      </c>
      <c r="G1350" s="5">
        <v>3</v>
      </c>
      <c r="H1350" s="6">
        <v>0.08</v>
      </c>
      <c r="I1350" s="7">
        <v>7919.76</v>
      </c>
      <c r="J1350" s="7">
        <v>91077.24</v>
      </c>
      <c r="K1350" s="7">
        <v>16285.64</v>
      </c>
      <c r="L1350" s="2" t="s">
        <v>939</v>
      </c>
      <c r="M1350" s="18" t="s">
        <v>295</v>
      </c>
      <c r="N1350" s="3" t="s">
        <v>22</v>
      </c>
      <c r="O1350" s="3" t="s">
        <v>23</v>
      </c>
      <c r="P1350">
        <f>DATEVALUE(OnePlusSalesData[[#This Row],[order_date]])</f>
        <v>43824</v>
      </c>
      <c r="Q1350" s="28">
        <f>DATEVALUE(OnePlusSalesData[[#This Row],[delivery_date]])</f>
        <v>43831</v>
      </c>
    </row>
    <row r="1351" spans="1:17" ht="16" x14ac:dyDescent="0.45">
      <c r="A1351" s="8" t="s">
        <v>2422</v>
      </c>
      <c r="B1351" s="8" t="s">
        <v>25</v>
      </c>
      <c r="C1351" s="9" t="s">
        <v>172</v>
      </c>
      <c r="D1351" s="9" t="s">
        <v>27</v>
      </c>
      <c r="E1351" s="9" t="s">
        <v>159</v>
      </c>
      <c r="F1351" s="10">
        <v>22999</v>
      </c>
      <c r="G1351" s="11">
        <v>2</v>
      </c>
      <c r="H1351" s="12">
        <v>0.1</v>
      </c>
      <c r="I1351" s="13">
        <v>4599.8</v>
      </c>
      <c r="J1351" s="13">
        <v>41398.199999999997</v>
      </c>
      <c r="K1351" s="13">
        <v>8338.2900000000009</v>
      </c>
      <c r="L1351" s="8" t="s">
        <v>2423</v>
      </c>
      <c r="M1351" s="19" t="s">
        <v>2127</v>
      </c>
      <c r="N1351" s="9" t="s">
        <v>22</v>
      </c>
      <c r="O1351" s="9" t="s">
        <v>23</v>
      </c>
      <c r="P1351">
        <f>DATEVALUE(OnePlusSalesData[[#This Row],[order_date]])</f>
        <v>43527</v>
      </c>
      <c r="Q1351" s="28">
        <f>DATEVALUE(OnePlusSalesData[[#This Row],[delivery_date]])</f>
        <v>43531</v>
      </c>
    </row>
    <row r="1352" spans="1:17" ht="16" x14ac:dyDescent="0.45">
      <c r="A1352" s="2" t="s">
        <v>2424</v>
      </c>
      <c r="B1352" s="2" t="s">
        <v>52</v>
      </c>
      <c r="C1352" s="3" t="s">
        <v>53</v>
      </c>
      <c r="D1352" s="3" t="s">
        <v>18</v>
      </c>
      <c r="E1352" s="3" t="s">
        <v>124</v>
      </c>
      <c r="F1352" s="4">
        <v>3990</v>
      </c>
      <c r="G1352" s="5">
        <v>5</v>
      </c>
      <c r="H1352" s="6">
        <v>0.08</v>
      </c>
      <c r="I1352" s="7">
        <v>1596</v>
      </c>
      <c r="J1352" s="7">
        <v>18354</v>
      </c>
      <c r="K1352" s="7">
        <v>4676.34</v>
      </c>
      <c r="L1352" s="2" t="s">
        <v>1158</v>
      </c>
      <c r="M1352" s="18" t="s">
        <v>1735</v>
      </c>
      <c r="N1352" s="3" t="s">
        <v>22</v>
      </c>
      <c r="O1352" s="3" t="s">
        <v>31</v>
      </c>
      <c r="P1352">
        <f>DATEVALUE(OnePlusSalesData[[#This Row],[order_date]])</f>
        <v>43994</v>
      </c>
      <c r="Q1352" s="28">
        <f>DATEVALUE(OnePlusSalesData[[#This Row],[delivery_date]])</f>
        <v>43998</v>
      </c>
    </row>
    <row r="1353" spans="1:17" ht="16" x14ac:dyDescent="0.45">
      <c r="A1353" s="8" t="s">
        <v>2425</v>
      </c>
      <c r="B1353" s="8" t="s">
        <v>25</v>
      </c>
      <c r="C1353" s="9" t="s">
        <v>26</v>
      </c>
      <c r="D1353" s="9" t="s">
        <v>27</v>
      </c>
      <c r="E1353" s="9" t="s">
        <v>28</v>
      </c>
      <c r="F1353" s="10">
        <v>12999</v>
      </c>
      <c r="G1353" s="11">
        <v>1</v>
      </c>
      <c r="H1353" s="12">
        <v>0.15</v>
      </c>
      <c r="I1353" s="13">
        <v>1949.85</v>
      </c>
      <c r="J1353" s="13">
        <v>11049.15</v>
      </c>
      <c r="K1353" s="13">
        <v>2585</v>
      </c>
      <c r="L1353" s="8" t="s">
        <v>626</v>
      </c>
      <c r="M1353" s="19" t="s">
        <v>627</v>
      </c>
      <c r="N1353" s="9" t="s">
        <v>50</v>
      </c>
      <c r="O1353" s="9" t="s">
        <v>63</v>
      </c>
      <c r="P1353">
        <f>DATEVALUE(OnePlusSalesData[[#This Row],[order_date]])</f>
        <v>43436</v>
      </c>
      <c r="Q1353" s="28">
        <f>DATEVALUE(OnePlusSalesData[[#This Row],[delivery_date]])</f>
        <v>43439</v>
      </c>
    </row>
    <row r="1354" spans="1:17" ht="16" x14ac:dyDescent="0.45">
      <c r="A1354" s="2" t="s">
        <v>2426</v>
      </c>
      <c r="B1354" s="2" t="s">
        <v>58</v>
      </c>
      <c r="C1354" s="3" t="s">
        <v>81</v>
      </c>
      <c r="D1354" s="3" t="s">
        <v>18</v>
      </c>
      <c r="E1354" s="3" t="s">
        <v>19</v>
      </c>
      <c r="F1354" s="4">
        <v>1990</v>
      </c>
      <c r="G1354" s="5">
        <v>1</v>
      </c>
      <c r="H1354" s="6">
        <v>0.1</v>
      </c>
      <c r="I1354" s="7">
        <v>199</v>
      </c>
      <c r="J1354" s="7">
        <v>1791</v>
      </c>
      <c r="K1354" s="7">
        <v>309.32</v>
      </c>
      <c r="L1354" s="2" t="s">
        <v>1119</v>
      </c>
      <c r="M1354" s="18" t="s">
        <v>1319</v>
      </c>
      <c r="N1354" s="3" t="s">
        <v>50</v>
      </c>
      <c r="O1354" s="3" t="s">
        <v>96</v>
      </c>
      <c r="P1354">
        <f>DATEVALUE(OnePlusSalesData[[#This Row],[order_date]])</f>
        <v>44105</v>
      </c>
      <c r="Q1354" s="28">
        <f>DATEVALUE(OnePlusSalesData[[#This Row],[delivery_date]])</f>
        <v>44108</v>
      </c>
    </row>
    <row r="1355" spans="1:17" ht="16" x14ac:dyDescent="0.45">
      <c r="A1355" s="8" t="s">
        <v>2427</v>
      </c>
      <c r="B1355" s="8" t="s">
        <v>16</v>
      </c>
      <c r="C1355" s="9" t="s">
        <v>33</v>
      </c>
      <c r="D1355" s="9" t="s">
        <v>40</v>
      </c>
      <c r="E1355" s="9" t="s">
        <v>406</v>
      </c>
      <c r="F1355" s="10">
        <v>48999</v>
      </c>
      <c r="G1355" s="11">
        <v>4</v>
      </c>
      <c r="H1355" s="12">
        <v>0.05</v>
      </c>
      <c r="I1355" s="13">
        <v>9799.7999999999993</v>
      </c>
      <c r="J1355" s="13">
        <v>186196.2</v>
      </c>
      <c r="K1355" s="13">
        <v>38696.300000000003</v>
      </c>
      <c r="L1355" s="8" t="s">
        <v>1489</v>
      </c>
      <c r="M1355" s="19" t="s">
        <v>310</v>
      </c>
      <c r="N1355" s="9" t="s">
        <v>22</v>
      </c>
      <c r="O1355" s="9" t="s">
        <v>63</v>
      </c>
      <c r="P1355">
        <f>DATEVALUE(OnePlusSalesData[[#This Row],[order_date]])</f>
        <v>43945</v>
      </c>
      <c r="Q1355" s="28">
        <f>DATEVALUE(OnePlusSalesData[[#This Row],[delivery_date]])</f>
        <v>43950</v>
      </c>
    </row>
    <row r="1356" spans="1:17" ht="16" x14ac:dyDescent="0.45">
      <c r="A1356" s="2" t="s">
        <v>2428</v>
      </c>
      <c r="B1356" s="2" t="s">
        <v>52</v>
      </c>
      <c r="C1356" s="3" t="s">
        <v>106</v>
      </c>
      <c r="D1356" s="3" t="s">
        <v>27</v>
      </c>
      <c r="E1356" s="3" t="s">
        <v>159</v>
      </c>
      <c r="F1356" s="4">
        <v>22999</v>
      </c>
      <c r="G1356" s="5">
        <v>1</v>
      </c>
      <c r="H1356" s="6">
        <v>0.08</v>
      </c>
      <c r="I1356" s="7">
        <v>1839.92</v>
      </c>
      <c r="J1356" s="7">
        <v>21159.08</v>
      </c>
      <c r="K1356" s="7">
        <v>4551.49</v>
      </c>
      <c r="L1356" s="2" t="s">
        <v>278</v>
      </c>
      <c r="M1356" s="18" t="s">
        <v>468</v>
      </c>
      <c r="N1356" s="3" t="s">
        <v>22</v>
      </c>
      <c r="O1356" s="3" t="s">
        <v>63</v>
      </c>
      <c r="P1356">
        <f>DATEVALUE(OnePlusSalesData[[#This Row],[order_date]])</f>
        <v>43450</v>
      </c>
      <c r="Q1356" s="28">
        <f>DATEVALUE(OnePlusSalesData[[#This Row],[delivery_date]])</f>
        <v>43453</v>
      </c>
    </row>
    <row r="1357" spans="1:17" ht="16" x14ac:dyDescent="0.45">
      <c r="A1357" s="8" t="s">
        <v>2429</v>
      </c>
      <c r="B1357" s="8" t="s">
        <v>52</v>
      </c>
      <c r="C1357" s="9" t="s">
        <v>106</v>
      </c>
      <c r="D1357" s="9" t="s">
        <v>40</v>
      </c>
      <c r="E1357" s="9" t="s">
        <v>60</v>
      </c>
      <c r="F1357" s="10">
        <v>54999</v>
      </c>
      <c r="G1357" s="11">
        <v>1</v>
      </c>
      <c r="H1357" s="12">
        <v>0.05</v>
      </c>
      <c r="I1357" s="13">
        <v>2749.95</v>
      </c>
      <c r="J1357" s="13">
        <v>52249.05</v>
      </c>
      <c r="K1357" s="13">
        <v>8033.96</v>
      </c>
      <c r="L1357" s="8" t="s">
        <v>550</v>
      </c>
      <c r="M1357" s="19" t="s">
        <v>319</v>
      </c>
      <c r="N1357" s="9" t="s">
        <v>22</v>
      </c>
      <c r="O1357" s="9" t="s">
        <v>63</v>
      </c>
      <c r="P1357">
        <f>DATEVALUE(OnePlusSalesData[[#This Row],[order_date]])</f>
        <v>44080</v>
      </c>
      <c r="Q1357" s="28">
        <f>DATEVALUE(OnePlusSalesData[[#This Row],[delivery_date]])</f>
        <v>44083</v>
      </c>
    </row>
    <row r="1358" spans="1:17" ht="16" x14ac:dyDescent="0.45">
      <c r="A1358" s="2" t="s">
        <v>2430</v>
      </c>
      <c r="B1358" s="2" t="s">
        <v>52</v>
      </c>
      <c r="C1358" s="3" t="s">
        <v>69</v>
      </c>
      <c r="D1358" s="3" t="s">
        <v>27</v>
      </c>
      <c r="E1358" s="3" t="s">
        <v>176</v>
      </c>
      <c r="F1358" s="4">
        <v>69900</v>
      </c>
      <c r="G1358" s="5">
        <v>2</v>
      </c>
      <c r="H1358" s="6">
        <v>0</v>
      </c>
      <c r="I1358" s="7">
        <v>0</v>
      </c>
      <c r="J1358" s="7">
        <v>139800</v>
      </c>
      <c r="K1358" s="7">
        <v>30949.19</v>
      </c>
      <c r="L1358" s="2" t="s">
        <v>1739</v>
      </c>
      <c r="M1358" s="18" t="s">
        <v>882</v>
      </c>
      <c r="N1358" s="3" t="s">
        <v>22</v>
      </c>
      <c r="O1358" s="3" t="s">
        <v>63</v>
      </c>
      <c r="P1358">
        <f>DATEVALUE(OnePlusSalesData[[#This Row],[order_date]])</f>
        <v>43487</v>
      </c>
      <c r="Q1358" s="28">
        <f>DATEVALUE(OnePlusSalesData[[#This Row],[delivery_date]])</f>
        <v>43491</v>
      </c>
    </row>
    <row r="1359" spans="1:17" ht="16" x14ac:dyDescent="0.45">
      <c r="A1359" s="8" t="s">
        <v>2431</v>
      </c>
      <c r="B1359" s="8" t="s">
        <v>52</v>
      </c>
      <c r="C1359" s="9" t="s">
        <v>358</v>
      </c>
      <c r="D1359" s="9" t="s">
        <v>18</v>
      </c>
      <c r="E1359" s="9" t="s">
        <v>102</v>
      </c>
      <c r="F1359" s="10">
        <v>1490</v>
      </c>
      <c r="G1359" s="11">
        <v>1</v>
      </c>
      <c r="H1359" s="12">
        <v>0</v>
      </c>
      <c r="I1359" s="13">
        <v>0</v>
      </c>
      <c r="J1359" s="13">
        <v>1490</v>
      </c>
      <c r="K1359" s="13">
        <v>381.56</v>
      </c>
      <c r="L1359" s="8" t="s">
        <v>2228</v>
      </c>
      <c r="M1359" s="19" t="s">
        <v>2432</v>
      </c>
      <c r="N1359" s="9" t="s">
        <v>22</v>
      </c>
      <c r="O1359" s="9" t="s">
        <v>23</v>
      </c>
      <c r="P1359">
        <f>DATEVALUE(OnePlusSalesData[[#This Row],[order_date]])</f>
        <v>44124</v>
      </c>
      <c r="Q1359" s="28">
        <f>DATEVALUE(OnePlusSalesData[[#This Row],[delivery_date]])</f>
        <v>44128</v>
      </c>
    </row>
    <row r="1360" spans="1:17" ht="16" x14ac:dyDescent="0.45">
      <c r="A1360" s="2" t="s">
        <v>2433</v>
      </c>
      <c r="B1360" s="2" t="s">
        <v>16</v>
      </c>
      <c r="C1360" s="3" t="s">
        <v>17</v>
      </c>
      <c r="D1360" s="3" t="s">
        <v>27</v>
      </c>
      <c r="E1360" s="3" t="s">
        <v>176</v>
      </c>
      <c r="F1360" s="4">
        <v>69900</v>
      </c>
      <c r="G1360" s="5">
        <v>1</v>
      </c>
      <c r="H1360" s="6">
        <v>0</v>
      </c>
      <c r="I1360" s="7">
        <v>0</v>
      </c>
      <c r="J1360" s="7">
        <v>69900</v>
      </c>
      <c r="K1360" s="7">
        <v>10502.9</v>
      </c>
      <c r="L1360" s="2" t="s">
        <v>430</v>
      </c>
      <c r="M1360" s="18" t="s">
        <v>765</v>
      </c>
      <c r="N1360" s="3" t="s">
        <v>50</v>
      </c>
      <c r="O1360" s="3" t="s">
        <v>96</v>
      </c>
      <c r="P1360">
        <f>DATEVALUE(OnePlusSalesData[[#This Row],[order_date]])</f>
        <v>43867</v>
      </c>
      <c r="Q1360" s="28">
        <f>DATEVALUE(OnePlusSalesData[[#This Row],[delivery_date]])</f>
        <v>43872</v>
      </c>
    </row>
    <row r="1361" spans="1:17" ht="16" x14ac:dyDescent="0.45">
      <c r="A1361" s="8" t="s">
        <v>2434</v>
      </c>
      <c r="B1361" s="8" t="s">
        <v>25</v>
      </c>
      <c r="C1361" s="9" t="s">
        <v>65</v>
      </c>
      <c r="D1361" s="9" t="s">
        <v>40</v>
      </c>
      <c r="E1361" s="9" t="s">
        <v>60</v>
      </c>
      <c r="F1361" s="10">
        <v>54999</v>
      </c>
      <c r="G1361" s="11">
        <v>2</v>
      </c>
      <c r="H1361" s="12">
        <v>0.05</v>
      </c>
      <c r="I1361" s="13">
        <v>5499.9</v>
      </c>
      <c r="J1361" s="13">
        <v>104498.1</v>
      </c>
      <c r="K1361" s="13">
        <v>22993.57</v>
      </c>
      <c r="L1361" s="8" t="s">
        <v>235</v>
      </c>
      <c r="M1361" s="19" t="s">
        <v>2085</v>
      </c>
      <c r="N1361" s="9" t="s">
        <v>22</v>
      </c>
      <c r="O1361" s="9" t="s">
        <v>23</v>
      </c>
      <c r="P1361">
        <f>DATEVALUE(OnePlusSalesData[[#This Row],[order_date]])</f>
        <v>43791</v>
      </c>
      <c r="Q1361" s="28">
        <f>DATEVALUE(OnePlusSalesData[[#This Row],[delivery_date]])</f>
        <v>43794</v>
      </c>
    </row>
    <row r="1362" spans="1:17" ht="16" x14ac:dyDescent="0.45">
      <c r="A1362" s="2" t="s">
        <v>2435</v>
      </c>
      <c r="B1362" s="2" t="s">
        <v>52</v>
      </c>
      <c r="C1362" s="3" t="s">
        <v>53</v>
      </c>
      <c r="D1362" s="3" t="s">
        <v>40</v>
      </c>
      <c r="E1362" s="3" t="s">
        <v>148</v>
      </c>
      <c r="F1362" s="4">
        <v>41999</v>
      </c>
      <c r="G1362" s="5">
        <v>2</v>
      </c>
      <c r="H1362" s="6">
        <v>0.05</v>
      </c>
      <c r="I1362" s="7">
        <v>4199.8999999999996</v>
      </c>
      <c r="J1362" s="7">
        <v>79798.100000000006</v>
      </c>
      <c r="K1362" s="7">
        <v>16459.62</v>
      </c>
      <c r="L1362" s="2" t="s">
        <v>624</v>
      </c>
      <c r="M1362" s="18" t="s">
        <v>1630</v>
      </c>
      <c r="N1362" s="3" t="s">
        <v>22</v>
      </c>
      <c r="O1362" s="3" t="s">
        <v>31</v>
      </c>
      <c r="P1362">
        <f>DATEVALUE(OnePlusSalesData[[#This Row],[order_date]])</f>
        <v>43928</v>
      </c>
      <c r="Q1362" s="28">
        <f>DATEVALUE(OnePlusSalesData[[#This Row],[delivery_date]])</f>
        <v>43930</v>
      </c>
    </row>
    <row r="1363" spans="1:17" ht="16" x14ac:dyDescent="0.45">
      <c r="A1363" s="8" t="s">
        <v>2436</v>
      </c>
      <c r="B1363" s="8" t="s">
        <v>16</v>
      </c>
      <c r="C1363" s="9" t="s">
        <v>152</v>
      </c>
      <c r="D1363" s="9" t="s">
        <v>40</v>
      </c>
      <c r="E1363" s="9" t="s">
        <v>406</v>
      </c>
      <c r="F1363" s="10">
        <v>48999</v>
      </c>
      <c r="G1363" s="11">
        <v>3</v>
      </c>
      <c r="H1363" s="12">
        <v>0.05</v>
      </c>
      <c r="I1363" s="13">
        <v>7349.85</v>
      </c>
      <c r="J1363" s="13">
        <v>139647.15</v>
      </c>
      <c r="K1363" s="13">
        <v>29666.27</v>
      </c>
      <c r="L1363" s="8" t="s">
        <v>603</v>
      </c>
      <c r="M1363" s="19" t="s">
        <v>62</v>
      </c>
      <c r="N1363" s="9" t="s">
        <v>22</v>
      </c>
      <c r="O1363" s="9" t="s">
        <v>23</v>
      </c>
      <c r="P1363">
        <f>DATEVALUE(OnePlusSalesData[[#This Row],[order_date]])</f>
        <v>43890</v>
      </c>
      <c r="Q1363" s="28">
        <f>DATEVALUE(OnePlusSalesData[[#This Row],[delivery_date]])</f>
        <v>43895</v>
      </c>
    </row>
    <row r="1364" spans="1:17" ht="16" x14ac:dyDescent="0.45">
      <c r="A1364" s="2" t="s">
        <v>2437</v>
      </c>
      <c r="B1364" s="2" t="s">
        <v>25</v>
      </c>
      <c r="C1364" s="3" t="s">
        <v>133</v>
      </c>
      <c r="D1364" s="3" t="s">
        <v>34</v>
      </c>
      <c r="E1364" s="3" t="s">
        <v>35</v>
      </c>
      <c r="F1364" s="4">
        <v>19999</v>
      </c>
      <c r="G1364" s="5">
        <v>5</v>
      </c>
      <c r="H1364" s="6">
        <v>0.05</v>
      </c>
      <c r="I1364" s="7">
        <v>4999.75</v>
      </c>
      <c r="J1364" s="7">
        <v>94995.25</v>
      </c>
      <c r="K1364" s="7">
        <v>22719.99</v>
      </c>
      <c r="L1364" s="2" t="s">
        <v>1767</v>
      </c>
      <c r="M1364" s="18" t="s">
        <v>2438</v>
      </c>
      <c r="N1364" s="3" t="s">
        <v>92</v>
      </c>
      <c r="O1364" s="3" t="s">
        <v>63</v>
      </c>
      <c r="P1364">
        <f>DATEVALUE(OnePlusSalesData[[#This Row],[order_date]])</f>
        <v>43121</v>
      </c>
      <c r="Q1364" s="28">
        <f>DATEVALUE(OnePlusSalesData[[#This Row],[delivery_date]])</f>
        <v>43123</v>
      </c>
    </row>
    <row r="1365" spans="1:17" ht="16" x14ac:dyDescent="0.45">
      <c r="A1365" s="8" t="s">
        <v>2439</v>
      </c>
      <c r="B1365" s="8" t="s">
        <v>16</v>
      </c>
      <c r="C1365" s="9" t="s">
        <v>39</v>
      </c>
      <c r="D1365" s="9" t="s">
        <v>40</v>
      </c>
      <c r="E1365" s="9" t="s">
        <v>406</v>
      </c>
      <c r="F1365" s="10">
        <v>48999</v>
      </c>
      <c r="G1365" s="11">
        <v>1</v>
      </c>
      <c r="H1365" s="12">
        <v>0</v>
      </c>
      <c r="I1365" s="13">
        <v>0</v>
      </c>
      <c r="J1365" s="13">
        <v>48999</v>
      </c>
      <c r="K1365" s="13">
        <v>8969.33</v>
      </c>
      <c r="L1365" s="8" t="s">
        <v>332</v>
      </c>
      <c r="M1365" s="19" t="s">
        <v>2350</v>
      </c>
      <c r="N1365" s="9" t="s">
        <v>22</v>
      </c>
      <c r="O1365" s="9" t="s">
        <v>23</v>
      </c>
      <c r="P1365">
        <f>DATEVALUE(OnePlusSalesData[[#This Row],[order_date]])</f>
        <v>44193</v>
      </c>
      <c r="Q1365" s="28">
        <f>DATEVALUE(OnePlusSalesData[[#This Row],[delivery_date]])</f>
        <v>44195</v>
      </c>
    </row>
    <row r="1366" spans="1:17" ht="16" x14ac:dyDescent="0.45">
      <c r="A1366" s="2" t="s">
        <v>2440</v>
      </c>
      <c r="B1366" s="2" t="s">
        <v>16</v>
      </c>
      <c r="C1366" s="3" t="s">
        <v>17</v>
      </c>
      <c r="D1366" s="3" t="s">
        <v>27</v>
      </c>
      <c r="E1366" s="3" t="s">
        <v>159</v>
      </c>
      <c r="F1366" s="4">
        <v>22999</v>
      </c>
      <c r="G1366" s="5">
        <v>1</v>
      </c>
      <c r="H1366" s="6">
        <v>0.08</v>
      </c>
      <c r="I1366" s="7">
        <v>1839.92</v>
      </c>
      <c r="J1366" s="7">
        <v>21159.08</v>
      </c>
      <c r="K1366" s="7">
        <v>3509.01</v>
      </c>
      <c r="L1366" s="2" t="s">
        <v>456</v>
      </c>
      <c r="M1366" s="18" t="s">
        <v>457</v>
      </c>
      <c r="N1366" s="3" t="s">
        <v>50</v>
      </c>
      <c r="O1366" s="3" t="s">
        <v>31</v>
      </c>
      <c r="P1366">
        <f>DATEVALUE(OnePlusSalesData[[#This Row],[order_date]])</f>
        <v>43323</v>
      </c>
      <c r="Q1366" s="28">
        <f>DATEVALUE(OnePlusSalesData[[#This Row],[delivery_date]])</f>
        <v>43325</v>
      </c>
    </row>
    <row r="1367" spans="1:17" ht="16" x14ac:dyDescent="0.45">
      <c r="A1367" s="8" t="s">
        <v>2441</v>
      </c>
      <c r="B1367" s="8" t="s">
        <v>52</v>
      </c>
      <c r="C1367" s="9" t="s">
        <v>53</v>
      </c>
      <c r="D1367" s="9" t="s">
        <v>34</v>
      </c>
      <c r="E1367" s="9" t="s">
        <v>35</v>
      </c>
      <c r="F1367" s="10">
        <v>19999</v>
      </c>
      <c r="G1367" s="11">
        <v>2</v>
      </c>
      <c r="H1367" s="12">
        <v>0.1</v>
      </c>
      <c r="I1367" s="13">
        <v>3999.8</v>
      </c>
      <c r="J1367" s="13">
        <v>35998.199999999997</v>
      </c>
      <c r="K1367" s="13">
        <v>9324.66</v>
      </c>
      <c r="L1367" s="8" t="s">
        <v>1426</v>
      </c>
      <c r="M1367" s="19" t="s">
        <v>986</v>
      </c>
      <c r="N1367" s="9" t="s">
        <v>22</v>
      </c>
      <c r="O1367" s="9" t="s">
        <v>23</v>
      </c>
      <c r="P1367">
        <f>DATEVALUE(OnePlusSalesData[[#This Row],[order_date]])</f>
        <v>43725</v>
      </c>
      <c r="Q1367" s="28">
        <f>DATEVALUE(OnePlusSalesData[[#This Row],[delivery_date]])</f>
        <v>43731</v>
      </c>
    </row>
    <row r="1368" spans="1:17" ht="16" x14ac:dyDescent="0.45">
      <c r="A1368" s="2" t="s">
        <v>2442</v>
      </c>
      <c r="B1368" s="2" t="s">
        <v>25</v>
      </c>
      <c r="C1368" s="3" t="s">
        <v>172</v>
      </c>
      <c r="D1368" s="3" t="s">
        <v>85</v>
      </c>
      <c r="E1368" s="3" t="s">
        <v>86</v>
      </c>
      <c r="F1368" s="4">
        <v>1999</v>
      </c>
      <c r="G1368" s="5">
        <v>1</v>
      </c>
      <c r="H1368" s="6">
        <v>0.05</v>
      </c>
      <c r="I1368" s="7">
        <v>99.95</v>
      </c>
      <c r="J1368" s="7">
        <v>1899.05</v>
      </c>
      <c r="K1368" s="7">
        <v>369.57</v>
      </c>
      <c r="L1368" s="2" t="s">
        <v>235</v>
      </c>
      <c r="M1368" s="18" t="s">
        <v>441</v>
      </c>
      <c r="N1368" s="3" t="s">
        <v>22</v>
      </c>
      <c r="O1368" s="3" t="s">
        <v>31</v>
      </c>
      <c r="P1368">
        <f>DATEVALUE(OnePlusSalesData[[#This Row],[order_date]])</f>
        <v>43791</v>
      </c>
      <c r="Q1368" s="28">
        <f>DATEVALUE(OnePlusSalesData[[#This Row],[delivery_date]])</f>
        <v>43793</v>
      </c>
    </row>
    <row r="1369" spans="1:17" ht="16" x14ac:dyDescent="0.45">
      <c r="A1369" s="8" t="s">
        <v>2443</v>
      </c>
      <c r="B1369" s="8" t="s">
        <v>52</v>
      </c>
      <c r="C1369" s="9" t="s">
        <v>69</v>
      </c>
      <c r="D1369" s="9" t="s">
        <v>40</v>
      </c>
      <c r="E1369" s="9" t="s">
        <v>73</v>
      </c>
      <c r="F1369" s="10">
        <v>32999</v>
      </c>
      <c r="G1369" s="11">
        <v>2</v>
      </c>
      <c r="H1369" s="12">
        <v>0.08</v>
      </c>
      <c r="I1369" s="13">
        <v>5279.84</v>
      </c>
      <c r="J1369" s="13">
        <v>60718.16</v>
      </c>
      <c r="K1369" s="13">
        <v>13273.17</v>
      </c>
      <c r="L1369" s="8" t="s">
        <v>337</v>
      </c>
      <c r="M1369" s="19" t="s">
        <v>1566</v>
      </c>
      <c r="N1369" s="9" t="s">
        <v>22</v>
      </c>
      <c r="O1369" s="9" t="s">
        <v>45</v>
      </c>
      <c r="P1369">
        <f>DATEVALUE(OnePlusSalesData[[#This Row],[order_date]])</f>
        <v>44025</v>
      </c>
      <c r="Q1369" s="28">
        <f>DATEVALUE(OnePlusSalesData[[#This Row],[delivery_date]])</f>
        <v>44032</v>
      </c>
    </row>
    <row r="1370" spans="1:17" ht="16" x14ac:dyDescent="0.45">
      <c r="A1370" s="2" t="s">
        <v>2444</v>
      </c>
      <c r="B1370" s="2" t="s">
        <v>52</v>
      </c>
      <c r="C1370" s="3" t="s">
        <v>53</v>
      </c>
      <c r="D1370" s="3" t="s">
        <v>18</v>
      </c>
      <c r="E1370" s="3" t="s">
        <v>102</v>
      </c>
      <c r="F1370" s="4">
        <v>1490</v>
      </c>
      <c r="G1370" s="5">
        <v>1</v>
      </c>
      <c r="H1370" s="6">
        <v>0.08</v>
      </c>
      <c r="I1370" s="7">
        <v>119.2</v>
      </c>
      <c r="J1370" s="7">
        <v>1370.8</v>
      </c>
      <c r="K1370" s="7">
        <v>283.8</v>
      </c>
      <c r="L1370" s="2" t="s">
        <v>1862</v>
      </c>
      <c r="M1370" s="18" t="s">
        <v>653</v>
      </c>
      <c r="N1370" s="3" t="s">
        <v>50</v>
      </c>
      <c r="O1370" s="3" t="s">
        <v>63</v>
      </c>
      <c r="P1370">
        <f>DATEVALUE(OnePlusSalesData[[#This Row],[order_date]])</f>
        <v>43541</v>
      </c>
      <c r="Q1370" s="28">
        <f>DATEVALUE(OnePlusSalesData[[#This Row],[delivery_date]])</f>
        <v>43547</v>
      </c>
    </row>
    <row r="1371" spans="1:17" ht="16" x14ac:dyDescent="0.45">
      <c r="A1371" s="8" t="s">
        <v>2445</v>
      </c>
      <c r="B1371" s="8" t="s">
        <v>52</v>
      </c>
      <c r="C1371" s="9" t="s">
        <v>358</v>
      </c>
      <c r="D1371" s="9" t="s">
        <v>27</v>
      </c>
      <c r="E1371" s="9" t="s">
        <v>28</v>
      </c>
      <c r="F1371" s="10">
        <v>12999</v>
      </c>
      <c r="G1371" s="11">
        <v>1</v>
      </c>
      <c r="H1371" s="12">
        <v>0.08</v>
      </c>
      <c r="I1371" s="13">
        <v>1039.92</v>
      </c>
      <c r="J1371" s="13">
        <v>11959.08</v>
      </c>
      <c r="K1371" s="13">
        <v>2747.4</v>
      </c>
      <c r="L1371" s="8" t="s">
        <v>1923</v>
      </c>
      <c r="M1371" s="19" t="s">
        <v>1242</v>
      </c>
      <c r="N1371" s="9" t="s">
        <v>22</v>
      </c>
      <c r="O1371" s="9" t="s">
        <v>31</v>
      </c>
      <c r="P1371">
        <f>DATEVALUE(OnePlusSalesData[[#This Row],[order_date]])</f>
        <v>43683</v>
      </c>
      <c r="Q1371" s="28">
        <f>DATEVALUE(OnePlusSalesData[[#This Row],[delivery_date]])</f>
        <v>43689</v>
      </c>
    </row>
    <row r="1372" spans="1:17" ht="16" x14ac:dyDescent="0.45">
      <c r="A1372" s="2" t="s">
        <v>2446</v>
      </c>
      <c r="B1372" s="2" t="s">
        <v>52</v>
      </c>
      <c r="C1372" s="3" t="s">
        <v>69</v>
      </c>
      <c r="D1372" s="3" t="s">
        <v>85</v>
      </c>
      <c r="E1372" s="3" t="s">
        <v>258</v>
      </c>
      <c r="F1372" s="4">
        <v>2999</v>
      </c>
      <c r="G1372" s="5">
        <v>1</v>
      </c>
      <c r="H1372" s="6">
        <v>0.08</v>
      </c>
      <c r="I1372" s="7">
        <v>239.92</v>
      </c>
      <c r="J1372" s="7">
        <v>2759.08</v>
      </c>
      <c r="K1372" s="7">
        <v>461.63</v>
      </c>
      <c r="L1372" s="2" t="s">
        <v>1553</v>
      </c>
      <c r="M1372" s="18" t="s">
        <v>1143</v>
      </c>
      <c r="N1372" s="3" t="s">
        <v>22</v>
      </c>
      <c r="O1372" s="3" t="s">
        <v>63</v>
      </c>
      <c r="P1372">
        <f>DATEVALUE(OnePlusSalesData[[#This Row],[order_date]])</f>
        <v>44102</v>
      </c>
      <c r="Q1372" s="28">
        <f>DATEVALUE(OnePlusSalesData[[#This Row],[delivery_date]])</f>
        <v>44109</v>
      </c>
    </row>
    <row r="1373" spans="1:17" ht="16" x14ac:dyDescent="0.45">
      <c r="A1373" s="8" t="s">
        <v>2447</v>
      </c>
      <c r="B1373" s="8" t="s">
        <v>25</v>
      </c>
      <c r="C1373" s="9" t="s">
        <v>65</v>
      </c>
      <c r="D1373" s="9" t="s">
        <v>27</v>
      </c>
      <c r="E1373" s="9" t="s">
        <v>159</v>
      </c>
      <c r="F1373" s="10">
        <v>22999</v>
      </c>
      <c r="G1373" s="11">
        <v>1</v>
      </c>
      <c r="H1373" s="12">
        <v>0.05</v>
      </c>
      <c r="I1373" s="13">
        <v>1149.95</v>
      </c>
      <c r="J1373" s="13">
        <v>21849.05</v>
      </c>
      <c r="K1373" s="13">
        <v>4980.51</v>
      </c>
      <c r="L1373" s="8" t="s">
        <v>952</v>
      </c>
      <c r="M1373" s="19" t="s">
        <v>953</v>
      </c>
      <c r="N1373" s="9" t="s">
        <v>92</v>
      </c>
      <c r="O1373" s="9" t="s">
        <v>23</v>
      </c>
      <c r="P1373">
        <f>DATEVALUE(OnePlusSalesData[[#This Row],[order_date]])</f>
        <v>43628</v>
      </c>
      <c r="Q1373" s="28">
        <f>DATEVALUE(OnePlusSalesData[[#This Row],[delivery_date]])</f>
        <v>43632</v>
      </c>
    </row>
    <row r="1374" spans="1:17" ht="16" x14ac:dyDescent="0.45">
      <c r="A1374" s="2" t="s">
        <v>2448</v>
      </c>
      <c r="B1374" s="2" t="s">
        <v>25</v>
      </c>
      <c r="C1374" s="3" t="s">
        <v>26</v>
      </c>
      <c r="D1374" s="3" t="s">
        <v>85</v>
      </c>
      <c r="E1374" s="3" t="s">
        <v>228</v>
      </c>
      <c r="F1374" s="4">
        <v>5990</v>
      </c>
      <c r="G1374" s="5">
        <v>1</v>
      </c>
      <c r="H1374" s="6">
        <v>0.1</v>
      </c>
      <c r="I1374" s="7">
        <v>599</v>
      </c>
      <c r="J1374" s="7">
        <v>5391</v>
      </c>
      <c r="K1374" s="7">
        <v>1050.3699999999999</v>
      </c>
      <c r="L1374" s="2" t="s">
        <v>656</v>
      </c>
      <c r="M1374" s="18" t="s">
        <v>1923</v>
      </c>
      <c r="N1374" s="3" t="s">
        <v>22</v>
      </c>
      <c r="O1374" s="3" t="s">
        <v>63</v>
      </c>
      <c r="P1374">
        <f>DATEVALUE(OnePlusSalesData[[#This Row],[order_date]])</f>
        <v>43676</v>
      </c>
      <c r="Q1374" s="28">
        <f>DATEVALUE(OnePlusSalesData[[#This Row],[delivery_date]])</f>
        <v>43683</v>
      </c>
    </row>
    <row r="1375" spans="1:17" ht="16" x14ac:dyDescent="0.45">
      <c r="A1375" s="8" t="s">
        <v>2449</v>
      </c>
      <c r="B1375" s="8" t="s">
        <v>16</v>
      </c>
      <c r="C1375" s="9" t="s">
        <v>17</v>
      </c>
      <c r="D1375" s="9" t="s">
        <v>34</v>
      </c>
      <c r="E1375" s="9" t="s">
        <v>35</v>
      </c>
      <c r="F1375" s="10">
        <v>19999</v>
      </c>
      <c r="G1375" s="11">
        <v>3</v>
      </c>
      <c r="H1375" s="12">
        <v>0.1</v>
      </c>
      <c r="I1375" s="13">
        <v>5999.7</v>
      </c>
      <c r="J1375" s="13">
        <v>53997.3</v>
      </c>
      <c r="K1375" s="13">
        <v>7924.93</v>
      </c>
      <c r="L1375" s="8" t="s">
        <v>1928</v>
      </c>
      <c r="M1375" s="19" t="s">
        <v>1396</v>
      </c>
      <c r="N1375" s="9" t="s">
        <v>50</v>
      </c>
      <c r="O1375" s="9" t="s">
        <v>63</v>
      </c>
      <c r="P1375">
        <f>DATEVALUE(OnePlusSalesData[[#This Row],[order_date]])</f>
        <v>43996</v>
      </c>
      <c r="Q1375" s="28">
        <f>DATEVALUE(OnePlusSalesData[[#This Row],[delivery_date]])</f>
        <v>43999</v>
      </c>
    </row>
    <row r="1376" spans="1:17" ht="16" x14ac:dyDescent="0.45">
      <c r="A1376" s="2" t="s">
        <v>2450</v>
      </c>
      <c r="B1376" s="2" t="s">
        <v>25</v>
      </c>
      <c r="C1376" s="3" t="s">
        <v>120</v>
      </c>
      <c r="D1376" s="3" t="s">
        <v>18</v>
      </c>
      <c r="E1376" s="3" t="s">
        <v>124</v>
      </c>
      <c r="F1376" s="4">
        <v>3990</v>
      </c>
      <c r="G1376" s="5">
        <v>1</v>
      </c>
      <c r="H1376" s="6">
        <v>0.05</v>
      </c>
      <c r="I1376" s="7">
        <v>199.5</v>
      </c>
      <c r="J1376" s="7">
        <v>3790.5</v>
      </c>
      <c r="K1376" s="7">
        <v>864.71</v>
      </c>
      <c r="L1376" s="2" t="s">
        <v>2114</v>
      </c>
      <c r="M1376" s="18" t="s">
        <v>674</v>
      </c>
      <c r="N1376" s="3" t="s">
        <v>22</v>
      </c>
      <c r="O1376" s="3" t="s">
        <v>23</v>
      </c>
      <c r="P1376">
        <f>DATEVALUE(OnePlusSalesData[[#This Row],[order_date]])</f>
        <v>43790</v>
      </c>
      <c r="Q1376" s="28">
        <f>DATEVALUE(OnePlusSalesData[[#This Row],[delivery_date]])</f>
        <v>43792</v>
      </c>
    </row>
    <row r="1377" spans="1:17" ht="16" x14ac:dyDescent="0.45">
      <c r="A1377" s="8" t="s">
        <v>2451</v>
      </c>
      <c r="B1377" s="8" t="s">
        <v>25</v>
      </c>
      <c r="C1377" s="9" t="s">
        <v>26</v>
      </c>
      <c r="D1377" s="9" t="s">
        <v>40</v>
      </c>
      <c r="E1377" s="9" t="s">
        <v>47</v>
      </c>
      <c r="F1377" s="10">
        <v>37999</v>
      </c>
      <c r="G1377" s="11">
        <v>4</v>
      </c>
      <c r="H1377" s="12">
        <v>0.12</v>
      </c>
      <c r="I1377" s="13">
        <v>18239.52</v>
      </c>
      <c r="J1377" s="13">
        <v>133756.48000000001</v>
      </c>
      <c r="K1377" s="13">
        <v>27876.89</v>
      </c>
      <c r="L1377" s="8" t="s">
        <v>2218</v>
      </c>
      <c r="M1377" s="19" t="s">
        <v>801</v>
      </c>
      <c r="N1377" s="9" t="s">
        <v>44</v>
      </c>
      <c r="O1377" s="9" t="s">
        <v>63</v>
      </c>
      <c r="P1377">
        <f>DATEVALUE(OnePlusSalesData[[#This Row],[order_date]])</f>
        <v>43627</v>
      </c>
      <c r="Q1377" s="28">
        <f>DATEVALUE(OnePlusSalesData[[#This Row],[delivery_date]])</f>
        <v>43633</v>
      </c>
    </row>
    <row r="1378" spans="1:17" ht="16" x14ac:dyDescent="0.45">
      <c r="A1378" s="2" t="s">
        <v>2452</v>
      </c>
      <c r="B1378" s="2" t="s">
        <v>52</v>
      </c>
      <c r="C1378" s="3" t="s">
        <v>358</v>
      </c>
      <c r="D1378" s="3" t="s">
        <v>40</v>
      </c>
      <c r="E1378" s="3" t="s">
        <v>98</v>
      </c>
      <c r="F1378" s="4">
        <v>34999</v>
      </c>
      <c r="G1378" s="5">
        <v>1</v>
      </c>
      <c r="H1378" s="6">
        <v>0.1</v>
      </c>
      <c r="I1378" s="7">
        <v>3499.9</v>
      </c>
      <c r="J1378" s="7">
        <v>31499.1</v>
      </c>
      <c r="K1378" s="7">
        <v>5349.31</v>
      </c>
      <c r="L1378" s="2" t="s">
        <v>2453</v>
      </c>
      <c r="M1378" s="18" t="s">
        <v>2354</v>
      </c>
      <c r="N1378" s="3" t="s">
        <v>22</v>
      </c>
      <c r="O1378" s="3" t="s">
        <v>23</v>
      </c>
      <c r="P1378">
        <f>DATEVALUE(OnePlusSalesData[[#This Row],[order_date]])</f>
        <v>44067</v>
      </c>
      <c r="Q1378" s="28">
        <f>DATEVALUE(OnePlusSalesData[[#This Row],[delivery_date]])</f>
        <v>44074</v>
      </c>
    </row>
    <row r="1379" spans="1:17" ht="16" x14ac:dyDescent="0.45">
      <c r="A1379" s="8" t="s">
        <v>2454</v>
      </c>
      <c r="B1379" s="8" t="s">
        <v>52</v>
      </c>
      <c r="C1379" s="9" t="s">
        <v>192</v>
      </c>
      <c r="D1379" s="9" t="s">
        <v>27</v>
      </c>
      <c r="E1379" s="9" t="s">
        <v>159</v>
      </c>
      <c r="F1379" s="10">
        <v>22999</v>
      </c>
      <c r="G1379" s="11">
        <v>2</v>
      </c>
      <c r="H1379" s="12">
        <v>0.08</v>
      </c>
      <c r="I1379" s="13">
        <v>3679.84</v>
      </c>
      <c r="J1379" s="13">
        <v>42318.16</v>
      </c>
      <c r="K1379" s="13">
        <v>9953.1299999999992</v>
      </c>
      <c r="L1379" s="8" t="s">
        <v>497</v>
      </c>
      <c r="M1379" s="19" t="s">
        <v>275</v>
      </c>
      <c r="N1379" s="9" t="s">
        <v>50</v>
      </c>
      <c r="O1379" s="9" t="s">
        <v>23</v>
      </c>
      <c r="P1379">
        <f>DATEVALUE(OnePlusSalesData[[#This Row],[order_date]])</f>
        <v>43408</v>
      </c>
      <c r="Q1379" s="28">
        <f>DATEVALUE(OnePlusSalesData[[#This Row],[delivery_date]])</f>
        <v>43415</v>
      </c>
    </row>
    <row r="1380" spans="1:17" ht="16" x14ac:dyDescent="0.45">
      <c r="A1380" s="2" t="s">
        <v>2455</v>
      </c>
      <c r="B1380" s="2" t="s">
        <v>16</v>
      </c>
      <c r="C1380" s="3" t="s">
        <v>17</v>
      </c>
      <c r="D1380" s="3" t="s">
        <v>40</v>
      </c>
      <c r="E1380" s="3" t="s">
        <v>406</v>
      </c>
      <c r="F1380" s="4">
        <v>48999</v>
      </c>
      <c r="G1380" s="5">
        <v>2</v>
      </c>
      <c r="H1380" s="6">
        <v>0.05</v>
      </c>
      <c r="I1380" s="7">
        <v>4899.8999999999996</v>
      </c>
      <c r="J1380" s="7">
        <v>93098.1</v>
      </c>
      <c r="K1380" s="7">
        <v>19885.2</v>
      </c>
      <c r="L1380" s="2" t="s">
        <v>1368</v>
      </c>
      <c r="M1380" s="18" t="s">
        <v>495</v>
      </c>
      <c r="N1380" s="3" t="s">
        <v>22</v>
      </c>
      <c r="O1380" s="3" t="s">
        <v>63</v>
      </c>
      <c r="P1380">
        <f>DATEVALUE(OnePlusSalesData[[#This Row],[order_date]])</f>
        <v>43224</v>
      </c>
      <c r="Q1380" s="28">
        <f>DATEVALUE(OnePlusSalesData[[#This Row],[delivery_date]])</f>
        <v>43229</v>
      </c>
    </row>
    <row r="1381" spans="1:17" ht="16" x14ac:dyDescent="0.45">
      <c r="A1381" s="8" t="s">
        <v>2456</v>
      </c>
      <c r="B1381" s="8" t="s">
        <v>58</v>
      </c>
      <c r="C1381" s="9" t="s">
        <v>257</v>
      </c>
      <c r="D1381" s="9" t="s">
        <v>40</v>
      </c>
      <c r="E1381" s="9" t="s">
        <v>47</v>
      </c>
      <c r="F1381" s="10">
        <v>37999</v>
      </c>
      <c r="G1381" s="11">
        <v>3</v>
      </c>
      <c r="H1381" s="12">
        <v>0.08</v>
      </c>
      <c r="I1381" s="13">
        <v>9119.76</v>
      </c>
      <c r="J1381" s="13">
        <v>104877.24</v>
      </c>
      <c r="K1381" s="13">
        <v>22398.080000000002</v>
      </c>
      <c r="L1381" s="8" t="s">
        <v>1560</v>
      </c>
      <c r="M1381" s="19" t="s">
        <v>202</v>
      </c>
      <c r="N1381" s="9" t="s">
        <v>22</v>
      </c>
      <c r="O1381" s="9" t="s">
        <v>23</v>
      </c>
      <c r="P1381">
        <f>DATEVALUE(OnePlusSalesData[[#This Row],[order_date]])</f>
        <v>43122</v>
      </c>
      <c r="Q1381" s="28">
        <f>DATEVALUE(OnePlusSalesData[[#This Row],[delivery_date]])</f>
        <v>43129</v>
      </c>
    </row>
    <row r="1382" spans="1:17" ht="16" x14ac:dyDescent="0.45">
      <c r="A1382" s="2" t="s">
        <v>2457</v>
      </c>
      <c r="B1382" s="2" t="s">
        <v>25</v>
      </c>
      <c r="C1382" s="3" t="s">
        <v>172</v>
      </c>
      <c r="D1382" s="3" t="s">
        <v>40</v>
      </c>
      <c r="E1382" s="3" t="s">
        <v>41</v>
      </c>
      <c r="F1382" s="4">
        <v>37999</v>
      </c>
      <c r="G1382" s="5">
        <v>2</v>
      </c>
      <c r="H1382" s="6">
        <v>0</v>
      </c>
      <c r="I1382" s="7">
        <v>0</v>
      </c>
      <c r="J1382" s="7">
        <v>75998</v>
      </c>
      <c r="K1382" s="7">
        <v>11962.68</v>
      </c>
      <c r="L1382" s="2" t="s">
        <v>1682</v>
      </c>
      <c r="M1382" s="18" t="s">
        <v>1306</v>
      </c>
      <c r="N1382" s="3" t="s">
        <v>22</v>
      </c>
      <c r="O1382" s="3" t="s">
        <v>23</v>
      </c>
      <c r="P1382">
        <f>DATEVALUE(OnePlusSalesData[[#This Row],[order_date]])</f>
        <v>43403</v>
      </c>
      <c r="Q1382" s="28">
        <f>DATEVALUE(OnePlusSalesData[[#This Row],[delivery_date]])</f>
        <v>43409</v>
      </c>
    </row>
    <row r="1383" spans="1:17" ht="16" x14ac:dyDescent="0.45">
      <c r="A1383" s="8" t="s">
        <v>2458</v>
      </c>
      <c r="B1383" s="8" t="s">
        <v>16</v>
      </c>
      <c r="C1383" s="9" t="s">
        <v>33</v>
      </c>
      <c r="D1383" s="9" t="s">
        <v>27</v>
      </c>
      <c r="E1383" s="9" t="s">
        <v>176</v>
      </c>
      <c r="F1383" s="10">
        <v>69900</v>
      </c>
      <c r="G1383" s="11">
        <v>2</v>
      </c>
      <c r="H1383" s="12">
        <v>0.05</v>
      </c>
      <c r="I1383" s="13">
        <v>6990</v>
      </c>
      <c r="J1383" s="13">
        <v>132810</v>
      </c>
      <c r="K1383" s="13">
        <v>29607.18</v>
      </c>
      <c r="L1383" s="8" t="s">
        <v>170</v>
      </c>
      <c r="M1383" s="19" t="s">
        <v>1582</v>
      </c>
      <c r="N1383" s="9" t="s">
        <v>92</v>
      </c>
      <c r="O1383" s="9" t="s">
        <v>96</v>
      </c>
      <c r="P1383">
        <f>DATEVALUE(OnePlusSalesData[[#This Row],[order_date]])</f>
        <v>44173</v>
      </c>
      <c r="Q1383" s="28">
        <f>DATEVALUE(OnePlusSalesData[[#This Row],[delivery_date]])</f>
        <v>44180</v>
      </c>
    </row>
    <row r="1384" spans="1:17" ht="16" x14ac:dyDescent="0.45">
      <c r="A1384" s="2" t="s">
        <v>2459</v>
      </c>
      <c r="B1384" s="2" t="s">
        <v>16</v>
      </c>
      <c r="C1384" s="3" t="s">
        <v>39</v>
      </c>
      <c r="D1384" s="3" t="s">
        <v>40</v>
      </c>
      <c r="E1384" s="3" t="s">
        <v>98</v>
      </c>
      <c r="F1384" s="4">
        <v>34999</v>
      </c>
      <c r="G1384" s="5">
        <v>1</v>
      </c>
      <c r="H1384" s="6">
        <v>0.05</v>
      </c>
      <c r="I1384" s="7">
        <v>1749.95</v>
      </c>
      <c r="J1384" s="7">
        <v>33249.050000000003</v>
      </c>
      <c r="K1384" s="7">
        <v>6150.4</v>
      </c>
      <c r="L1384" s="2" t="s">
        <v>2460</v>
      </c>
      <c r="M1384" s="18" t="s">
        <v>1252</v>
      </c>
      <c r="N1384" s="3" t="s">
        <v>92</v>
      </c>
      <c r="O1384" s="3" t="s">
        <v>63</v>
      </c>
      <c r="P1384">
        <f>DATEVALUE(OnePlusSalesData[[#This Row],[order_date]])</f>
        <v>43629</v>
      </c>
      <c r="Q1384" s="28">
        <f>DATEVALUE(OnePlusSalesData[[#This Row],[delivery_date]])</f>
        <v>43635</v>
      </c>
    </row>
    <row r="1385" spans="1:17" ht="16" x14ac:dyDescent="0.45">
      <c r="A1385" s="8" t="s">
        <v>2461</v>
      </c>
      <c r="B1385" s="8" t="s">
        <v>25</v>
      </c>
      <c r="C1385" s="9" t="s">
        <v>26</v>
      </c>
      <c r="D1385" s="9" t="s">
        <v>40</v>
      </c>
      <c r="E1385" s="9" t="s">
        <v>54</v>
      </c>
      <c r="F1385" s="10">
        <v>53999</v>
      </c>
      <c r="G1385" s="11">
        <v>1</v>
      </c>
      <c r="H1385" s="12">
        <v>0.05</v>
      </c>
      <c r="I1385" s="13">
        <v>2699.95</v>
      </c>
      <c r="J1385" s="13">
        <v>51299.05</v>
      </c>
      <c r="K1385" s="13">
        <v>11800.96</v>
      </c>
      <c r="L1385" s="8" t="s">
        <v>1593</v>
      </c>
      <c r="M1385" s="19" t="s">
        <v>586</v>
      </c>
      <c r="N1385" s="9" t="s">
        <v>22</v>
      </c>
      <c r="O1385" s="9" t="s">
        <v>31</v>
      </c>
      <c r="P1385">
        <f>DATEVALUE(OnePlusSalesData[[#This Row],[order_date]])</f>
        <v>43657</v>
      </c>
      <c r="Q1385" s="28">
        <f>DATEVALUE(OnePlusSalesData[[#This Row],[delivery_date]])</f>
        <v>43660</v>
      </c>
    </row>
    <row r="1386" spans="1:17" ht="16" x14ac:dyDescent="0.45">
      <c r="A1386" s="2" t="s">
        <v>2462</v>
      </c>
      <c r="B1386" s="2" t="s">
        <v>16</v>
      </c>
      <c r="C1386" s="3" t="s">
        <v>39</v>
      </c>
      <c r="D1386" s="3" t="s">
        <v>40</v>
      </c>
      <c r="E1386" s="3" t="s">
        <v>406</v>
      </c>
      <c r="F1386" s="4">
        <v>48999</v>
      </c>
      <c r="G1386" s="5">
        <v>1</v>
      </c>
      <c r="H1386" s="6">
        <v>0.15</v>
      </c>
      <c r="I1386" s="7">
        <v>7349.85</v>
      </c>
      <c r="J1386" s="7">
        <v>41649.15</v>
      </c>
      <c r="K1386" s="7">
        <v>7710.84</v>
      </c>
      <c r="L1386" s="2" t="s">
        <v>1076</v>
      </c>
      <c r="M1386" s="18" t="s">
        <v>267</v>
      </c>
      <c r="N1386" s="3" t="s">
        <v>22</v>
      </c>
      <c r="O1386" s="3" t="s">
        <v>63</v>
      </c>
      <c r="P1386">
        <f>DATEVALUE(OnePlusSalesData[[#This Row],[order_date]])</f>
        <v>44130</v>
      </c>
      <c r="Q1386" s="28">
        <f>DATEVALUE(OnePlusSalesData[[#This Row],[delivery_date]])</f>
        <v>44134</v>
      </c>
    </row>
    <row r="1387" spans="1:17" ht="16" x14ac:dyDescent="0.45">
      <c r="A1387" s="8" t="s">
        <v>2463</v>
      </c>
      <c r="B1387" s="8" t="s">
        <v>25</v>
      </c>
      <c r="C1387" s="9" t="s">
        <v>120</v>
      </c>
      <c r="D1387" s="9" t="s">
        <v>85</v>
      </c>
      <c r="E1387" s="9" t="s">
        <v>86</v>
      </c>
      <c r="F1387" s="10">
        <v>1999</v>
      </c>
      <c r="G1387" s="11">
        <v>4</v>
      </c>
      <c r="H1387" s="12">
        <v>0</v>
      </c>
      <c r="I1387" s="13">
        <v>0</v>
      </c>
      <c r="J1387" s="13">
        <v>7996</v>
      </c>
      <c r="K1387" s="13">
        <v>1853.05</v>
      </c>
      <c r="L1387" s="8" t="s">
        <v>856</v>
      </c>
      <c r="M1387" s="19" t="s">
        <v>498</v>
      </c>
      <c r="N1387" s="9" t="s">
        <v>22</v>
      </c>
      <c r="O1387" s="9" t="s">
        <v>23</v>
      </c>
      <c r="P1387">
        <f>DATEVALUE(OnePlusSalesData[[#This Row],[order_date]])</f>
        <v>43406</v>
      </c>
      <c r="Q1387" s="28">
        <f>DATEVALUE(OnePlusSalesData[[#This Row],[delivery_date]])</f>
        <v>43411</v>
      </c>
    </row>
    <row r="1388" spans="1:17" ht="16" x14ac:dyDescent="0.45">
      <c r="A1388" s="2" t="s">
        <v>2464</v>
      </c>
      <c r="B1388" s="2" t="s">
        <v>16</v>
      </c>
      <c r="C1388" s="3" t="s">
        <v>17</v>
      </c>
      <c r="D1388" s="3" t="s">
        <v>27</v>
      </c>
      <c r="E1388" s="3" t="s">
        <v>176</v>
      </c>
      <c r="F1388" s="4">
        <v>69900</v>
      </c>
      <c r="G1388" s="5">
        <v>1</v>
      </c>
      <c r="H1388" s="6">
        <v>0.05</v>
      </c>
      <c r="I1388" s="7">
        <v>3495</v>
      </c>
      <c r="J1388" s="7">
        <v>66405</v>
      </c>
      <c r="K1388" s="7">
        <v>11691.99</v>
      </c>
      <c r="L1388" s="2" t="s">
        <v>395</v>
      </c>
      <c r="M1388" s="18" t="s">
        <v>1009</v>
      </c>
      <c r="N1388" s="3" t="s">
        <v>50</v>
      </c>
      <c r="O1388" s="3" t="s">
        <v>31</v>
      </c>
      <c r="P1388">
        <f>DATEVALUE(OnePlusSalesData[[#This Row],[order_date]])</f>
        <v>43167</v>
      </c>
      <c r="Q1388" s="28">
        <f>DATEVALUE(OnePlusSalesData[[#This Row],[delivery_date]])</f>
        <v>43172</v>
      </c>
    </row>
    <row r="1389" spans="1:17" ht="16" x14ac:dyDescent="0.45">
      <c r="A1389" s="8" t="s">
        <v>2465</v>
      </c>
      <c r="B1389" s="8" t="s">
        <v>25</v>
      </c>
      <c r="C1389" s="9" t="s">
        <v>120</v>
      </c>
      <c r="D1389" s="9" t="s">
        <v>34</v>
      </c>
      <c r="E1389" s="9" t="s">
        <v>35</v>
      </c>
      <c r="F1389" s="10">
        <v>19999</v>
      </c>
      <c r="G1389" s="11">
        <v>1</v>
      </c>
      <c r="H1389" s="12">
        <v>0.1</v>
      </c>
      <c r="I1389" s="13">
        <v>1999.9</v>
      </c>
      <c r="J1389" s="13">
        <v>17999.099999999999</v>
      </c>
      <c r="K1389" s="13">
        <v>4617.51</v>
      </c>
      <c r="L1389" s="8" t="s">
        <v>711</v>
      </c>
      <c r="M1389" s="19" t="s">
        <v>799</v>
      </c>
      <c r="N1389" s="9" t="s">
        <v>44</v>
      </c>
      <c r="O1389" s="9" t="s">
        <v>23</v>
      </c>
      <c r="P1389">
        <f>DATEVALUE(OnePlusSalesData[[#This Row],[order_date]])</f>
        <v>43279</v>
      </c>
      <c r="Q1389" s="28">
        <f>DATEVALUE(OnePlusSalesData[[#This Row],[delivery_date]])</f>
        <v>43281</v>
      </c>
    </row>
    <row r="1390" spans="1:17" ht="16" x14ac:dyDescent="0.45">
      <c r="A1390" s="2" t="s">
        <v>2466</v>
      </c>
      <c r="B1390" s="2" t="s">
        <v>16</v>
      </c>
      <c r="C1390" s="3" t="s">
        <v>152</v>
      </c>
      <c r="D1390" s="3" t="s">
        <v>18</v>
      </c>
      <c r="E1390" s="3" t="s">
        <v>124</v>
      </c>
      <c r="F1390" s="4">
        <v>3990</v>
      </c>
      <c r="G1390" s="5">
        <v>1</v>
      </c>
      <c r="H1390" s="6">
        <v>0.1</v>
      </c>
      <c r="I1390" s="7">
        <v>399</v>
      </c>
      <c r="J1390" s="7">
        <v>3591</v>
      </c>
      <c r="K1390" s="7">
        <v>791.63</v>
      </c>
      <c r="L1390" s="2" t="s">
        <v>249</v>
      </c>
      <c r="M1390" s="18" t="s">
        <v>322</v>
      </c>
      <c r="N1390" s="3" t="s">
        <v>22</v>
      </c>
      <c r="O1390" s="3" t="s">
        <v>23</v>
      </c>
      <c r="P1390">
        <f>DATEVALUE(OnePlusSalesData[[#This Row],[order_date]])</f>
        <v>43213</v>
      </c>
      <c r="Q1390" s="28">
        <f>DATEVALUE(OnePlusSalesData[[#This Row],[delivery_date]])</f>
        <v>43217</v>
      </c>
    </row>
    <row r="1391" spans="1:17" ht="16" x14ac:dyDescent="0.45">
      <c r="A1391" s="8" t="s">
        <v>2467</v>
      </c>
      <c r="B1391" s="8" t="s">
        <v>16</v>
      </c>
      <c r="C1391" s="9" t="s">
        <v>39</v>
      </c>
      <c r="D1391" s="9" t="s">
        <v>18</v>
      </c>
      <c r="E1391" s="9" t="s">
        <v>102</v>
      </c>
      <c r="F1391" s="10">
        <v>1490</v>
      </c>
      <c r="G1391" s="11">
        <v>1</v>
      </c>
      <c r="H1391" s="12">
        <v>0.05</v>
      </c>
      <c r="I1391" s="13">
        <v>74.5</v>
      </c>
      <c r="J1391" s="13">
        <v>1415.5</v>
      </c>
      <c r="K1391" s="13">
        <v>361.21</v>
      </c>
      <c r="L1391" s="8" t="s">
        <v>1657</v>
      </c>
      <c r="M1391" s="19" t="s">
        <v>986</v>
      </c>
      <c r="N1391" s="9" t="s">
        <v>22</v>
      </c>
      <c r="O1391" s="9" t="s">
        <v>63</v>
      </c>
      <c r="P1391">
        <f>DATEVALUE(OnePlusSalesData[[#This Row],[order_date]])</f>
        <v>43727</v>
      </c>
      <c r="Q1391" s="28">
        <f>DATEVALUE(OnePlusSalesData[[#This Row],[delivery_date]])</f>
        <v>43731</v>
      </c>
    </row>
    <row r="1392" spans="1:17" ht="16" x14ac:dyDescent="0.45">
      <c r="A1392" s="2" t="s">
        <v>2468</v>
      </c>
      <c r="B1392" s="2" t="s">
        <v>16</v>
      </c>
      <c r="C1392" s="3" t="s">
        <v>39</v>
      </c>
      <c r="D1392" s="3" t="s">
        <v>27</v>
      </c>
      <c r="E1392" s="3" t="s">
        <v>28</v>
      </c>
      <c r="F1392" s="4">
        <v>12999</v>
      </c>
      <c r="G1392" s="5">
        <v>1</v>
      </c>
      <c r="H1392" s="6">
        <v>0.08</v>
      </c>
      <c r="I1392" s="7">
        <v>1039.92</v>
      </c>
      <c r="J1392" s="7">
        <v>11959.08</v>
      </c>
      <c r="K1392" s="7">
        <v>2697.09</v>
      </c>
      <c r="L1392" s="2" t="s">
        <v>1729</v>
      </c>
      <c r="M1392" s="18" t="s">
        <v>2469</v>
      </c>
      <c r="N1392" s="3" t="s">
        <v>22</v>
      </c>
      <c r="O1392" s="3" t="s">
        <v>23</v>
      </c>
      <c r="P1392">
        <f>DATEVALUE(OnePlusSalesData[[#This Row],[order_date]])</f>
        <v>43173</v>
      </c>
      <c r="Q1392" s="28">
        <f>DATEVALUE(OnePlusSalesData[[#This Row],[delivery_date]])</f>
        <v>43175</v>
      </c>
    </row>
    <row r="1393" spans="1:17" ht="16" x14ac:dyDescent="0.45">
      <c r="A1393" s="8" t="s">
        <v>2470</v>
      </c>
      <c r="B1393" s="8" t="s">
        <v>58</v>
      </c>
      <c r="C1393" s="9" t="s">
        <v>81</v>
      </c>
      <c r="D1393" s="9" t="s">
        <v>40</v>
      </c>
      <c r="E1393" s="9" t="s">
        <v>98</v>
      </c>
      <c r="F1393" s="10">
        <v>34999</v>
      </c>
      <c r="G1393" s="11">
        <v>3</v>
      </c>
      <c r="H1393" s="12">
        <v>0.08</v>
      </c>
      <c r="I1393" s="13">
        <v>8399.76</v>
      </c>
      <c r="J1393" s="13">
        <v>96597.24</v>
      </c>
      <c r="K1393" s="13">
        <v>17032.75</v>
      </c>
      <c r="L1393" s="8" t="s">
        <v>659</v>
      </c>
      <c r="M1393" s="19" t="s">
        <v>239</v>
      </c>
      <c r="N1393" s="9" t="s">
        <v>22</v>
      </c>
      <c r="O1393" s="9" t="s">
        <v>146</v>
      </c>
      <c r="P1393">
        <f>DATEVALUE(OnePlusSalesData[[#This Row],[order_date]])</f>
        <v>43948</v>
      </c>
      <c r="Q1393" s="28">
        <f>DATEVALUE(OnePlusSalesData[[#This Row],[delivery_date]])</f>
        <v>43953</v>
      </c>
    </row>
    <row r="1394" spans="1:17" ht="16" x14ac:dyDescent="0.45">
      <c r="A1394" s="2" t="s">
        <v>2471</v>
      </c>
      <c r="B1394" s="2" t="s">
        <v>52</v>
      </c>
      <c r="C1394" s="3" t="s">
        <v>192</v>
      </c>
      <c r="D1394" s="3" t="s">
        <v>40</v>
      </c>
      <c r="E1394" s="3" t="s">
        <v>47</v>
      </c>
      <c r="F1394" s="4">
        <v>37999</v>
      </c>
      <c r="G1394" s="5">
        <v>1</v>
      </c>
      <c r="H1394" s="6">
        <v>0.05</v>
      </c>
      <c r="I1394" s="7">
        <v>1899.95</v>
      </c>
      <c r="J1394" s="7">
        <v>36099.050000000003</v>
      </c>
      <c r="K1394" s="7">
        <v>5401.32</v>
      </c>
      <c r="L1394" s="2" t="s">
        <v>2472</v>
      </c>
      <c r="M1394" s="18" t="s">
        <v>569</v>
      </c>
      <c r="N1394" s="3" t="s">
        <v>92</v>
      </c>
      <c r="O1394" s="3" t="s">
        <v>63</v>
      </c>
      <c r="P1394">
        <f>DATEVALUE(OnePlusSalesData[[#This Row],[order_date]])</f>
        <v>43550</v>
      </c>
      <c r="Q1394" s="28">
        <f>DATEVALUE(OnePlusSalesData[[#This Row],[delivery_date]])</f>
        <v>43557</v>
      </c>
    </row>
    <row r="1395" spans="1:17" ht="16" x14ac:dyDescent="0.45">
      <c r="A1395" s="8" t="s">
        <v>2473</v>
      </c>
      <c r="B1395" s="8" t="s">
        <v>16</v>
      </c>
      <c r="C1395" s="9" t="s">
        <v>152</v>
      </c>
      <c r="D1395" s="9" t="s">
        <v>40</v>
      </c>
      <c r="E1395" s="9" t="s">
        <v>54</v>
      </c>
      <c r="F1395" s="10">
        <v>53999</v>
      </c>
      <c r="G1395" s="11">
        <v>1</v>
      </c>
      <c r="H1395" s="12">
        <v>0.05</v>
      </c>
      <c r="I1395" s="13">
        <v>2699.95</v>
      </c>
      <c r="J1395" s="13">
        <v>51299.05</v>
      </c>
      <c r="K1395" s="13">
        <v>9801.2000000000007</v>
      </c>
      <c r="L1395" s="8" t="s">
        <v>793</v>
      </c>
      <c r="M1395" s="19" t="s">
        <v>154</v>
      </c>
      <c r="N1395" s="9" t="s">
        <v>22</v>
      </c>
      <c r="O1395" s="9" t="s">
        <v>23</v>
      </c>
      <c r="P1395">
        <f>DATEVALUE(OnePlusSalesData[[#This Row],[order_date]])</f>
        <v>43677</v>
      </c>
      <c r="Q1395" s="28">
        <f>DATEVALUE(OnePlusSalesData[[#This Row],[delivery_date]])</f>
        <v>43682</v>
      </c>
    </row>
    <row r="1396" spans="1:17" ht="16" x14ac:dyDescent="0.45">
      <c r="A1396" s="2" t="s">
        <v>2474</v>
      </c>
      <c r="B1396" s="2" t="s">
        <v>16</v>
      </c>
      <c r="C1396" s="3" t="s">
        <v>140</v>
      </c>
      <c r="D1396" s="3" t="s">
        <v>34</v>
      </c>
      <c r="E1396" s="3" t="s">
        <v>77</v>
      </c>
      <c r="F1396" s="4">
        <v>24999</v>
      </c>
      <c r="G1396" s="5">
        <v>3</v>
      </c>
      <c r="H1396" s="6">
        <v>0.08</v>
      </c>
      <c r="I1396" s="7">
        <v>5999.76</v>
      </c>
      <c r="J1396" s="7">
        <v>68997.240000000005</v>
      </c>
      <c r="K1396" s="7">
        <v>14415.73</v>
      </c>
      <c r="L1396" s="2" t="s">
        <v>2309</v>
      </c>
      <c r="M1396" s="18" t="s">
        <v>1765</v>
      </c>
      <c r="N1396" s="3" t="s">
        <v>22</v>
      </c>
      <c r="O1396" s="3" t="s">
        <v>63</v>
      </c>
      <c r="P1396">
        <f>DATEVALUE(OnePlusSalesData[[#This Row],[order_date]])</f>
        <v>43702</v>
      </c>
      <c r="Q1396" s="28">
        <f>DATEVALUE(OnePlusSalesData[[#This Row],[delivery_date]])</f>
        <v>43709</v>
      </c>
    </row>
    <row r="1397" spans="1:17" ht="16" x14ac:dyDescent="0.45">
      <c r="A1397" s="8" t="s">
        <v>2475</v>
      </c>
      <c r="B1397" s="8" t="s">
        <v>16</v>
      </c>
      <c r="C1397" s="9" t="s">
        <v>140</v>
      </c>
      <c r="D1397" s="9" t="s">
        <v>34</v>
      </c>
      <c r="E1397" s="9" t="s">
        <v>77</v>
      </c>
      <c r="F1397" s="10">
        <v>24999</v>
      </c>
      <c r="G1397" s="11">
        <v>3</v>
      </c>
      <c r="H1397" s="12">
        <v>0.05</v>
      </c>
      <c r="I1397" s="13">
        <v>3749.85</v>
      </c>
      <c r="J1397" s="13">
        <v>71247.149999999994</v>
      </c>
      <c r="K1397" s="13">
        <v>13288.16</v>
      </c>
      <c r="L1397" s="8" t="s">
        <v>1425</v>
      </c>
      <c r="M1397" s="19" t="s">
        <v>1748</v>
      </c>
      <c r="N1397" s="9" t="s">
        <v>44</v>
      </c>
      <c r="O1397" s="9" t="s">
        <v>63</v>
      </c>
      <c r="P1397">
        <f>DATEVALUE(OnePlusSalesData[[#This Row],[order_date]])</f>
        <v>43719</v>
      </c>
      <c r="Q1397" s="28">
        <f>DATEVALUE(OnePlusSalesData[[#This Row],[delivery_date]])</f>
        <v>43726</v>
      </c>
    </row>
    <row r="1398" spans="1:17" ht="16" x14ac:dyDescent="0.45">
      <c r="A1398" s="2" t="s">
        <v>2476</v>
      </c>
      <c r="B1398" s="2" t="s">
        <v>52</v>
      </c>
      <c r="C1398" s="3" t="s">
        <v>358</v>
      </c>
      <c r="D1398" s="3" t="s">
        <v>85</v>
      </c>
      <c r="E1398" s="3" t="s">
        <v>258</v>
      </c>
      <c r="F1398" s="4">
        <v>2999</v>
      </c>
      <c r="G1398" s="5">
        <v>3</v>
      </c>
      <c r="H1398" s="6">
        <v>0</v>
      </c>
      <c r="I1398" s="7">
        <v>0</v>
      </c>
      <c r="J1398" s="7">
        <v>8997</v>
      </c>
      <c r="K1398" s="7">
        <v>1921.66</v>
      </c>
      <c r="L1398" s="2" t="s">
        <v>873</v>
      </c>
      <c r="M1398" s="18" t="s">
        <v>874</v>
      </c>
      <c r="N1398" s="3" t="s">
        <v>22</v>
      </c>
      <c r="O1398" s="3" t="s">
        <v>23</v>
      </c>
      <c r="P1398">
        <f>DATEVALUE(OnePlusSalesData[[#This Row],[order_date]])</f>
        <v>43759</v>
      </c>
      <c r="Q1398" s="28">
        <f>DATEVALUE(OnePlusSalesData[[#This Row],[delivery_date]])</f>
        <v>43764</v>
      </c>
    </row>
    <row r="1399" spans="1:17" ht="16" x14ac:dyDescent="0.45">
      <c r="A1399" s="8" t="s">
        <v>2477</v>
      </c>
      <c r="B1399" s="8" t="s">
        <v>16</v>
      </c>
      <c r="C1399" s="9" t="s">
        <v>152</v>
      </c>
      <c r="D1399" s="9" t="s">
        <v>18</v>
      </c>
      <c r="E1399" s="9" t="s">
        <v>179</v>
      </c>
      <c r="F1399" s="10">
        <v>1290</v>
      </c>
      <c r="G1399" s="11">
        <v>1</v>
      </c>
      <c r="H1399" s="12">
        <v>0.05</v>
      </c>
      <c r="I1399" s="13">
        <v>64.5</v>
      </c>
      <c r="J1399" s="13">
        <v>1225.5</v>
      </c>
      <c r="K1399" s="13">
        <v>225.5</v>
      </c>
      <c r="L1399" s="8" t="s">
        <v>1210</v>
      </c>
      <c r="M1399" s="19" t="s">
        <v>1438</v>
      </c>
      <c r="N1399" s="9" t="s">
        <v>22</v>
      </c>
      <c r="O1399" s="9" t="s">
        <v>31</v>
      </c>
      <c r="P1399">
        <f>DATEVALUE(OnePlusSalesData[[#This Row],[order_date]])</f>
        <v>44001</v>
      </c>
      <c r="Q1399" s="28">
        <f>DATEVALUE(OnePlusSalesData[[#This Row],[delivery_date]])</f>
        <v>44008</v>
      </c>
    </row>
    <row r="1400" spans="1:17" ht="16" x14ac:dyDescent="0.45">
      <c r="A1400" s="2" t="s">
        <v>2478</v>
      </c>
      <c r="B1400" s="2" t="s">
        <v>58</v>
      </c>
      <c r="C1400" s="3" t="s">
        <v>257</v>
      </c>
      <c r="D1400" s="3" t="s">
        <v>18</v>
      </c>
      <c r="E1400" s="3" t="s">
        <v>19</v>
      </c>
      <c r="F1400" s="4">
        <v>1990</v>
      </c>
      <c r="G1400" s="5">
        <v>2</v>
      </c>
      <c r="H1400" s="6">
        <v>0.08</v>
      </c>
      <c r="I1400" s="7">
        <v>318.39999999999998</v>
      </c>
      <c r="J1400" s="7">
        <v>3661.6</v>
      </c>
      <c r="K1400" s="7">
        <v>603.4</v>
      </c>
      <c r="L1400" s="2" t="s">
        <v>367</v>
      </c>
      <c r="M1400" s="18" t="s">
        <v>2479</v>
      </c>
      <c r="N1400" s="3" t="s">
        <v>50</v>
      </c>
      <c r="O1400" s="3" t="s">
        <v>63</v>
      </c>
      <c r="P1400">
        <f>DATEVALUE(OnePlusSalesData[[#This Row],[order_date]])</f>
        <v>43848</v>
      </c>
      <c r="Q1400" s="28">
        <f>DATEVALUE(OnePlusSalesData[[#This Row],[delivery_date]])</f>
        <v>43850</v>
      </c>
    </row>
    <row r="1401" spans="1:17" ht="16" x14ac:dyDescent="0.45">
      <c r="A1401" s="8" t="s">
        <v>2480</v>
      </c>
      <c r="B1401" s="8" t="s">
        <v>16</v>
      </c>
      <c r="C1401" s="9" t="s">
        <v>39</v>
      </c>
      <c r="D1401" s="9" t="s">
        <v>85</v>
      </c>
      <c r="E1401" s="9" t="s">
        <v>265</v>
      </c>
      <c r="F1401" s="10">
        <v>4990</v>
      </c>
      <c r="G1401" s="11">
        <v>1</v>
      </c>
      <c r="H1401" s="12">
        <v>0.1</v>
      </c>
      <c r="I1401" s="13">
        <v>499</v>
      </c>
      <c r="J1401" s="13">
        <v>4491</v>
      </c>
      <c r="K1401" s="13">
        <v>960.63</v>
      </c>
      <c r="L1401" s="8" t="s">
        <v>982</v>
      </c>
      <c r="M1401" s="19" t="s">
        <v>1669</v>
      </c>
      <c r="N1401" s="9" t="s">
        <v>22</v>
      </c>
      <c r="O1401" s="9" t="s">
        <v>63</v>
      </c>
      <c r="P1401">
        <f>DATEVALUE(OnePlusSalesData[[#This Row],[order_date]])</f>
        <v>43976</v>
      </c>
      <c r="Q1401" s="28">
        <f>DATEVALUE(OnePlusSalesData[[#This Row],[delivery_date]])</f>
        <v>43978</v>
      </c>
    </row>
    <row r="1402" spans="1:17" ht="16" x14ac:dyDescent="0.45">
      <c r="A1402" s="2" t="s">
        <v>2481</v>
      </c>
      <c r="B1402" s="2" t="s">
        <v>58</v>
      </c>
      <c r="C1402" s="3" t="s">
        <v>113</v>
      </c>
      <c r="D1402" s="3" t="s">
        <v>27</v>
      </c>
      <c r="E1402" s="3" t="s">
        <v>159</v>
      </c>
      <c r="F1402" s="4">
        <v>22999</v>
      </c>
      <c r="G1402" s="5">
        <v>1</v>
      </c>
      <c r="H1402" s="6">
        <v>0.05</v>
      </c>
      <c r="I1402" s="7">
        <v>1149.95</v>
      </c>
      <c r="J1402" s="7">
        <v>21849.05</v>
      </c>
      <c r="K1402" s="7">
        <v>5619.25</v>
      </c>
      <c r="L1402" s="2" t="s">
        <v>117</v>
      </c>
      <c r="M1402" s="18" t="s">
        <v>118</v>
      </c>
      <c r="N1402" s="3" t="s">
        <v>22</v>
      </c>
      <c r="O1402" s="3" t="s">
        <v>63</v>
      </c>
      <c r="P1402">
        <f>DATEVALUE(OnePlusSalesData[[#This Row],[order_date]])</f>
        <v>43504</v>
      </c>
      <c r="Q1402" s="28">
        <f>DATEVALUE(OnePlusSalesData[[#This Row],[delivery_date]])</f>
        <v>43511</v>
      </c>
    </row>
    <row r="1403" spans="1:17" ht="16" x14ac:dyDescent="0.45">
      <c r="A1403" s="8" t="s">
        <v>2482</v>
      </c>
      <c r="B1403" s="8" t="s">
        <v>16</v>
      </c>
      <c r="C1403" s="9" t="s">
        <v>17</v>
      </c>
      <c r="D1403" s="9" t="s">
        <v>40</v>
      </c>
      <c r="E1403" s="9" t="s">
        <v>148</v>
      </c>
      <c r="F1403" s="10">
        <v>41999</v>
      </c>
      <c r="G1403" s="11">
        <v>1</v>
      </c>
      <c r="H1403" s="12">
        <v>0.05</v>
      </c>
      <c r="I1403" s="13">
        <v>2099.9499999999998</v>
      </c>
      <c r="J1403" s="13">
        <v>39899.050000000003</v>
      </c>
      <c r="K1403" s="13">
        <v>10020.469999999999</v>
      </c>
      <c r="L1403" s="8" t="s">
        <v>125</v>
      </c>
      <c r="M1403" s="19" t="s">
        <v>107</v>
      </c>
      <c r="N1403" s="9" t="s">
        <v>22</v>
      </c>
      <c r="O1403" s="9" t="s">
        <v>63</v>
      </c>
      <c r="P1403">
        <f>DATEVALUE(OnePlusSalesData[[#This Row],[order_date]])</f>
        <v>43498</v>
      </c>
      <c r="Q1403" s="28">
        <f>DATEVALUE(OnePlusSalesData[[#This Row],[delivery_date]])</f>
        <v>43503</v>
      </c>
    </row>
    <row r="1404" spans="1:17" ht="16" x14ac:dyDescent="0.45">
      <c r="A1404" s="2" t="s">
        <v>2483</v>
      </c>
      <c r="B1404" s="2" t="s">
        <v>25</v>
      </c>
      <c r="C1404" s="3" t="s">
        <v>65</v>
      </c>
      <c r="D1404" s="3" t="s">
        <v>40</v>
      </c>
      <c r="E1404" s="3" t="s">
        <v>406</v>
      </c>
      <c r="F1404" s="4">
        <v>48999</v>
      </c>
      <c r="G1404" s="5">
        <v>1</v>
      </c>
      <c r="H1404" s="6">
        <v>0.08</v>
      </c>
      <c r="I1404" s="7">
        <v>3919.92</v>
      </c>
      <c r="J1404" s="7">
        <v>45079.08</v>
      </c>
      <c r="K1404" s="7">
        <v>7305.01</v>
      </c>
      <c r="L1404" s="2" t="s">
        <v>1640</v>
      </c>
      <c r="M1404" s="18" t="s">
        <v>783</v>
      </c>
      <c r="N1404" s="3" t="s">
        <v>22</v>
      </c>
      <c r="O1404" s="3" t="s">
        <v>146</v>
      </c>
      <c r="P1404">
        <f>DATEVALUE(OnePlusSalesData[[#This Row],[order_date]])</f>
        <v>44144</v>
      </c>
      <c r="Q1404" s="28">
        <f>DATEVALUE(OnePlusSalesData[[#This Row],[delivery_date]])</f>
        <v>44151</v>
      </c>
    </row>
    <row r="1405" spans="1:17" ht="16" x14ac:dyDescent="0.45">
      <c r="A1405" s="8" t="s">
        <v>2484</v>
      </c>
      <c r="B1405" s="8" t="s">
        <v>25</v>
      </c>
      <c r="C1405" s="9" t="s">
        <v>120</v>
      </c>
      <c r="D1405" s="9" t="s">
        <v>40</v>
      </c>
      <c r="E1405" s="9" t="s">
        <v>47</v>
      </c>
      <c r="F1405" s="10">
        <v>37999</v>
      </c>
      <c r="G1405" s="11">
        <v>1</v>
      </c>
      <c r="H1405" s="12">
        <v>0.05</v>
      </c>
      <c r="I1405" s="13">
        <v>1899.95</v>
      </c>
      <c r="J1405" s="13">
        <v>36099.050000000003</v>
      </c>
      <c r="K1405" s="13">
        <v>5160.67</v>
      </c>
      <c r="L1405" s="8" t="s">
        <v>1110</v>
      </c>
      <c r="M1405" s="19" t="s">
        <v>1831</v>
      </c>
      <c r="N1405" s="9" t="s">
        <v>50</v>
      </c>
      <c r="O1405" s="9" t="s">
        <v>23</v>
      </c>
      <c r="P1405">
        <f>DATEVALUE(OnePlusSalesData[[#This Row],[order_date]])</f>
        <v>43114</v>
      </c>
      <c r="Q1405" s="28">
        <f>DATEVALUE(OnePlusSalesData[[#This Row],[delivery_date]])</f>
        <v>43118</v>
      </c>
    </row>
    <row r="1406" spans="1:17" ht="16" x14ac:dyDescent="0.45">
      <c r="A1406" s="2" t="s">
        <v>2485</v>
      </c>
      <c r="B1406" s="2" t="s">
        <v>58</v>
      </c>
      <c r="C1406" s="3" t="s">
        <v>257</v>
      </c>
      <c r="D1406" s="3" t="s">
        <v>40</v>
      </c>
      <c r="E1406" s="3" t="s">
        <v>47</v>
      </c>
      <c r="F1406" s="4">
        <v>37999</v>
      </c>
      <c r="G1406" s="5">
        <v>1</v>
      </c>
      <c r="H1406" s="6">
        <v>0</v>
      </c>
      <c r="I1406" s="7">
        <v>0</v>
      </c>
      <c r="J1406" s="7">
        <v>37999</v>
      </c>
      <c r="K1406" s="7">
        <v>9833.42</v>
      </c>
      <c r="L1406" s="2" t="s">
        <v>1132</v>
      </c>
      <c r="M1406" s="18" t="s">
        <v>1025</v>
      </c>
      <c r="N1406" s="3" t="s">
        <v>92</v>
      </c>
      <c r="O1406" s="3" t="s">
        <v>45</v>
      </c>
      <c r="P1406">
        <f>DATEVALUE(OnePlusSalesData[[#This Row],[order_date]])</f>
        <v>43237</v>
      </c>
      <c r="Q1406" s="28">
        <f>DATEVALUE(OnePlusSalesData[[#This Row],[delivery_date]])</f>
        <v>43240</v>
      </c>
    </row>
    <row r="1407" spans="1:17" ht="16" x14ac:dyDescent="0.45">
      <c r="A1407" s="8" t="s">
        <v>2486</v>
      </c>
      <c r="B1407" s="8" t="s">
        <v>25</v>
      </c>
      <c r="C1407" s="9" t="s">
        <v>172</v>
      </c>
      <c r="D1407" s="9" t="s">
        <v>18</v>
      </c>
      <c r="E1407" s="9" t="s">
        <v>124</v>
      </c>
      <c r="F1407" s="10">
        <v>3990</v>
      </c>
      <c r="G1407" s="11">
        <v>2</v>
      </c>
      <c r="H1407" s="12">
        <v>0.08</v>
      </c>
      <c r="I1407" s="13">
        <v>638.4</v>
      </c>
      <c r="J1407" s="13">
        <v>7341.6</v>
      </c>
      <c r="K1407" s="13">
        <v>1904.15</v>
      </c>
      <c r="L1407" s="8" t="s">
        <v>2244</v>
      </c>
      <c r="M1407" s="19" t="s">
        <v>412</v>
      </c>
      <c r="N1407" s="9" t="s">
        <v>50</v>
      </c>
      <c r="O1407" s="9" t="s">
        <v>31</v>
      </c>
      <c r="P1407">
        <f>DATEVALUE(OnePlusSalesData[[#This Row],[order_date]])</f>
        <v>44069</v>
      </c>
      <c r="Q1407" s="28">
        <f>DATEVALUE(OnePlusSalesData[[#This Row],[delivery_date]])</f>
        <v>44075</v>
      </c>
    </row>
    <row r="1408" spans="1:17" ht="16" x14ac:dyDescent="0.45">
      <c r="A1408" s="2" t="s">
        <v>2487</v>
      </c>
      <c r="B1408" s="2" t="s">
        <v>25</v>
      </c>
      <c r="C1408" s="3" t="s">
        <v>133</v>
      </c>
      <c r="D1408" s="3" t="s">
        <v>85</v>
      </c>
      <c r="E1408" s="3" t="s">
        <v>258</v>
      </c>
      <c r="F1408" s="4">
        <v>2999</v>
      </c>
      <c r="G1408" s="5">
        <v>3</v>
      </c>
      <c r="H1408" s="6">
        <v>0.05</v>
      </c>
      <c r="I1408" s="7">
        <v>449.85</v>
      </c>
      <c r="J1408" s="7">
        <v>8547.15</v>
      </c>
      <c r="K1408" s="7">
        <v>1621.51</v>
      </c>
      <c r="L1408" s="2" t="s">
        <v>88</v>
      </c>
      <c r="M1408" s="18" t="s">
        <v>103</v>
      </c>
      <c r="N1408" s="3" t="s">
        <v>22</v>
      </c>
      <c r="O1408" s="3" t="s">
        <v>146</v>
      </c>
      <c r="P1408">
        <f>DATEVALUE(OnePlusSalesData[[#This Row],[order_date]])</f>
        <v>43292</v>
      </c>
      <c r="Q1408" s="28">
        <f>DATEVALUE(OnePlusSalesData[[#This Row],[delivery_date]])</f>
        <v>43298</v>
      </c>
    </row>
    <row r="1409" spans="1:17" ht="16" x14ac:dyDescent="0.45">
      <c r="A1409" s="8" t="s">
        <v>2488</v>
      </c>
      <c r="B1409" s="8" t="s">
        <v>58</v>
      </c>
      <c r="C1409" s="9" t="s">
        <v>59</v>
      </c>
      <c r="D1409" s="9" t="s">
        <v>18</v>
      </c>
      <c r="E1409" s="9" t="s">
        <v>179</v>
      </c>
      <c r="F1409" s="10">
        <v>1290</v>
      </c>
      <c r="G1409" s="11">
        <v>1</v>
      </c>
      <c r="H1409" s="12">
        <v>0.05</v>
      </c>
      <c r="I1409" s="13">
        <v>64.5</v>
      </c>
      <c r="J1409" s="13">
        <v>1225.5</v>
      </c>
      <c r="K1409" s="13">
        <v>209.12</v>
      </c>
      <c r="L1409" s="8" t="s">
        <v>2489</v>
      </c>
      <c r="M1409" s="19" t="s">
        <v>436</v>
      </c>
      <c r="N1409" s="9" t="s">
        <v>22</v>
      </c>
      <c r="O1409" s="9" t="s">
        <v>31</v>
      </c>
      <c r="P1409">
        <f>DATEVALUE(OnePlusSalesData[[#This Row],[order_date]])</f>
        <v>43667</v>
      </c>
      <c r="Q1409" s="28">
        <f>DATEVALUE(OnePlusSalesData[[#This Row],[delivery_date]])</f>
        <v>43670</v>
      </c>
    </row>
    <row r="1410" spans="1:17" ht="16" x14ac:dyDescent="0.45">
      <c r="A1410" s="2" t="s">
        <v>2490</v>
      </c>
      <c r="B1410" s="2" t="s">
        <v>16</v>
      </c>
      <c r="C1410" s="3" t="s">
        <v>33</v>
      </c>
      <c r="D1410" s="3" t="s">
        <v>40</v>
      </c>
      <c r="E1410" s="3" t="s">
        <v>148</v>
      </c>
      <c r="F1410" s="4">
        <v>41999</v>
      </c>
      <c r="G1410" s="5">
        <v>2</v>
      </c>
      <c r="H1410" s="6">
        <v>0.05</v>
      </c>
      <c r="I1410" s="7">
        <v>4199.8999999999996</v>
      </c>
      <c r="J1410" s="7">
        <v>79798.100000000006</v>
      </c>
      <c r="K1410" s="7">
        <v>15424.76</v>
      </c>
      <c r="L1410" s="2" t="s">
        <v>1890</v>
      </c>
      <c r="M1410" s="18" t="s">
        <v>1003</v>
      </c>
      <c r="N1410" s="3" t="s">
        <v>22</v>
      </c>
      <c r="O1410" s="3" t="s">
        <v>63</v>
      </c>
      <c r="P1410">
        <f>DATEVALUE(OnePlusSalesData[[#This Row],[order_date]])</f>
        <v>44157</v>
      </c>
      <c r="Q1410" s="28">
        <f>DATEVALUE(OnePlusSalesData[[#This Row],[delivery_date]])</f>
        <v>44162</v>
      </c>
    </row>
    <row r="1411" spans="1:17" ht="16" x14ac:dyDescent="0.45">
      <c r="A1411" s="8" t="s">
        <v>2491</v>
      </c>
      <c r="B1411" s="8" t="s">
        <v>58</v>
      </c>
      <c r="C1411" s="9" t="s">
        <v>81</v>
      </c>
      <c r="D1411" s="9" t="s">
        <v>85</v>
      </c>
      <c r="E1411" s="9" t="s">
        <v>86</v>
      </c>
      <c r="F1411" s="10">
        <v>1999</v>
      </c>
      <c r="G1411" s="11">
        <v>2</v>
      </c>
      <c r="H1411" s="12">
        <v>0</v>
      </c>
      <c r="I1411" s="13">
        <v>0</v>
      </c>
      <c r="J1411" s="13">
        <v>3998</v>
      </c>
      <c r="K1411" s="13">
        <v>828.64</v>
      </c>
      <c r="L1411" s="8" t="s">
        <v>352</v>
      </c>
      <c r="M1411" s="19" t="s">
        <v>364</v>
      </c>
      <c r="N1411" s="9" t="s">
        <v>22</v>
      </c>
      <c r="O1411" s="9" t="s">
        <v>96</v>
      </c>
      <c r="P1411">
        <f>DATEVALUE(OnePlusSalesData[[#This Row],[order_date]])</f>
        <v>43228</v>
      </c>
      <c r="Q1411" s="28">
        <f>DATEVALUE(OnePlusSalesData[[#This Row],[delivery_date]])</f>
        <v>43235</v>
      </c>
    </row>
    <row r="1412" spans="1:17" ht="16" x14ac:dyDescent="0.45">
      <c r="A1412" s="2" t="s">
        <v>2492</v>
      </c>
      <c r="B1412" s="2" t="s">
        <v>16</v>
      </c>
      <c r="C1412" s="3" t="s">
        <v>39</v>
      </c>
      <c r="D1412" s="3" t="s">
        <v>27</v>
      </c>
      <c r="E1412" s="3" t="s">
        <v>176</v>
      </c>
      <c r="F1412" s="4">
        <v>69900</v>
      </c>
      <c r="G1412" s="5">
        <v>1</v>
      </c>
      <c r="H1412" s="6">
        <v>0.05</v>
      </c>
      <c r="I1412" s="7">
        <v>3495</v>
      </c>
      <c r="J1412" s="7">
        <v>66405</v>
      </c>
      <c r="K1412" s="7">
        <v>9555.5300000000007</v>
      </c>
      <c r="L1412" s="2" t="s">
        <v>2493</v>
      </c>
      <c r="M1412" s="18" t="s">
        <v>475</v>
      </c>
      <c r="N1412" s="3" t="s">
        <v>22</v>
      </c>
      <c r="O1412" s="3" t="s">
        <v>63</v>
      </c>
      <c r="P1412">
        <f>DATEVALUE(OnePlusSalesData[[#This Row],[order_date]])</f>
        <v>43392</v>
      </c>
      <c r="Q1412" s="28">
        <f>DATEVALUE(OnePlusSalesData[[#This Row],[delivery_date]])</f>
        <v>43398</v>
      </c>
    </row>
    <row r="1413" spans="1:17" ht="16" x14ac:dyDescent="0.45">
      <c r="A1413" s="8" t="s">
        <v>2494</v>
      </c>
      <c r="B1413" s="8" t="s">
        <v>16</v>
      </c>
      <c r="C1413" s="9" t="s">
        <v>152</v>
      </c>
      <c r="D1413" s="9" t="s">
        <v>34</v>
      </c>
      <c r="E1413" s="9" t="s">
        <v>77</v>
      </c>
      <c r="F1413" s="10">
        <v>24999</v>
      </c>
      <c r="G1413" s="11">
        <v>1</v>
      </c>
      <c r="H1413" s="12">
        <v>0.08</v>
      </c>
      <c r="I1413" s="13">
        <v>1999.92</v>
      </c>
      <c r="J1413" s="13">
        <v>22999.08</v>
      </c>
      <c r="K1413" s="13">
        <v>4903.3500000000004</v>
      </c>
      <c r="L1413" s="8" t="s">
        <v>1070</v>
      </c>
      <c r="M1413" s="19" t="s">
        <v>1722</v>
      </c>
      <c r="N1413" s="9" t="s">
        <v>22</v>
      </c>
      <c r="O1413" s="9" t="s">
        <v>23</v>
      </c>
      <c r="P1413">
        <f>DATEVALUE(OnePlusSalesData[[#This Row],[order_date]])</f>
        <v>43271</v>
      </c>
      <c r="Q1413" s="28">
        <f>DATEVALUE(OnePlusSalesData[[#This Row],[delivery_date]])</f>
        <v>43276</v>
      </c>
    </row>
    <row r="1414" spans="1:17" ht="16" x14ac:dyDescent="0.45">
      <c r="A1414" s="2" t="s">
        <v>2495</v>
      </c>
      <c r="B1414" s="2" t="s">
        <v>16</v>
      </c>
      <c r="C1414" s="3" t="s">
        <v>33</v>
      </c>
      <c r="D1414" s="3" t="s">
        <v>18</v>
      </c>
      <c r="E1414" s="3" t="s">
        <v>179</v>
      </c>
      <c r="F1414" s="4">
        <v>1290</v>
      </c>
      <c r="G1414" s="5">
        <v>4</v>
      </c>
      <c r="H1414" s="6">
        <v>0.08</v>
      </c>
      <c r="I1414" s="7">
        <v>412.8</v>
      </c>
      <c r="J1414" s="7">
        <v>4747.2</v>
      </c>
      <c r="K1414" s="7">
        <v>1130.01</v>
      </c>
      <c r="L1414" s="2" t="s">
        <v>596</v>
      </c>
      <c r="M1414" s="18" t="s">
        <v>1065</v>
      </c>
      <c r="N1414" s="3" t="s">
        <v>50</v>
      </c>
      <c r="O1414" s="3" t="s">
        <v>96</v>
      </c>
      <c r="P1414">
        <f>DATEVALUE(OnePlusSalesData[[#This Row],[order_date]])</f>
        <v>43462</v>
      </c>
      <c r="Q1414" s="28">
        <f>DATEVALUE(OnePlusSalesData[[#This Row],[delivery_date]])</f>
        <v>43466</v>
      </c>
    </row>
    <row r="1415" spans="1:17" ht="16" x14ac:dyDescent="0.45">
      <c r="A1415" s="8" t="s">
        <v>2496</v>
      </c>
      <c r="B1415" s="8" t="s">
        <v>25</v>
      </c>
      <c r="C1415" s="9" t="s">
        <v>26</v>
      </c>
      <c r="D1415" s="9" t="s">
        <v>18</v>
      </c>
      <c r="E1415" s="9" t="s">
        <v>19</v>
      </c>
      <c r="F1415" s="10">
        <v>1990</v>
      </c>
      <c r="G1415" s="11">
        <v>1</v>
      </c>
      <c r="H1415" s="12">
        <v>0.1</v>
      </c>
      <c r="I1415" s="13">
        <v>199</v>
      </c>
      <c r="J1415" s="13">
        <v>1791</v>
      </c>
      <c r="K1415" s="13">
        <v>327.73</v>
      </c>
      <c r="L1415" s="8" t="s">
        <v>183</v>
      </c>
      <c r="M1415" s="19" t="s">
        <v>2339</v>
      </c>
      <c r="N1415" s="9" t="s">
        <v>92</v>
      </c>
      <c r="O1415" s="9" t="s">
        <v>31</v>
      </c>
      <c r="P1415">
        <f>DATEVALUE(OnePlusSalesData[[#This Row],[order_date]])</f>
        <v>43705</v>
      </c>
      <c r="Q1415" s="28">
        <f>DATEVALUE(OnePlusSalesData[[#This Row],[delivery_date]])</f>
        <v>43710</v>
      </c>
    </row>
    <row r="1416" spans="1:17" ht="16" x14ac:dyDescent="0.45">
      <c r="A1416" s="2" t="s">
        <v>2497</v>
      </c>
      <c r="B1416" s="2" t="s">
        <v>25</v>
      </c>
      <c r="C1416" s="3" t="s">
        <v>120</v>
      </c>
      <c r="D1416" s="3" t="s">
        <v>85</v>
      </c>
      <c r="E1416" s="3" t="s">
        <v>265</v>
      </c>
      <c r="F1416" s="4">
        <v>4990</v>
      </c>
      <c r="G1416" s="5">
        <v>3</v>
      </c>
      <c r="H1416" s="6">
        <v>0.1</v>
      </c>
      <c r="I1416" s="7">
        <v>1497</v>
      </c>
      <c r="J1416" s="7">
        <v>13473</v>
      </c>
      <c r="K1416" s="7">
        <v>2093.19</v>
      </c>
      <c r="L1416" s="2" t="s">
        <v>1550</v>
      </c>
      <c r="M1416" s="18" t="s">
        <v>2432</v>
      </c>
      <c r="N1416" s="3" t="s">
        <v>22</v>
      </c>
      <c r="O1416" s="3" t="s">
        <v>96</v>
      </c>
      <c r="P1416">
        <f>DATEVALUE(OnePlusSalesData[[#This Row],[order_date]])</f>
        <v>44126</v>
      </c>
      <c r="Q1416" s="28">
        <f>DATEVALUE(OnePlusSalesData[[#This Row],[delivery_date]])</f>
        <v>44128</v>
      </c>
    </row>
    <row r="1417" spans="1:17" ht="16" x14ac:dyDescent="0.45">
      <c r="A1417" s="8" t="s">
        <v>2498</v>
      </c>
      <c r="B1417" s="8" t="s">
        <v>25</v>
      </c>
      <c r="C1417" s="9" t="s">
        <v>65</v>
      </c>
      <c r="D1417" s="9" t="s">
        <v>40</v>
      </c>
      <c r="E1417" s="9" t="s">
        <v>406</v>
      </c>
      <c r="F1417" s="10">
        <v>48999</v>
      </c>
      <c r="G1417" s="11">
        <v>1</v>
      </c>
      <c r="H1417" s="12">
        <v>0.1</v>
      </c>
      <c r="I1417" s="13">
        <v>4899.8999999999996</v>
      </c>
      <c r="J1417" s="13">
        <v>44099.1</v>
      </c>
      <c r="K1417" s="13">
        <v>10228.64</v>
      </c>
      <c r="L1417" s="8" t="s">
        <v>170</v>
      </c>
      <c r="M1417" s="19" t="s">
        <v>1287</v>
      </c>
      <c r="N1417" s="9" t="s">
        <v>22</v>
      </c>
      <c r="O1417" s="9" t="s">
        <v>31</v>
      </c>
      <c r="P1417">
        <f>DATEVALUE(OnePlusSalesData[[#This Row],[order_date]])</f>
        <v>44173</v>
      </c>
      <c r="Q1417" s="28">
        <f>DATEVALUE(OnePlusSalesData[[#This Row],[delivery_date]])</f>
        <v>44179</v>
      </c>
    </row>
    <row r="1418" spans="1:17" ht="16" x14ac:dyDescent="0.45">
      <c r="A1418" s="2" t="s">
        <v>2499</v>
      </c>
      <c r="B1418" s="2" t="s">
        <v>58</v>
      </c>
      <c r="C1418" s="3" t="s">
        <v>81</v>
      </c>
      <c r="D1418" s="3" t="s">
        <v>85</v>
      </c>
      <c r="E1418" s="3" t="s">
        <v>265</v>
      </c>
      <c r="F1418" s="4">
        <v>4990</v>
      </c>
      <c r="G1418" s="5">
        <v>1</v>
      </c>
      <c r="H1418" s="6">
        <v>0</v>
      </c>
      <c r="I1418" s="7">
        <v>0</v>
      </c>
      <c r="J1418" s="7">
        <v>4990</v>
      </c>
      <c r="K1418" s="7">
        <v>904.89</v>
      </c>
      <c r="L1418" s="2" t="s">
        <v>2283</v>
      </c>
      <c r="M1418" s="18" t="s">
        <v>2083</v>
      </c>
      <c r="N1418" s="3" t="s">
        <v>22</v>
      </c>
      <c r="O1418" s="3" t="s">
        <v>31</v>
      </c>
      <c r="P1418">
        <f>DATEVALUE(OnePlusSalesData[[#This Row],[order_date]])</f>
        <v>43338</v>
      </c>
      <c r="Q1418" s="28">
        <f>DATEVALUE(OnePlusSalesData[[#This Row],[delivery_date]])</f>
        <v>43340</v>
      </c>
    </row>
    <row r="1419" spans="1:17" ht="16" x14ac:dyDescent="0.45">
      <c r="A1419" s="8" t="s">
        <v>2500</v>
      </c>
      <c r="B1419" s="8" t="s">
        <v>16</v>
      </c>
      <c r="C1419" s="9" t="s">
        <v>152</v>
      </c>
      <c r="D1419" s="9" t="s">
        <v>34</v>
      </c>
      <c r="E1419" s="9" t="s">
        <v>35</v>
      </c>
      <c r="F1419" s="10">
        <v>19999</v>
      </c>
      <c r="G1419" s="11">
        <v>4</v>
      </c>
      <c r="H1419" s="12">
        <v>0</v>
      </c>
      <c r="I1419" s="13">
        <v>0</v>
      </c>
      <c r="J1419" s="13">
        <v>79996</v>
      </c>
      <c r="K1419" s="13">
        <v>17485.509999999998</v>
      </c>
      <c r="L1419" s="8" t="s">
        <v>699</v>
      </c>
      <c r="M1419" s="19" t="s">
        <v>372</v>
      </c>
      <c r="N1419" s="9" t="s">
        <v>22</v>
      </c>
      <c r="O1419" s="9" t="s">
        <v>63</v>
      </c>
      <c r="P1419">
        <f>DATEVALUE(OnePlusSalesData[[#This Row],[order_date]])</f>
        <v>44038</v>
      </c>
      <c r="Q1419" s="28">
        <f>DATEVALUE(OnePlusSalesData[[#This Row],[delivery_date]])</f>
        <v>44042</v>
      </c>
    </row>
    <row r="1420" spans="1:17" ht="16" x14ac:dyDescent="0.45">
      <c r="A1420" s="2" t="s">
        <v>2501</v>
      </c>
      <c r="B1420" s="2" t="s">
        <v>25</v>
      </c>
      <c r="C1420" s="3" t="s">
        <v>120</v>
      </c>
      <c r="D1420" s="3" t="s">
        <v>18</v>
      </c>
      <c r="E1420" s="3" t="s">
        <v>179</v>
      </c>
      <c r="F1420" s="4">
        <v>1290</v>
      </c>
      <c r="G1420" s="5">
        <v>3</v>
      </c>
      <c r="H1420" s="6">
        <v>0.05</v>
      </c>
      <c r="I1420" s="7">
        <v>193.5</v>
      </c>
      <c r="J1420" s="7">
        <v>3676.5</v>
      </c>
      <c r="K1420" s="7">
        <v>922.75</v>
      </c>
      <c r="L1420" s="2" t="s">
        <v>1767</v>
      </c>
      <c r="M1420" s="18" t="s">
        <v>1189</v>
      </c>
      <c r="N1420" s="3" t="s">
        <v>22</v>
      </c>
      <c r="O1420" s="3" t="s">
        <v>63</v>
      </c>
      <c r="P1420">
        <f>DATEVALUE(OnePlusSalesData[[#This Row],[order_date]])</f>
        <v>43121</v>
      </c>
      <c r="Q1420" s="28">
        <f>DATEVALUE(OnePlusSalesData[[#This Row],[delivery_date]])</f>
        <v>43128</v>
      </c>
    </row>
    <row r="1421" spans="1:17" ht="16" x14ac:dyDescent="0.45">
      <c r="A1421" s="8" t="s">
        <v>2502</v>
      </c>
      <c r="B1421" s="8" t="s">
        <v>25</v>
      </c>
      <c r="C1421" s="9" t="s">
        <v>65</v>
      </c>
      <c r="D1421" s="9" t="s">
        <v>40</v>
      </c>
      <c r="E1421" s="9" t="s">
        <v>98</v>
      </c>
      <c r="F1421" s="10">
        <v>34999</v>
      </c>
      <c r="G1421" s="11">
        <v>5</v>
      </c>
      <c r="H1421" s="12">
        <v>0.12</v>
      </c>
      <c r="I1421" s="13">
        <v>20999.4</v>
      </c>
      <c r="J1421" s="13">
        <v>153995.6</v>
      </c>
      <c r="K1421" s="13">
        <v>21638.51</v>
      </c>
      <c r="L1421" s="8" t="s">
        <v>2503</v>
      </c>
      <c r="M1421" s="19" t="s">
        <v>249</v>
      </c>
      <c r="N1421" s="9" t="s">
        <v>22</v>
      </c>
      <c r="O1421" s="9" t="s">
        <v>31</v>
      </c>
      <c r="P1421">
        <f>DATEVALUE(OnePlusSalesData[[#This Row],[order_date]])</f>
        <v>43207</v>
      </c>
      <c r="Q1421" s="28">
        <f>DATEVALUE(OnePlusSalesData[[#This Row],[delivery_date]])</f>
        <v>43213</v>
      </c>
    </row>
    <row r="1422" spans="1:17" ht="16" x14ac:dyDescent="0.45">
      <c r="A1422" s="2" t="s">
        <v>2504</v>
      </c>
      <c r="B1422" s="2" t="s">
        <v>16</v>
      </c>
      <c r="C1422" s="3" t="s">
        <v>39</v>
      </c>
      <c r="D1422" s="3" t="s">
        <v>18</v>
      </c>
      <c r="E1422" s="3" t="s">
        <v>19</v>
      </c>
      <c r="F1422" s="4">
        <v>1990</v>
      </c>
      <c r="G1422" s="5">
        <v>1</v>
      </c>
      <c r="H1422" s="6">
        <v>0.05</v>
      </c>
      <c r="I1422" s="7">
        <v>99.5</v>
      </c>
      <c r="J1422" s="7">
        <v>1890.5</v>
      </c>
      <c r="K1422" s="7">
        <v>300.81</v>
      </c>
      <c r="L1422" s="2" t="s">
        <v>2228</v>
      </c>
      <c r="M1422" s="18" t="s">
        <v>1550</v>
      </c>
      <c r="N1422" s="3" t="s">
        <v>44</v>
      </c>
      <c r="O1422" s="3" t="s">
        <v>45</v>
      </c>
      <c r="P1422">
        <f>DATEVALUE(OnePlusSalesData[[#This Row],[order_date]])</f>
        <v>44124</v>
      </c>
      <c r="Q1422" s="28">
        <f>DATEVALUE(OnePlusSalesData[[#This Row],[delivery_date]])</f>
        <v>44126</v>
      </c>
    </row>
    <row r="1423" spans="1:17" ht="16" x14ac:dyDescent="0.45">
      <c r="A1423" s="8" t="s">
        <v>2505</v>
      </c>
      <c r="B1423" s="8" t="s">
        <v>16</v>
      </c>
      <c r="C1423" s="9" t="s">
        <v>33</v>
      </c>
      <c r="D1423" s="9" t="s">
        <v>40</v>
      </c>
      <c r="E1423" s="9" t="s">
        <v>54</v>
      </c>
      <c r="F1423" s="10">
        <v>53999</v>
      </c>
      <c r="G1423" s="11">
        <v>1</v>
      </c>
      <c r="H1423" s="12">
        <v>0</v>
      </c>
      <c r="I1423" s="13">
        <v>0</v>
      </c>
      <c r="J1423" s="13">
        <v>53999</v>
      </c>
      <c r="K1423" s="13">
        <v>8723.18</v>
      </c>
      <c r="L1423" s="8" t="s">
        <v>2506</v>
      </c>
      <c r="M1423" s="19" t="s">
        <v>1898</v>
      </c>
      <c r="N1423" s="9" t="s">
        <v>50</v>
      </c>
      <c r="O1423" s="9" t="s">
        <v>23</v>
      </c>
      <c r="P1423">
        <f>DATEVALUE(OnePlusSalesData[[#This Row],[order_date]])</f>
        <v>43348</v>
      </c>
      <c r="Q1423" s="28">
        <f>DATEVALUE(OnePlusSalesData[[#This Row],[delivery_date]])</f>
        <v>43355</v>
      </c>
    </row>
    <row r="1424" spans="1:17" ht="16" x14ac:dyDescent="0.45">
      <c r="A1424" s="2" t="s">
        <v>2507</v>
      </c>
      <c r="B1424" s="2" t="s">
        <v>16</v>
      </c>
      <c r="C1424" s="3" t="s">
        <v>39</v>
      </c>
      <c r="D1424" s="3" t="s">
        <v>18</v>
      </c>
      <c r="E1424" s="3" t="s">
        <v>102</v>
      </c>
      <c r="F1424" s="4">
        <v>1490</v>
      </c>
      <c r="G1424" s="5">
        <v>1</v>
      </c>
      <c r="H1424" s="6">
        <v>0</v>
      </c>
      <c r="I1424" s="7">
        <v>0</v>
      </c>
      <c r="J1424" s="7">
        <v>1490</v>
      </c>
      <c r="K1424" s="7">
        <v>279.35000000000002</v>
      </c>
      <c r="L1424" s="2" t="s">
        <v>1684</v>
      </c>
      <c r="M1424" s="18" t="s">
        <v>704</v>
      </c>
      <c r="N1424" s="3" t="s">
        <v>22</v>
      </c>
      <c r="O1424" s="3" t="s">
        <v>31</v>
      </c>
      <c r="P1424">
        <f>DATEVALUE(OnePlusSalesData[[#This Row],[order_date]])</f>
        <v>44137</v>
      </c>
      <c r="Q1424" s="28">
        <f>DATEVALUE(OnePlusSalesData[[#This Row],[delivery_date]])</f>
        <v>44140</v>
      </c>
    </row>
    <row r="1425" spans="1:17" ht="16" x14ac:dyDescent="0.45">
      <c r="A1425" s="8" t="s">
        <v>2508</v>
      </c>
      <c r="B1425" s="8" t="s">
        <v>16</v>
      </c>
      <c r="C1425" s="9" t="s">
        <v>33</v>
      </c>
      <c r="D1425" s="9" t="s">
        <v>40</v>
      </c>
      <c r="E1425" s="9" t="s">
        <v>41</v>
      </c>
      <c r="F1425" s="10">
        <v>37999</v>
      </c>
      <c r="G1425" s="11">
        <v>2</v>
      </c>
      <c r="H1425" s="12">
        <v>0.08</v>
      </c>
      <c r="I1425" s="13">
        <v>6079.84</v>
      </c>
      <c r="J1425" s="13">
        <v>69918.16</v>
      </c>
      <c r="K1425" s="13">
        <v>17852.38</v>
      </c>
      <c r="L1425" s="8" t="s">
        <v>840</v>
      </c>
      <c r="M1425" s="19" t="s">
        <v>294</v>
      </c>
      <c r="N1425" s="9" t="s">
        <v>22</v>
      </c>
      <c r="O1425" s="9" t="s">
        <v>63</v>
      </c>
      <c r="P1425">
        <f>DATEVALUE(OnePlusSalesData[[#This Row],[order_date]])</f>
        <v>43818</v>
      </c>
      <c r="Q1425" s="28">
        <f>DATEVALUE(OnePlusSalesData[[#This Row],[delivery_date]])</f>
        <v>43825</v>
      </c>
    </row>
    <row r="1426" spans="1:17" ht="16" x14ac:dyDescent="0.45">
      <c r="A1426" s="2" t="s">
        <v>2509</v>
      </c>
      <c r="B1426" s="2" t="s">
        <v>58</v>
      </c>
      <c r="C1426" s="3" t="s">
        <v>81</v>
      </c>
      <c r="D1426" s="3" t="s">
        <v>40</v>
      </c>
      <c r="E1426" s="3" t="s">
        <v>41</v>
      </c>
      <c r="F1426" s="4">
        <v>37999</v>
      </c>
      <c r="G1426" s="5">
        <v>3</v>
      </c>
      <c r="H1426" s="6">
        <v>0</v>
      </c>
      <c r="I1426" s="7">
        <v>0</v>
      </c>
      <c r="J1426" s="7">
        <v>113997</v>
      </c>
      <c r="K1426" s="7">
        <v>28752.26</v>
      </c>
      <c r="L1426" s="2" t="s">
        <v>2510</v>
      </c>
      <c r="M1426" s="18" t="s">
        <v>2367</v>
      </c>
      <c r="N1426" s="3" t="s">
        <v>44</v>
      </c>
      <c r="O1426" s="3" t="s">
        <v>45</v>
      </c>
      <c r="P1426">
        <f>DATEVALUE(OnePlusSalesData[[#This Row],[order_date]])</f>
        <v>43138</v>
      </c>
      <c r="Q1426" s="28">
        <f>DATEVALUE(OnePlusSalesData[[#This Row],[delivery_date]])</f>
        <v>43145</v>
      </c>
    </row>
    <row r="1427" spans="1:17" ht="16" x14ac:dyDescent="0.45">
      <c r="A1427" s="8" t="s">
        <v>2511</v>
      </c>
      <c r="B1427" s="8" t="s">
        <v>16</v>
      </c>
      <c r="C1427" s="9" t="s">
        <v>152</v>
      </c>
      <c r="D1427" s="9" t="s">
        <v>40</v>
      </c>
      <c r="E1427" s="9" t="s">
        <v>54</v>
      </c>
      <c r="F1427" s="10">
        <v>53999</v>
      </c>
      <c r="G1427" s="11">
        <v>1</v>
      </c>
      <c r="H1427" s="12">
        <v>0.05</v>
      </c>
      <c r="I1427" s="13">
        <v>2699.95</v>
      </c>
      <c r="J1427" s="13">
        <v>51299.05</v>
      </c>
      <c r="K1427" s="13">
        <v>13130.41</v>
      </c>
      <c r="L1427" s="8" t="s">
        <v>483</v>
      </c>
      <c r="M1427" s="19" t="s">
        <v>2512</v>
      </c>
      <c r="N1427" s="9" t="s">
        <v>92</v>
      </c>
      <c r="O1427" s="9" t="s">
        <v>31</v>
      </c>
      <c r="P1427">
        <f>DATEVALUE(OnePlusSalesData[[#This Row],[order_date]])</f>
        <v>43565</v>
      </c>
      <c r="Q1427" s="28">
        <f>DATEVALUE(OnePlusSalesData[[#This Row],[delivery_date]])</f>
        <v>43569</v>
      </c>
    </row>
    <row r="1428" spans="1:17" ht="16" x14ac:dyDescent="0.45">
      <c r="A1428" s="2" t="s">
        <v>2513</v>
      </c>
      <c r="B1428" s="2" t="s">
        <v>16</v>
      </c>
      <c r="C1428" s="3" t="s">
        <v>152</v>
      </c>
      <c r="D1428" s="3" t="s">
        <v>40</v>
      </c>
      <c r="E1428" s="3" t="s">
        <v>54</v>
      </c>
      <c r="F1428" s="4">
        <v>53999</v>
      </c>
      <c r="G1428" s="5">
        <v>1</v>
      </c>
      <c r="H1428" s="6">
        <v>0.05</v>
      </c>
      <c r="I1428" s="7">
        <v>2699.95</v>
      </c>
      <c r="J1428" s="7">
        <v>51299.05</v>
      </c>
      <c r="K1428" s="7">
        <v>8608.19</v>
      </c>
      <c r="L1428" s="2" t="s">
        <v>821</v>
      </c>
      <c r="M1428" s="18" t="s">
        <v>2514</v>
      </c>
      <c r="N1428" s="3" t="s">
        <v>50</v>
      </c>
      <c r="O1428" s="3" t="s">
        <v>23</v>
      </c>
      <c r="P1428">
        <f>DATEVALUE(OnePlusSalesData[[#This Row],[order_date]])</f>
        <v>44176</v>
      </c>
      <c r="Q1428" s="28">
        <f>DATEVALUE(OnePlusSalesData[[#This Row],[delivery_date]])</f>
        <v>44183</v>
      </c>
    </row>
    <row r="1429" spans="1:17" ht="16" x14ac:dyDescent="0.45">
      <c r="A1429" s="8" t="s">
        <v>2515</v>
      </c>
      <c r="B1429" s="8" t="s">
        <v>58</v>
      </c>
      <c r="C1429" s="9" t="s">
        <v>113</v>
      </c>
      <c r="D1429" s="9" t="s">
        <v>34</v>
      </c>
      <c r="E1429" s="9" t="s">
        <v>77</v>
      </c>
      <c r="F1429" s="10">
        <v>24999</v>
      </c>
      <c r="G1429" s="11">
        <v>1</v>
      </c>
      <c r="H1429" s="12">
        <v>0.12</v>
      </c>
      <c r="I1429" s="13">
        <v>2999.88</v>
      </c>
      <c r="J1429" s="13">
        <v>21999.119999999999</v>
      </c>
      <c r="K1429" s="13">
        <v>3164.92</v>
      </c>
      <c r="L1429" s="8" t="s">
        <v>1972</v>
      </c>
      <c r="M1429" s="19" t="s">
        <v>995</v>
      </c>
      <c r="N1429" s="9" t="s">
        <v>22</v>
      </c>
      <c r="O1429" s="9" t="s">
        <v>63</v>
      </c>
      <c r="P1429">
        <f>DATEVALUE(OnePlusSalesData[[#This Row],[order_date]])</f>
        <v>43262</v>
      </c>
      <c r="Q1429" s="28">
        <f>DATEVALUE(OnePlusSalesData[[#This Row],[delivery_date]])</f>
        <v>43266</v>
      </c>
    </row>
    <row r="1430" spans="1:17" ht="16" x14ac:dyDescent="0.45">
      <c r="A1430" s="2" t="s">
        <v>2516</v>
      </c>
      <c r="B1430" s="2" t="s">
        <v>52</v>
      </c>
      <c r="C1430" s="3" t="s">
        <v>192</v>
      </c>
      <c r="D1430" s="3" t="s">
        <v>18</v>
      </c>
      <c r="E1430" s="3" t="s">
        <v>124</v>
      </c>
      <c r="F1430" s="4">
        <v>3990</v>
      </c>
      <c r="G1430" s="5">
        <v>1</v>
      </c>
      <c r="H1430" s="6">
        <v>0.15</v>
      </c>
      <c r="I1430" s="7">
        <v>598.5</v>
      </c>
      <c r="J1430" s="7">
        <v>3391.5</v>
      </c>
      <c r="K1430" s="7">
        <v>793.85</v>
      </c>
      <c r="L1430" s="2" t="s">
        <v>1535</v>
      </c>
      <c r="M1430" s="18" t="s">
        <v>1438</v>
      </c>
      <c r="N1430" s="3" t="s">
        <v>22</v>
      </c>
      <c r="O1430" s="3" t="s">
        <v>23</v>
      </c>
      <c r="P1430">
        <f>DATEVALUE(OnePlusSalesData[[#This Row],[order_date]])</f>
        <v>44006</v>
      </c>
      <c r="Q1430" s="28">
        <f>DATEVALUE(OnePlusSalesData[[#This Row],[delivery_date]])</f>
        <v>44008</v>
      </c>
    </row>
    <row r="1431" spans="1:17" ht="16" x14ac:dyDescent="0.45">
      <c r="A1431" s="8" t="s">
        <v>2517</v>
      </c>
      <c r="B1431" s="8" t="s">
        <v>16</v>
      </c>
      <c r="C1431" s="9" t="s">
        <v>39</v>
      </c>
      <c r="D1431" s="9" t="s">
        <v>34</v>
      </c>
      <c r="E1431" s="9" t="s">
        <v>35</v>
      </c>
      <c r="F1431" s="10">
        <v>19999</v>
      </c>
      <c r="G1431" s="11">
        <v>1</v>
      </c>
      <c r="H1431" s="12">
        <v>0.05</v>
      </c>
      <c r="I1431" s="13">
        <v>999.95</v>
      </c>
      <c r="J1431" s="13">
        <v>18999.05</v>
      </c>
      <c r="K1431" s="13">
        <v>2766.19</v>
      </c>
      <c r="L1431" s="8" t="s">
        <v>949</v>
      </c>
      <c r="M1431" s="19" t="s">
        <v>1888</v>
      </c>
      <c r="N1431" s="9" t="s">
        <v>92</v>
      </c>
      <c r="O1431" s="9" t="s">
        <v>23</v>
      </c>
      <c r="P1431">
        <f>DATEVALUE(OnePlusSalesData[[#This Row],[order_date]])</f>
        <v>43910</v>
      </c>
      <c r="Q1431" s="28">
        <f>DATEVALUE(OnePlusSalesData[[#This Row],[delivery_date]])</f>
        <v>43913</v>
      </c>
    </row>
    <row r="1432" spans="1:17" ht="16" x14ac:dyDescent="0.45">
      <c r="A1432" s="2" t="s">
        <v>2518</v>
      </c>
      <c r="B1432" s="2" t="s">
        <v>16</v>
      </c>
      <c r="C1432" s="3" t="s">
        <v>33</v>
      </c>
      <c r="D1432" s="3" t="s">
        <v>18</v>
      </c>
      <c r="E1432" s="3" t="s">
        <v>102</v>
      </c>
      <c r="F1432" s="4">
        <v>1490</v>
      </c>
      <c r="G1432" s="5">
        <v>2</v>
      </c>
      <c r="H1432" s="6">
        <v>0.15</v>
      </c>
      <c r="I1432" s="7">
        <v>447</v>
      </c>
      <c r="J1432" s="7">
        <v>2533</v>
      </c>
      <c r="K1432" s="7">
        <v>647.11</v>
      </c>
      <c r="L1432" s="2" t="s">
        <v>569</v>
      </c>
      <c r="M1432" s="18" t="s">
        <v>967</v>
      </c>
      <c r="N1432" s="3" t="s">
        <v>22</v>
      </c>
      <c r="O1432" s="3" t="s">
        <v>23</v>
      </c>
      <c r="P1432">
        <f>DATEVALUE(OnePlusSalesData[[#This Row],[order_date]])</f>
        <v>43557</v>
      </c>
      <c r="Q1432" s="28">
        <f>DATEVALUE(OnePlusSalesData[[#This Row],[delivery_date]])</f>
        <v>43563</v>
      </c>
    </row>
    <row r="1433" spans="1:17" ht="16" x14ac:dyDescent="0.45">
      <c r="A1433" s="8" t="s">
        <v>2519</v>
      </c>
      <c r="B1433" s="8" t="s">
        <v>52</v>
      </c>
      <c r="C1433" s="9" t="s">
        <v>358</v>
      </c>
      <c r="D1433" s="9" t="s">
        <v>40</v>
      </c>
      <c r="E1433" s="9" t="s">
        <v>148</v>
      </c>
      <c r="F1433" s="10">
        <v>41999</v>
      </c>
      <c r="G1433" s="11">
        <v>1</v>
      </c>
      <c r="H1433" s="12">
        <v>0</v>
      </c>
      <c r="I1433" s="13">
        <v>0</v>
      </c>
      <c r="J1433" s="13">
        <v>41999</v>
      </c>
      <c r="K1433" s="13">
        <v>8806.83</v>
      </c>
      <c r="L1433" s="8" t="s">
        <v>242</v>
      </c>
      <c r="M1433" s="19" t="s">
        <v>78</v>
      </c>
      <c r="N1433" s="9" t="s">
        <v>22</v>
      </c>
      <c r="O1433" s="9" t="s">
        <v>96</v>
      </c>
      <c r="P1433">
        <f>DATEVALUE(OnePlusSalesData[[#This Row],[order_date]])</f>
        <v>43959</v>
      </c>
      <c r="Q1433" s="28">
        <f>DATEVALUE(OnePlusSalesData[[#This Row],[delivery_date]])</f>
        <v>43964</v>
      </c>
    </row>
    <row r="1434" spans="1:17" ht="16" x14ac:dyDescent="0.45">
      <c r="A1434" s="2" t="s">
        <v>2520</v>
      </c>
      <c r="B1434" s="2" t="s">
        <v>16</v>
      </c>
      <c r="C1434" s="3" t="s">
        <v>140</v>
      </c>
      <c r="D1434" s="3" t="s">
        <v>40</v>
      </c>
      <c r="E1434" s="3" t="s">
        <v>54</v>
      </c>
      <c r="F1434" s="4">
        <v>53999</v>
      </c>
      <c r="G1434" s="5">
        <v>3</v>
      </c>
      <c r="H1434" s="6">
        <v>0.1</v>
      </c>
      <c r="I1434" s="7">
        <v>16199.7</v>
      </c>
      <c r="J1434" s="7">
        <v>145797.29999999999</v>
      </c>
      <c r="K1434" s="7">
        <v>21232.14</v>
      </c>
      <c r="L1434" s="2" t="s">
        <v>94</v>
      </c>
      <c r="M1434" s="18" t="s">
        <v>1504</v>
      </c>
      <c r="N1434" s="3" t="s">
        <v>22</v>
      </c>
      <c r="O1434" s="3" t="s">
        <v>31</v>
      </c>
      <c r="P1434">
        <f>DATEVALUE(OnePlusSalesData[[#This Row],[order_date]])</f>
        <v>44052</v>
      </c>
      <c r="Q1434" s="28">
        <f>DATEVALUE(OnePlusSalesData[[#This Row],[delivery_date]])</f>
        <v>44057</v>
      </c>
    </row>
    <row r="1435" spans="1:17" ht="16" x14ac:dyDescent="0.45">
      <c r="A1435" s="8" t="s">
        <v>2521</v>
      </c>
      <c r="B1435" s="8" t="s">
        <v>25</v>
      </c>
      <c r="C1435" s="9" t="s">
        <v>172</v>
      </c>
      <c r="D1435" s="9" t="s">
        <v>40</v>
      </c>
      <c r="E1435" s="9" t="s">
        <v>406</v>
      </c>
      <c r="F1435" s="10">
        <v>48999</v>
      </c>
      <c r="G1435" s="11">
        <v>1</v>
      </c>
      <c r="H1435" s="12">
        <v>0.12</v>
      </c>
      <c r="I1435" s="13">
        <v>5879.88</v>
      </c>
      <c r="J1435" s="13">
        <v>43119.12</v>
      </c>
      <c r="K1435" s="13">
        <v>6147.61</v>
      </c>
      <c r="L1435" s="8" t="s">
        <v>67</v>
      </c>
      <c r="M1435" s="19" t="s">
        <v>873</v>
      </c>
      <c r="N1435" s="9" t="s">
        <v>50</v>
      </c>
      <c r="O1435" s="9" t="s">
        <v>23</v>
      </c>
      <c r="P1435">
        <f>DATEVALUE(OnePlusSalesData[[#This Row],[order_date]])</f>
        <v>43752</v>
      </c>
      <c r="Q1435" s="28">
        <f>DATEVALUE(OnePlusSalesData[[#This Row],[delivery_date]])</f>
        <v>43759</v>
      </c>
    </row>
    <row r="1436" spans="1:17" ht="16" x14ac:dyDescent="0.45">
      <c r="A1436" s="2" t="s">
        <v>2522</v>
      </c>
      <c r="B1436" s="2" t="s">
        <v>16</v>
      </c>
      <c r="C1436" s="3" t="s">
        <v>33</v>
      </c>
      <c r="D1436" s="3" t="s">
        <v>18</v>
      </c>
      <c r="E1436" s="3" t="s">
        <v>19</v>
      </c>
      <c r="F1436" s="4">
        <v>1990</v>
      </c>
      <c r="G1436" s="5">
        <v>2</v>
      </c>
      <c r="H1436" s="6">
        <v>0.08</v>
      </c>
      <c r="I1436" s="7">
        <v>318.39999999999998</v>
      </c>
      <c r="J1436" s="7">
        <v>3661.6</v>
      </c>
      <c r="K1436" s="7">
        <v>651.94000000000005</v>
      </c>
      <c r="L1436" s="2" t="s">
        <v>1270</v>
      </c>
      <c r="M1436" s="18" t="s">
        <v>1242</v>
      </c>
      <c r="N1436" s="3" t="s">
        <v>92</v>
      </c>
      <c r="O1436" s="3" t="s">
        <v>31</v>
      </c>
      <c r="P1436">
        <f>DATEVALUE(OnePlusSalesData[[#This Row],[order_date]])</f>
        <v>43686</v>
      </c>
      <c r="Q1436" s="28">
        <f>DATEVALUE(OnePlusSalesData[[#This Row],[delivery_date]])</f>
        <v>43689</v>
      </c>
    </row>
    <row r="1437" spans="1:17" ht="16" x14ac:dyDescent="0.45">
      <c r="A1437" s="8" t="s">
        <v>2523</v>
      </c>
      <c r="B1437" s="8" t="s">
        <v>58</v>
      </c>
      <c r="C1437" s="9" t="s">
        <v>221</v>
      </c>
      <c r="D1437" s="9" t="s">
        <v>27</v>
      </c>
      <c r="E1437" s="9" t="s">
        <v>28</v>
      </c>
      <c r="F1437" s="10">
        <v>12999</v>
      </c>
      <c r="G1437" s="11">
        <v>1</v>
      </c>
      <c r="H1437" s="12">
        <v>0.08</v>
      </c>
      <c r="I1437" s="13">
        <v>1039.92</v>
      </c>
      <c r="J1437" s="13">
        <v>11959.08</v>
      </c>
      <c r="K1437" s="13">
        <v>2011.98</v>
      </c>
      <c r="L1437" s="8" t="s">
        <v>2524</v>
      </c>
      <c r="M1437" s="19" t="s">
        <v>1640</v>
      </c>
      <c r="N1437" s="9" t="s">
        <v>22</v>
      </c>
      <c r="O1437" s="9" t="s">
        <v>23</v>
      </c>
      <c r="P1437">
        <f>DATEVALUE(OnePlusSalesData[[#This Row],[order_date]])</f>
        <v>44138</v>
      </c>
      <c r="Q1437" s="28">
        <f>DATEVALUE(OnePlusSalesData[[#This Row],[delivery_date]])</f>
        <v>44144</v>
      </c>
    </row>
    <row r="1438" spans="1:17" ht="16" x14ac:dyDescent="0.45">
      <c r="A1438" s="2" t="s">
        <v>2525</v>
      </c>
      <c r="B1438" s="2" t="s">
        <v>25</v>
      </c>
      <c r="C1438" s="3" t="s">
        <v>172</v>
      </c>
      <c r="D1438" s="3" t="s">
        <v>27</v>
      </c>
      <c r="E1438" s="3" t="s">
        <v>176</v>
      </c>
      <c r="F1438" s="4">
        <v>69900</v>
      </c>
      <c r="G1438" s="5">
        <v>1</v>
      </c>
      <c r="H1438" s="6">
        <v>0.05</v>
      </c>
      <c r="I1438" s="7">
        <v>3495</v>
      </c>
      <c r="J1438" s="7">
        <v>66405</v>
      </c>
      <c r="K1438" s="7">
        <v>9307.33</v>
      </c>
      <c r="L1438" s="2" t="s">
        <v>753</v>
      </c>
      <c r="M1438" s="18" t="s">
        <v>922</v>
      </c>
      <c r="N1438" s="3" t="s">
        <v>50</v>
      </c>
      <c r="O1438" s="3" t="s">
        <v>31</v>
      </c>
      <c r="P1438">
        <f>DATEVALUE(OnePlusSalesData[[#This Row],[order_date]])</f>
        <v>43589</v>
      </c>
      <c r="Q1438" s="28">
        <f>DATEVALUE(OnePlusSalesData[[#This Row],[delivery_date]])</f>
        <v>43595</v>
      </c>
    </row>
    <row r="1439" spans="1:17" ht="16" x14ac:dyDescent="0.45">
      <c r="A1439" s="8" t="s">
        <v>2526</v>
      </c>
      <c r="B1439" s="8" t="s">
        <v>52</v>
      </c>
      <c r="C1439" s="9" t="s">
        <v>53</v>
      </c>
      <c r="D1439" s="9" t="s">
        <v>27</v>
      </c>
      <c r="E1439" s="9" t="s">
        <v>28</v>
      </c>
      <c r="F1439" s="10">
        <v>12999</v>
      </c>
      <c r="G1439" s="11">
        <v>1</v>
      </c>
      <c r="H1439" s="12">
        <v>0.08</v>
      </c>
      <c r="I1439" s="13">
        <v>1039.92</v>
      </c>
      <c r="J1439" s="13">
        <v>11959.08</v>
      </c>
      <c r="K1439" s="13">
        <v>2647.25</v>
      </c>
      <c r="L1439" s="8" t="s">
        <v>249</v>
      </c>
      <c r="M1439" s="19" t="s">
        <v>491</v>
      </c>
      <c r="N1439" s="9" t="s">
        <v>22</v>
      </c>
      <c r="O1439" s="9" t="s">
        <v>23</v>
      </c>
      <c r="P1439">
        <f>DATEVALUE(OnePlusSalesData[[#This Row],[order_date]])</f>
        <v>43213</v>
      </c>
      <c r="Q1439" s="28">
        <f>DATEVALUE(OnePlusSalesData[[#This Row],[delivery_date]])</f>
        <v>43219</v>
      </c>
    </row>
    <row r="1440" spans="1:17" ht="16" x14ac:dyDescent="0.45">
      <c r="A1440" s="2" t="s">
        <v>2527</v>
      </c>
      <c r="B1440" s="2" t="s">
        <v>52</v>
      </c>
      <c r="C1440" s="3" t="s">
        <v>53</v>
      </c>
      <c r="D1440" s="3" t="s">
        <v>85</v>
      </c>
      <c r="E1440" s="3" t="s">
        <v>228</v>
      </c>
      <c r="F1440" s="4">
        <v>5990</v>
      </c>
      <c r="G1440" s="5">
        <v>1</v>
      </c>
      <c r="H1440" s="6">
        <v>0</v>
      </c>
      <c r="I1440" s="7">
        <v>0</v>
      </c>
      <c r="J1440" s="7">
        <v>5990</v>
      </c>
      <c r="K1440" s="7">
        <v>1326.55</v>
      </c>
      <c r="L1440" s="2" t="s">
        <v>795</v>
      </c>
      <c r="M1440" s="18" t="s">
        <v>1652</v>
      </c>
      <c r="N1440" s="3" t="s">
        <v>22</v>
      </c>
      <c r="O1440" s="3" t="s">
        <v>31</v>
      </c>
      <c r="P1440">
        <f>DATEVALUE(OnePlusSalesData[[#This Row],[order_date]])</f>
        <v>43724</v>
      </c>
      <c r="Q1440" s="28">
        <f>DATEVALUE(OnePlusSalesData[[#This Row],[delivery_date]])</f>
        <v>43730</v>
      </c>
    </row>
    <row r="1441" spans="1:17" ht="16" x14ac:dyDescent="0.45">
      <c r="A1441" s="8" t="s">
        <v>2528</v>
      </c>
      <c r="B1441" s="8" t="s">
        <v>25</v>
      </c>
      <c r="C1441" s="9" t="s">
        <v>172</v>
      </c>
      <c r="D1441" s="9" t="s">
        <v>34</v>
      </c>
      <c r="E1441" s="9" t="s">
        <v>77</v>
      </c>
      <c r="F1441" s="10">
        <v>24999</v>
      </c>
      <c r="G1441" s="11">
        <v>1</v>
      </c>
      <c r="H1441" s="12">
        <v>0.1</v>
      </c>
      <c r="I1441" s="13">
        <v>2499.9</v>
      </c>
      <c r="J1441" s="13">
        <v>22499.1</v>
      </c>
      <c r="K1441" s="13">
        <v>4679.07</v>
      </c>
      <c r="L1441" s="8" t="s">
        <v>503</v>
      </c>
      <c r="M1441" s="19" t="s">
        <v>1061</v>
      </c>
      <c r="N1441" s="9" t="s">
        <v>22</v>
      </c>
      <c r="O1441" s="9" t="s">
        <v>63</v>
      </c>
      <c r="P1441">
        <f>DATEVALUE(OnePlusSalesData[[#This Row],[order_date]])</f>
        <v>44117</v>
      </c>
      <c r="Q1441" s="28">
        <f>DATEVALUE(OnePlusSalesData[[#This Row],[delivery_date]])</f>
        <v>44120</v>
      </c>
    </row>
    <row r="1442" spans="1:17" ht="16" x14ac:dyDescent="0.45">
      <c r="A1442" s="2" t="s">
        <v>2529</v>
      </c>
      <c r="B1442" s="2" t="s">
        <v>16</v>
      </c>
      <c r="C1442" s="3" t="s">
        <v>152</v>
      </c>
      <c r="D1442" s="3" t="s">
        <v>34</v>
      </c>
      <c r="E1442" s="3" t="s">
        <v>35</v>
      </c>
      <c r="F1442" s="4">
        <v>19999</v>
      </c>
      <c r="G1442" s="5">
        <v>1</v>
      </c>
      <c r="H1442" s="6">
        <v>0.05</v>
      </c>
      <c r="I1442" s="7">
        <v>999.95</v>
      </c>
      <c r="J1442" s="7">
        <v>18999.05</v>
      </c>
      <c r="K1442" s="7">
        <v>3334.7</v>
      </c>
      <c r="L1442" s="2" t="s">
        <v>307</v>
      </c>
      <c r="M1442" s="18" t="s">
        <v>312</v>
      </c>
      <c r="N1442" s="3" t="s">
        <v>22</v>
      </c>
      <c r="O1442" s="3" t="s">
        <v>63</v>
      </c>
      <c r="P1442">
        <f>DATEVALUE(OnePlusSalesData[[#This Row],[order_date]])</f>
        <v>43972</v>
      </c>
      <c r="Q1442" s="28">
        <f>DATEVALUE(OnePlusSalesData[[#This Row],[delivery_date]])</f>
        <v>43979</v>
      </c>
    </row>
    <row r="1443" spans="1:17" ht="16" x14ac:dyDescent="0.45">
      <c r="A1443" s="8" t="s">
        <v>2530</v>
      </c>
      <c r="B1443" s="8" t="s">
        <v>52</v>
      </c>
      <c r="C1443" s="9" t="s">
        <v>53</v>
      </c>
      <c r="D1443" s="9" t="s">
        <v>18</v>
      </c>
      <c r="E1443" s="9" t="s">
        <v>102</v>
      </c>
      <c r="F1443" s="10">
        <v>1490</v>
      </c>
      <c r="G1443" s="11">
        <v>1</v>
      </c>
      <c r="H1443" s="12">
        <v>0.1</v>
      </c>
      <c r="I1443" s="13">
        <v>149</v>
      </c>
      <c r="J1443" s="13">
        <v>1341</v>
      </c>
      <c r="K1443" s="13">
        <v>338.83</v>
      </c>
      <c r="L1443" s="8" t="s">
        <v>1471</v>
      </c>
      <c r="M1443" s="19" t="s">
        <v>243</v>
      </c>
      <c r="N1443" s="9" t="s">
        <v>22</v>
      </c>
      <c r="O1443" s="9" t="s">
        <v>31</v>
      </c>
      <c r="P1443">
        <f>DATEVALUE(OnePlusSalesData[[#This Row],[order_date]])</f>
        <v>43961</v>
      </c>
      <c r="Q1443" s="28">
        <f>DATEVALUE(OnePlusSalesData[[#This Row],[delivery_date]])</f>
        <v>43963</v>
      </c>
    </row>
    <row r="1444" spans="1:17" ht="16" x14ac:dyDescent="0.45">
      <c r="A1444" s="2" t="s">
        <v>2531</v>
      </c>
      <c r="B1444" s="2" t="s">
        <v>52</v>
      </c>
      <c r="C1444" s="3" t="s">
        <v>192</v>
      </c>
      <c r="D1444" s="3" t="s">
        <v>34</v>
      </c>
      <c r="E1444" s="3" t="s">
        <v>77</v>
      </c>
      <c r="F1444" s="4">
        <v>24999</v>
      </c>
      <c r="G1444" s="5">
        <v>2</v>
      </c>
      <c r="H1444" s="6">
        <v>0.08</v>
      </c>
      <c r="I1444" s="7">
        <v>3999.84</v>
      </c>
      <c r="J1444" s="7">
        <v>45998.16</v>
      </c>
      <c r="K1444" s="7">
        <v>8847.9599999999991</v>
      </c>
      <c r="L1444" s="2" t="s">
        <v>1843</v>
      </c>
      <c r="M1444" s="18" t="s">
        <v>433</v>
      </c>
      <c r="N1444" s="3" t="s">
        <v>22</v>
      </c>
      <c r="O1444" s="3" t="s">
        <v>31</v>
      </c>
      <c r="P1444">
        <f>DATEVALUE(OnePlusSalesData[[#This Row],[order_date]])</f>
        <v>44143</v>
      </c>
      <c r="Q1444" s="28">
        <f>DATEVALUE(OnePlusSalesData[[#This Row],[delivery_date]])</f>
        <v>44146</v>
      </c>
    </row>
    <row r="1445" spans="1:17" ht="16" x14ac:dyDescent="0.45">
      <c r="A1445" s="8" t="s">
        <v>2532</v>
      </c>
      <c r="B1445" s="8" t="s">
        <v>16</v>
      </c>
      <c r="C1445" s="9" t="s">
        <v>140</v>
      </c>
      <c r="D1445" s="9" t="s">
        <v>85</v>
      </c>
      <c r="E1445" s="9" t="s">
        <v>265</v>
      </c>
      <c r="F1445" s="10">
        <v>4990</v>
      </c>
      <c r="G1445" s="11">
        <v>4</v>
      </c>
      <c r="H1445" s="12">
        <v>0.1</v>
      </c>
      <c r="I1445" s="13">
        <v>1996</v>
      </c>
      <c r="J1445" s="13">
        <v>17964</v>
      </c>
      <c r="K1445" s="13">
        <v>2735.7</v>
      </c>
      <c r="L1445" s="8" t="s">
        <v>1164</v>
      </c>
      <c r="M1445" s="19" t="s">
        <v>572</v>
      </c>
      <c r="N1445" s="9" t="s">
        <v>92</v>
      </c>
      <c r="O1445" s="9" t="s">
        <v>23</v>
      </c>
      <c r="P1445">
        <f>DATEVALUE(OnePlusSalesData[[#This Row],[order_date]])</f>
        <v>43883</v>
      </c>
      <c r="Q1445" s="28">
        <f>DATEVALUE(OnePlusSalesData[[#This Row],[delivery_date]])</f>
        <v>43885</v>
      </c>
    </row>
    <row r="1446" spans="1:17" ht="16" x14ac:dyDescent="0.45">
      <c r="A1446" s="2" t="s">
        <v>2533</v>
      </c>
      <c r="B1446" s="2" t="s">
        <v>52</v>
      </c>
      <c r="C1446" s="3" t="s">
        <v>69</v>
      </c>
      <c r="D1446" s="3" t="s">
        <v>18</v>
      </c>
      <c r="E1446" s="3" t="s">
        <v>179</v>
      </c>
      <c r="F1446" s="4">
        <v>1290</v>
      </c>
      <c r="G1446" s="5">
        <v>1</v>
      </c>
      <c r="H1446" s="6">
        <v>0.05</v>
      </c>
      <c r="I1446" s="7">
        <v>64.5</v>
      </c>
      <c r="J1446" s="7">
        <v>1225.5</v>
      </c>
      <c r="K1446" s="7">
        <v>223.95</v>
      </c>
      <c r="L1446" s="2" t="s">
        <v>450</v>
      </c>
      <c r="M1446" s="18" t="s">
        <v>404</v>
      </c>
      <c r="N1446" s="3" t="s">
        <v>22</v>
      </c>
      <c r="O1446" s="3" t="s">
        <v>63</v>
      </c>
      <c r="P1446">
        <f>DATEVALUE(OnePlusSalesData[[#This Row],[order_date]])</f>
        <v>43102</v>
      </c>
      <c r="Q1446" s="28">
        <f>DATEVALUE(OnePlusSalesData[[#This Row],[delivery_date]])</f>
        <v>43107</v>
      </c>
    </row>
    <row r="1447" spans="1:17" ht="16" x14ac:dyDescent="0.45">
      <c r="A1447" s="8" t="s">
        <v>2534</v>
      </c>
      <c r="B1447" s="8" t="s">
        <v>25</v>
      </c>
      <c r="C1447" s="9" t="s">
        <v>172</v>
      </c>
      <c r="D1447" s="9" t="s">
        <v>40</v>
      </c>
      <c r="E1447" s="9" t="s">
        <v>60</v>
      </c>
      <c r="F1447" s="10">
        <v>54999</v>
      </c>
      <c r="G1447" s="11">
        <v>2</v>
      </c>
      <c r="H1447" s="12">
        <v>0.08</v>
      </c>
      <c r="I1447" s="13">
        <v>8799.84</v>
      </c>
      <c r="J1447" s="13">
        <v>101198.16</v>
      </c>
      <c r="K1447" s="13">
        <v>20691.45</v>
      </c>
      <c r="L1447" s="8" t="s">
        <v>347</v>
      </c>
      <c r="M1447" s="19" t="s">
        <v>177</v>
      </c>
      <c r="N1447" s="9" t="s">
        <v>22</v>
      </c>
      <c r="O1447" s="9" t="s">
        <v>31</v>
      </c>
      <c r="P1447">
        <f>DATEVALUE(OnePlusSalesData[[#This Row],[order_date]])</f>
        <v>43614</v>
      </c>
      <c r="Q1447" s="28">
        <f>DATEVALUE(OnePlusSalesData[[#This Row],[delivery_date]])</f>
        <v>43616</v>
      </c>
    </row>
    <row r="1448" spans="1:17" ht="16" x14ac:dyDescent="0.45">
      <c r="A1448" s="2" t="s">
        <v>2535</v>
      </c>
      <c r="B1448" s="2" t="s">
        <v>16</v>
      </c>
      <c r="C1448" s="3" t="s">
        <v>33</v>
      </c>
      <c r="D1448" s="3" t="s">
        <v>40</v>
      </c>
      <c r="E1448" s="3" t="s">
        <v>47</v>
      </c>
      <c r="F1448" s="4">
        <v>37999</v>
      </c>
      <c r="G1448" s="5">
        <v>2</v>
      </c>
      <c r="H1448" s="6">
        <v>0.12</v>
      </c>
      <c r="I1448" s="7">
        <v>9119.76</v>
      </c>
      <c r="J1448" s="7">
        <v>66878.240000000005</v>
      </c>
      <c r="K1448" s="7">
        <v>12057.03</v>
      </c>
      <c r="L1448" s="2" t="s">
        <v>335</v>
      </c>
      <c r="M1448" s="18" t="s">
        <v>1945</v>
      </c>
      <c r="N1448" s="3" t="s">
        <v>92</v>
      </c>
      <c r="O1448" s="3" t="s">
        <v>23</v>
      </c>
      <c r="P1448">
        <f>DATEVALUE(OnePlusSalesData[[#This Row],[order_date]])</f>
        <v>43390</v>
      </c>
      <c r="Q1448" s="28">
        <f>DATEVALUE(OnePlusSalesData[[#This Row],[delivery_date]])</f>
        <v>43393</v>
      </c>
    </row>
    <row r="1449" spans="1:17" ht="16" x14ac:dyDescent="0.45">
      <c r="A1449" s="8" t="s">
        <v>2536</v>
      </c>
      <c r="B1449" s="8" t="s">
        <v>16</v>
      </c>
      <c r="C1449" s="9" t="s">
        <v>33</v>
      </c>
      <c r="D1449" s="9" t="s">
        <v>85</v>
      </c>
      <c r="E1449" s="9" t="s">
        <v>265</v>
      </c>
      <c r="F1449" s="10">
        <v>4990</v>
      </c>
      <c r="G1449" s="11">
        <v>2</v>
      </c>
      <c r="H1449" s="12">
        <v>0</v>
      </c>
      <c r="I1449" s="13">
        <v>0</v>
      </c>
      <c r="J1449" s="13">
        <v>9980</v>
      </c>
      <c r="K1449" s="13">
        <v>2147.9899999999998</v>
      </c>
      <c r="L1449" s="8" t="s">
        <v>2472</v>
      </c>
      <c r="M1449" s="19" t="s">
        <v>130</v>
      </c>
      <c r="N1449" s="9" t="s">
        <v>22</v>
      </c>
      <c r="O1449" s="9" t="s">
        <v>31</v>
      </c>
      <c r="P1449">
        <f>DATEVALUE(OnePlusSalesData[[#This Row],[order_date]])</f>
        <v>43550</v>
      </c>
      <c r="Q1449" s="28">
        <f>DATEVALUE(OnePlusSalesData[[#This Row],[delivery_date]])</f>
        <v>43553</v>
      </c>
    </row>
    <row r="1450" spans="1:17" ht="16" x14ac:dyDescent="0.45">
      <c r="A1450" s="2" t="s">
        <v>2537</v>
      </c>
      <c r="B1450" s="2" t="s">
        <v>16</v>
      </c>
      <c r="C1450" s="3" t="s">
        <v>152</v>
      </c>
      <c r="D1450" s="3" t="s">
        <v>85</v>
      </c>
      <c r="E1450" s="3" t="s">
        <v>265</v>
      </c>
      <c r="F1450" s="4">
        <v>4990</v>
      </c>
      <c r="G1450" s="5">
        <v>2</v>
      </c>
      <c r="H1450" s="6">
        <v>0.08</v>
      </c>
      <c r="I1450" s="7">
        <v>798.4</v>
      </c>
      <c r="J1450" s="7">
        <v>9181.6</v>
      </c>
      <c r="K1450" s="7">
        <v>2134.2600000000002</v>
      </c>
      <c r="L1450" s="2" t="s">
        <v>366</v>
      </c>
      <c r="M1450" s="18" t="s">
        <v>1943</v>
      </c>
      <c r="N1450" s="3" t="s">
        <v>22</v>
      </c>
      <c r="O1450" s="3" t="s">
        <v>96</v>
      </c>
      <c r="P1450">
        <f>DATEVALUE(OnePlusSalesData[[#This Row],[order_date]])</f>
        <v>43844</v>
      </c>
      <c r="Q1450" s="28">
        <f>DATEVALUE(OnePlusSalesData[[#This Row],[delivery_date]])</f>
        <v>43846</v>
      </c>
    </row>
    <row r="1451" spans="1:17" ht="16" x14ac:dyDescent="0.45">
      <c r="A1451" s="8" t="s">
        <v>2538</v>
      </c>
      <c r="B1451" s="8" t="s">
        <v>52</v>
      </c>
      <c r="C1451" s="9" t="s">
        <v>106</v>
      </c>
      <c r="D1451" s="9" t="s">
        <v>40</v>
      </c>
      <c r="E1451" s="9" t="s">
        <v>406</v>
      </c>
      <c r="F1451" s="10">
        <v>48999</v>
      </c>
      <c r="G1451" s="11">
        <v>1</v>
      </c>
      <c r="H1451" s="12">
        <v>0.05</v>
      </c>
      <c r="I1451" s="13">
        <v>2449.9499999999998</v>
      </c>
      <c r="J1451" s="13">
        <v>46549.05</v>
      </c>
      <c r="K1451" s="13">
        <v>8443.2900000000009</v>
      </c>
      <c r="L1451" s="8" t="s">
        <v>1392</v>
      </c>
      <c r="M1451" s="19" t="s">
        <v>1308</v>
      </c>
      <c r="N1451" s="9" t="s">
        <v>22</v>
      </c>
      <c r="O1451" s="9" t="s">
        <v>45</v>
      </c>
      <c r="P1451">
        <f>DATEVALUE(OnePlusSalesData[[#This Row],[order_date]])</f>
        <v>44163</v>
      </c>
      <c r="Q1451" s="28">
        <f>DATEVALUE(OnePlusSalesData[[#This Row],[delivery_date]])</f>
        <v>44170</v>
      </c>
    </row>
    <row r="1452" spans="1:17" ht="16" x14ac:dyDescent="0.45">
      <c r="A1452" s="2" t="s">
        <v>2539</v>
      </c>
      <c r="B1452" s="2" t="s">
        <v>25</v>
      </c>
      <c r="C1452" s="3" t="s">
        <v>120</v>
      </c>
      <c r="D1452" s="3" t="s">
        <v>40</v>
      </c>
      <c r="E1452" s="3" t="s">
        <v>41</v>
      </c>
      <c r="F1452" s="4">
        <v>37999</v>
      </c>
      <c r="G1452" s="5">
        <v>2</v>
      </c>
      <c r="H1452" s="6">
        <v>0</v>
      </c>
      <c r="I1452" s="7">
        <v>0</v>
      </c>
      <c r="J1452" s="7">
        <v>75998</v>
      </c>
      <c r="K1452" s="7">
        <v>11291.22</v>
      </c>
      <c r="L1452" s="2" t="s">
        <v>868</v>
      </c>
      <c r="M1452" s="18" t="s">
        <v>1898</v>
      </c>
      <c r="N1452" s="3" t="s">
        <v>22</v>
      </c>
      <c r="O1452" s="3" t="s">
        <v>63</v>
      </c>
      <c r="P1452">
        <f>DATEVALUE(OnePlusSalesData[[#This Row],[order_date]])</f>
        <v>43349</v>
      </c>
      <c r="Q1452" s="28">
        <f>DATEVALUE(OnePlusSalesData[[#This Row],[delivery_date]])</f>
        <v>43355</v>
      </c>
    </row>
    <row r="1453" spans="1:17" ht="16" x14ac:dyDescent="0.45">
      <c r="A1453" s="8" t="s">
        <v>2540</v>
      </c>
      <c r="B1453" s="8" t="s">
        <v>16</v>
      </c>
      <c r="C1453" s="9" t="s">
        <v>17</v>
      </c>
      <c r="D1453" s="9" t="s">
        <v>18</v>
      </c>
      <c r="E1453" s="9" t="s">
        <v>19</v>
      </c>
      <c r="F1453" s="10">
        <v>1990</v>
      </c>
      <c r="G1453" s="11">
        <v>1</v>
      </c>
      <c r="H1453" s="12">
        <v>0.08</v>
      </c>
      <c r="I1453" s="13">
        <v>159.19999999999999</v>
      </c>
      <c r="J1453" s="13">
        <v>1830.8</v>
      </c>
      <c r="K1453" s="13">
        <v>317.12</v>
      </c>
      <c r="L1453" s="8" t="s">
        <v>2206</v>
      </c>
      <c r="M1453" s="19" t="s">
        <v>910</v>
      </c>
      <c r="N1453" s="9" t="s">
        <v>22</v>
      </c>
      <c r="O1453" s="9" t="s">
        <v>63</v>
      </c>
      <c r="P1453">
        <f>DATEVALUE(OnePlusSalesData[[#This Row],[order_date]])</f>
        <v>43159</v>
      </c>
      <c r="Q1453" s="28">
        <f>DATEVALUE(OnePlusSalesData[[#This Row],[delivery_date]])</f>
        <v>43163</v>
      </c>
    </row>
    <row r="1454" spans="1:17" ht="16" x14ac:dyDescent="0.45">
      <c r="A1454" s="2" t="s">
        <v>2541</v>
      </c>
      <c r="B1454" s="2" t="s">
        <v>25</v>
      </c>
      <c r="C1454" s="3" t="s">
        <v>172</v>
      </c>
      <c r="D1454" s="3" t="s">
        <v>18</v>
      </c>
      <c r="E1454" s="3" t="s">
        <v>19</v>
      </c>
      <c r="F1454" s="4">
        <v>1990</v>
      </c>
      <c r="G1454" s="5">
        <v>2</v>
      </c>
      <c r="H1454" s="6">
        <v>0.08</v>
      </c>
      <c r="I1454" s="7">
        <v>318.39999999999998</v>
      </c>
      <c r="J1454" s="7">
        <v>3661.6</v>
      </c>
      <c r="K1454" s="7">
        <v>602.21</v>
      </c>
      <c r="L1454" s="2" t="s">
        <v>412</v>
      </c>
      <c r="M1454" s="18" t="s">
        <v>1673</v>
      </c>
      <c r="N1454" s="3" t="s">
        <v>22</v>
      </c>
      <c r="O1454" s="3" t="s">
        <v>31</v>
      </c>
      <c r="P1454">
        <f>DATEVALUE(OnePlusSalesData[[#This Row],[order_date]])</f>
        <v>44075</v>
      </c>
      <c r="Q1454" s="28">
        <f>DATEVALUE(OnePlusSalesData[[#This Row],[delivery_date]])</f>
        <v>44081</v>
      </c>
    </row>
    <row r="1455" spans="1:17" ht="16" x14ac:dyDescent="0.45">
      <c r="A1455" s="8" t="s">
        <v>2542</v>
      </c>
      <c r="B1455" s="8" t="s">
        <v>25</v>
      </c>
      <c r="C1455" s="9" t="s">
        <v>65</v>
      </c>
      <c r="D1455" s="9" t="s">
        <v>40</v>
      </c>
      <c r="E1455" s="9" t="s">
        <v>60</v>
      </c>
      <c r="F1455" s="10">
        <v>54999</v>
      </c>
      <c r="G1455" s="11">
        <v>2</v>
      </c>
      <c r="H1455" s="12">
        <v>0.1</v>
      </c>
      <c r="I1455" s="13">
        <v>10999.8</v>
      </c>
      <c r="J1455" s="13">
        <v>98998.2</v>
      </c>
      <c r="K1455" s="13">
        <v>19034.66</v>
      </c>
      <c r="L1455" s="8" t="s">
        <v>1138</v>
      </c>
      <c r="M1455" s="19" t="s">
        <v>294</v>
      </c>
      <c r="N1455" s="9" t="s">
        <v>22</v>
      </c>
      <c r="O1455" s="9" t="s">
        <v>31</v>
      </c>
      <c r="P1455">
        <f>DATEVALUE(OnePlusSalesData[[#This Row],[order_date]])</f>
        <v>43822</v>
      </c>
      <c r="Q1455" s="28">
        <f>DATEVALUE(OnePlusSalesData[[#This Row],[delivery_date]])</f>
        <v>43825</v>
      </c>
    </row>
    <row r="1456" spans="1:17" ht="16" x14ac:dyDescent="0.45">
      <c r="A1456" s="2" t="s">
        <v>2543</v>
      </c>
      <c r="B1456" s="2" t="s">
        <v>25</v>
      </c>
      <c r="C1456" s="3" t="s">
        <v>65</v>
      </c>
      <c r="D1456" s="3" t="s">
        <v>18</v>
      </c>
      <c r="E1456" s="3" t="s">
        <v>179</v>
      </c>
      <c r="F1456" s="4">
        <v>1290</v>
      </c>
      <c r="G1456" s="5">
        <v>1</v>
      </c>
      <c r="H1456" s="6">
        <v>0.1</v>
      </c>
      <c r="I1456" s="7">
        <v>129</v>
      </c>
      <c r="J1456" s="7">
        <v>1161</v>
      </c>
      <c r="K1456" s="7">
        <v>188.79</v>
      </c>
      <c r="L1456" s="2" t="s">
        <v>937</v>
      </c>
      <c r="M1456" s="18" t="s">
        <v>2306</v>
      </c>
      <c r="N1456" s="3" t="s">
        <v>22</v>
      </c>
      <c r="O1456" s="3" t="s">
        <v>31</v>
      </c>
      <c r="P1456">
        <f>DATEVALUE(OnePlusSalesData[[#This Row],[order_date]])</f>
        <v>43132</v>
      </c>
      <c r="Q1456" s="28">
        <f>DATEVALUE(OnePlusSalesData[[#This Row],[delivery_date]])</f>
        <v>43137</v>
      </c>
    </row>
    <row r="1457" spans="1:17" ht="16" x14ac:dyDescent="0.45">
      <c r="A1457" s="8" t="s">
        <v>2544</v>
      </c>
      <c r="B1457" s="8" t="s">
        <v>52</v>
      </c>
      <c r="C1457" s="9" t="s">
        <v>53</v>
      </c>
      <c r="D1457" s="9" t="s">
        <v>40</v>
      </c>
      <c r="E1457" s="9" t="s">
        <v>148</v>
      </c>
      <c r="F1457" s="10">
        <v>41999</v>
      </c>
      <c r="G1457" s="11">
        <v>2</v>
      </c>
      <c r="H1457" s="12">
        <v>0.05</v>
      </c>
      <c r="I1457" s="13">
        <v>4199.8999999999996</v>
      </c>
      <c r="J1457" s="13">
        <v>79798.100000000006</v>
      </c>
      <c r="K1457" s="13">
        <v>16206.48</v>
      </c>
      <c r="L1457" s="8" t="s">
        <v>1895</v>
      </c>
      <c r="M1457" s="19" t="s">
        <v>2126</v>
      </c>
      <c r="N1457" s="9" t="s">
        <v>22</v>
      </c>
      <c r="O1457" s="9" t="s">
        <v>23</v>
      </c>
      <c r="P1457">
        <f>DATEVALUE(OnePlusSalesData[[#This Row],[order_date]])</f>
        <v>43524</v>
      </c>
      <c r="Q1457" s="28">
        <f>DATEVALUE(OnePlusSalesData[[#This Row],[delivery_date]])</f>
        <v>43528</v>
      </c>
    </row>
    <row r="1458" spans="1:17" ht="16" x14ac:dyDescent="0.45">
      <c r="A1458" s="2" t="s">
        <v>2545</v>
      </c>
      <c r="B1458" s="2" t="s">
        <v>52</v>
      </c>
      <c r="C1458" s="3" t="s">
        <v>358</v>
      </c>
      <c r="D1458" s="3" t="s">
        <v>18</v>
      </c>
      <c r="E1458" s="3" t="s">
        <v>19</v>
      </c>
      <c r="F1458" s="4">
        <v>1990</v>
      </c>
      <c r="G1458" s="5">
        <v>1</v>
      </c>
      <c r="H1458" s="6">
        <v>0</v>
      </c>
      <c r="I1458" s="7">
        <v>0</v>
      </c>
      <c r="J1458" s="7">
        <v>1990</v>
      </c>
      <c r="K1458" s="7">
        <v>385.01</v>
      </c>
      <c r="L1458" s="2" t="s">
        <v>1578</v>
      </c>
      <c r="M1458" s="18" t="s">
        <v>555</v>
      </c>
      <c r="N1458" s="3" t="s">
        <v>22</v>
      </c>
      <c r="O1458" s="3" t="s">
        <v>31</v>
      </c>
      <c r="P1458">
        <f>DATEVALUE(OnePlusSalesData[[#This Row],[order_date]])</f>
        <v>43360</v>
      </c>
      <c r="Q1458" s="28">
        <f>DATEVALUE(OnePlusSalesData[[#This Row],[delivery_date]])</f>
        <v>43362</v>
      </c>
    </row>
    <row r="1459" spans="1:17" ht="16" x14ac:dyDescent="0.45">
      <c r="A1459" s="8" t="s">
        <v>2546</v>
      </c>
      <c r="B1459" s="8" t="s">
        <v>16</v>
      </c>
      <c r="C1459" s="9" t="s">
        <v>152</v>
      </c>
      <c r="D1459" s="9" t="s">
        <v>40</v>
      </c>
      <c r="E1459" s="9" t="s">
        <v>148</v>
      </c>
      <c r="F1459" s="10">
        <v>41999</v>
      </c>
      <c r="G1459" s="11">
        <v>1</v>
      </c>
      <c r="H1459" s="12">
        <v>0.05</v>
      </c>
      <c r="I1459" s="13">
        <v>2099.9499999999998</v>
      </c>
      <c r="J1459" s="13">
        <v>39899.050000000003</v>
      </c>
      <c r="K1459" s="13">
        <v>6497.02</v>
      </c>
      <c r="L1459" s="8" t="s">
        <v>134</v>
      </c>
      <c r="M1459" s="19" t="s">
        <v>861</v>
      </c>
      <c r="N1459" s="9" t="s">
        <v>50</v>
      </c>
      <c r="O1459" s="9" t="s">
        <v>63</v>
      </c>
      <c r="P1459">
        <f>DATEVALUE(OnePlusSalesData[[#This Row],[order_date]])</f>
        <v>43618</v>
      </c>
      <c r="Q1459" s="28">
        <f>DATEVALUE(OnePlusSalesData[[#This Row],[delivery_date]])</f>
        <v>43621</v>
      </c>
    </row>
    <row r="1460" spans="1:17" ht="16" x14ac:dyDescent="0.45">
      <c r="A1460" s="2" t="s">
        <v>2547</v>
      </c>
      <c r="B1460" s="2" t="s">
        <v>25</v>
      </c>
      <c r="C1460" s="3" t="s">
        <v>172</v>
      </c>
      <c r="D1460" s="3" t="s">
        <v>40</v>
      </c>
      <c r="E1460" s="3" t="s">
        <v>54</v>
      </c>
      <c r="F1460" s="4">
        <v>53999</v>
      </c>
      <c r="G1460" s="5">
        <v>1</v>
      </c>
      <c r="H1460" s="6">
        <v>0.1</v>
      </c>
      <c r="I1460" s="7">
        <v>5399.9</v>
      </c>
      <c r="J1460" s="7">
        <v>48599.1</v>
      </c>
      <c r="K1460" s="7">
        <v>12586.24</v>
      </c>
      <c r="L1460" s="2" t="s">
        <v>910</v>
      </c>
      <c r="M1460" s="18" t="s">
        <v>911</v>
      </c>
      <c r="N1460" s="3" t="s">
        <v>22</v>
      </c>
      <c r="O1460" s="3" t="s">
        <v>31</v>
      </c>
      <c r="P1460">
        <f>DATEVALUE(OnePlusSalesData[[#This Row],[order_date]])</f>
        <v>43163</v>
      </c>
      <c r="Q1460" s="28">
        <f>DATEVALUE(OnePlusSalesData[[#This Row],[delivery_date]])</f>
        <v>43170</v>
      </c>
    </row>
    <row r="1461" spans="1:17" ht="16" x14ac:dyDescent="0.45">
      <c r="A1461" s="8" t="s">
        <v>2548</v>
      </c>
      <c r="B1461" s="8" t="s">
        <v>58</v>
      </c>
      <c r="C1461" s="9" t="s">
        <v>81</v>
      </c>
      <c r="D1461" s="9" t="s">
        <v>18</v>
      </c>
      <c r="E1461" s="9" t="s">
        <v>179</v>
      </c>
      <c r="F1461" s="10">
        <v>1290</v>
      </c>
      <c r="G1461" s="11">
        <v>1</v>
      </c>
      <c r="H1461" s="12">
        <v>0.05</v>
      </c>
      <c r="I1461" s="13">
        <v>64.5</v>
      </c>
      <c r="J1461" s="13">
        <v>1225.5</v>
      </c>
      <c r="K1461" s="13">
        <v>276.31</v>
      </c>
      <c r="L1461" s="8" t="s">
        <v>463</v>
      </c>
      <c r="M1461" s="19" t="s">
        <v>778</v>
      </c>
      <c r="N1461" s="9" t="s">
        <v>22</v>
      </c>
      <c r="O1461" s="9" t="s">
        <v>63</v>
      </c>
      <c r="P1461">
        <f>DATEVALUE(OnePlusSalesData[[#This Row],[order_date]])</f>
        <v>44011</v>
      </c>
      <c r="Q1461" s="28">
        <f>DATEVALUE(OnePlusSalesData[[#This Row],[delivery_date]])</f>
        <v>44015</v>
      </c>
    </row>
    <row r="1462" spans="1:17" ht="16" x14ac:dyDescent="0.45">
      <c r="A1462" s="2" t="s">
        <v>2549</v>
      </c>
      <c r="B1462" s="2" t="s">
        <v>25</v>
      </c>
      <c r="C1462" s="3" t="s">
        <v>120</v>
      </c>
      <c r="D1462" s="3" t="s">
        <v>40</v>
      </c>
      <c r="E1462" s="3" t="s">
        <v>47</v>
      </c>
      <c r="F1462" s="4">
        <v>37999</v>
      </c>
      <c r="G1462" s="5">
        <v>1</v>
      </c>
      <c r="H1462" s="6">
        <v>0.08</v>
      </c>
      <c r="I1462" s="7">
        <v>3039.92</v>
      </c>
      <c r="J1462" s="7">
        <v>34959.08</v>
      </c>
      <c r="K1462" s="7">
        <v>8796.2900000000009</v>
      </c>
      <c r="L1462" s="2" t="s">
        <v>438</v>
      </c>
      <c r="M1462" s="18" t="s">
        <v>439</v>
      </c>
      <c r="N1462" s="3" t="s">
        <v>22</v>
      </c>
      <c r="O1462" s="3" t="s">
        <v>23</v>
      </c>
      <c r="P1462">
        <f>DATEVALUE(OnePlusSalesData[[#This Row],[order_date]])</f>
        <v>44184</v>
      </c>
      <c r="Q1462" s="28">
        <f>DATEVALUE(OnePlusSalesData[[#This Row],[delivery_date]])</f>
        <v>44191</v>
      </c>
    </row>
    <row r="1463" spans="1:17" ht="16" x14ac:dyDescent="0.45">
      <c r="A1463" s="8" t="s">
        <v>2550</v>
      </c>
      <c r="B1463" s="8" t="s">
        <v>58</v>
      </c>
      <c r="C1463" s="9" t="s">
        <v>221</v>
      </c>
      <c r="D1463" s="9" t="s">
        <v>85</v>
      </c>
      <c r="E1463" s="9" t="s">
        <v>265</v>
      </c>
      <c r="F1463" s="10">
        <v>4990</v>
      </c>
      <c r="G1463" s="11">
        <v>1</v>
      </c>
      <c r="H1463" s="12">
        <v>0</v>
      </c>
      <c r="I1463" s="13">
        <v>0</v>
      </c>
      <c r="J1463" s="13">
        <v>4990</v>
      </c>
      <c r="K1463" s="13">
        <v>1003.29</v>
      </c>
      <c r="L1463" s="8" t="s">
        <v>2418</v>
      </c>
      <c r="M1463" s="19" t="s">
        <v>2398</v>
      </c>
      <c r="N1463" s="9" t="s">
        <v>44</v>
      </c>
      <c r="O1463" s="9" t="s">
        <v>96</v>
      </c>
      <c r="P1463">
        <f>DATEVALUE(OnePlusSalesData[[#This Row],[order_date]])</f>
        <v>43198</v>
      </c>
      <c r="Q1463" s="28">
        <f>DATEVALUE(OnePlusSalesData[[#This Row],[delivery_date]])</f>
        <v>43202</v>
      </c>
    </row>
    <row r="1464" spans="1:17" ht="16" x14ac:dyDescent="0.45">
      <c r="A1464" s="2" t="s">
        <v>2551</v>
      </c>
      <c r="B1464" s="2" t="s">
        <v>25</v>
      </c>
      <c r="C1464" s="3" t="s">
        <v>26</v>
      </c>
      <c r="D1464" s="3" t="s">
        <v>34</v>
      </c>
      <c r="E1464" s="3" t="s">
        <v>35</v>
      </c>
      <c r="F1464" s="4">
        <v>19999</v>
      </c>
      <c r="G1464" s="5">
        <v>1</v>
      </c>
      <c r="H1464" s="6">
        <v>0.1</v>
      </c>
      <c r="I1464" s="7">
        <v>1999.9</v>
      </c>
      <c r="J1464" s="7">
        <v>17999.099999999999</v>
      </c>
      <c r="K1464" s="7">
        <v>3725.69</v>
      </c>
      <c r="L1464" s="2" t="s">
        <v>656</v>
      </c>
      <c r="M1464" s="18" t="s">
        <v>83</v>
      </c>
      <c r="N1464" s="3" t="s">
        <v>22</v>
      </c>
      <c r="O1464" s="3" t="s">
        <v>96</v>
      </c>
      <c r="P1464">
        <f>DATEVALUE(OnePlusSalesData[[#This Row],[order_date]])</f>
        <v>43676</v>
      </c>
      <c r="Q1464" s="28">
        <f>DATEVALUE(OnePlusSalesData[[#This Row],[delivery_date]])</f>
        <v>43681</v>
      </c>
    </row>
    <row r="1465" spans="1:17" ht="16" x14ac:dyDescent="0.45">
      <c r="A1465" s="8" t="s">
        <v>2552</v>
      </c>
      <c r="B1465" s="8" t="s">
        <v>16</v>
      </c>
      <c r="C1465" s="9" t="s">
        <v>33</v>
      </c>
      <c r="D1465" s="9" t="s">
        <v>34</v>
      </c>
      <c r="E1465" s="9" t="s">
        <v>35</v>
      </c>
      <c r="F1465" s="10">
        <v>19999</v>
      </c>
      <c r="G1465" s="11">
        <v>5</v>
      </c>
      <c r="H1465" s="12">
        <v>0</v>
      </c>
      <c r="I1465" s="13">
        <v>0</v>
      </c>
      <c r="J1465" s="13">
        <v>99995</v>
      </c>
      <c r="K1465" s="13">
        <v>24376.43</v>
      </c>
      <c r="L1465" s="8" t="s">
        <v>2503</v>
      </c>
      <c r="M1465" s="19" t="s">
        <v>249</v>
      </c>
      <c r="N1465" s="9" t="s">
        <v>50</v>
      </c>
      <c r="O1465" s="9" t="s">
        <v>23</v>
      </c>
      <c r="P1465">
        <f>DATEVALUE(OnePlusSalesData[[#This Row],[order_date]])</f>
        <v>43207</v>
      </c>
      <c r="Q1465" s="28">
        <f>DATEVALUE(OnePlusSalesData[[#This Row],[delivery_date]])</f>
        <v>43213</v>
      </c>
    </row>
    <row r="1466" spans="1:17" ht="16" x14ac:dyDescent="0.45">
      <c r="A1466" s="2" t="s">
        <v>2553</v>
      </c>
      <c r="B1466" s="2" t="s">
        <v>16</v>
      </c>
      <c r="C1466" s="3" t="s">
        <v>140</v>
      </c>
      <c r="D1466" s="3" t="s">
        <v>18</v>
      </c>
      <c r="E1466" s="3" t="s">
        <v>124</v>
      </c>
      <c r="F1466" s="4">
        <v>3990</v>
      </c>
      <c r="G1466" s="5">
        <v>1</v>
      </c>
      <c r="H1466" s="6">
        <v>0.1</v>
      </c>
      <c r="I1466" s="7">
        <v>399</v>
      </c>
      <c r="J1466" s="7">
        <v>3591</v>
      </c>
      <c r="K1466" s="7">
        <v>597.19000000000005</v>
      </c>
      <c r="L1466" s="2" t="s">
        <v>991</v>
      </c>
      <c r="M1466" s="18" t="s">
        <v>1145</v>
      </c>
      <c r="N1466" s="3" t="s">
        <v>50</v>
      </c>
      <c r="O1466" s="3" t="s">
        <v>23</v>
      </c>
      <c r="P1466">
        <f>DATEVALUE(OnePlusSalesData[[#This Row],[order_date]])</f>
        <v>44033</v>
      </c>
      <c r="Q1466" s="28">
        <f>DATEVALUE(OnePlusSalesData[[#This Row],[delivery_date]])</f>
        <v>44035</v>
      </c>
    </row>
    <row r="1467" spans="1:17" ht="16" x14ac:dyDescent="0.45">
      <c r="A1467" s="8" t="s">
        <v>2554</v>
      </c>
      <c r="B1467" s="8" t="s">
        <v>16</v>
      </c>
      <c r="C1467" s="9" t="s">
        <v>33</v>
      </c>
      <c r="D1467" s="9" t="s">
        <v>18</v>
      </c>
      <c r="E1467" s="9" t="s">
        <v>179</v>
      </c>
      <c r="F1467" s="10">
        <v>1290</v>
      </c>
      <c r="G1467" s="11">
        <v>2</v>
      </c>
      <c r="H1467" s="12">
        <v>0.1</v>
      </c>
      <c r="I1467" s="13">
        <v>258</v>
      </c>
      <c r="J1467" s="13">
        <v>2322</v>
      </c>
      <c r="K1467" s="13">
        <v>339.75</v>
      </c>
      <c r="L1467" s="8" t="s">
        <v>831</v>
      </c>
      <c r="M1467" s="19" t="s">
        <v>1553</v>
      </c>
      <c r="N1467" s="9" t="s">
        <v>92</v>
      </c>
      <c r="O1467" s="9" t="s">
        <v>23</v>
      </c>
      <c r="P1467">
        <f>DATEVALUE(OnePlusSalesData[[#This Row],[order_date]])</f>
        <v>44097</v>
      </c>
      <c r="Q1467" s="28">
        <f>DATEVALUE(OnePlusSalesData[[#This Row],[delivery_date]])</f>
        <v>44102</v>
      </c>
    </row>
    <row r="1468" spans="1:17" ht="16" x14ac:dyDescent="0.45">
      <c r="A1468" s="2" t="s">
        <v>2555</v>
      </c>
      <c r="B1468" s="2" t="s">
        <v>16</v>
      </c>
      <c r="C1468" s="3" t="s">
        <v>152</v>
      </c>
      <c r="D1468" s="3" t="s">
        <v>27</v>
      </c>
      <c r="E1468" s="3" t="s">
        <v>28</v>
      </c>
      <c r="F1468" s="4">
        <v>12999</v>
      </c>
      <c r="G1468" s="5">
        <v>2</v>
      </c>
      <c r="H1468" s="6">
        <v>0.05</v>
      </c>
      <c r="I1468" s="7">
        <v>1299.9000000000001</v>
      </c>
      <c r="J1468" s="7">
        <v>24698.1</v>
      </c>
      <c r="K1468" s="7">
        <v>4891.91</v>
      </c>
      <c r="L1468" s="2" t="s">
        <v>1513</v>
      </c>
      <c r="M1468" s="18" t="s">
        <v>21</v>
      </c>
      <c r="N1468" s="3" t="s">
        <v>44</v>
      </c>
      <c r="O1468" s="3" t="s">
        <v>31</v>
      </c>
      <c r="P1468">
        <f>DATEVALUE(OnePlusSalesData[[#This Row],[order_date]])</f>
        <v>43566</v>
      </c>
      <c r="Q1468" s="28">
        <f>DATEVALUE(OnePlusSalesData[[#This Row],[delivery_date]])</f>
        <v>43571</v>
      </c>
    </row>
    <row r="1469" spans="1:17" ht="16" x14ac:dyDescent="0.45">
      <c r="A1469" s="8" t="s">
        <v>2556</v>
      </c>
      <c r="B1469" s="8" t="s">
        <v>52</v>
      </c>
      <c r="C1469" s="9" t="s">
        <v>69</v>
      </c>
      <c r="D1469" s="9" t="s">
        <v>27</v>
      </c>
      <c r="E1469" s="9" t="s">
        <v>176</v>
      </c>
      <c r="F1469" s="10">
        <v>69900</v>
      </c>
      <c r="G1469" s="11">
        <v>1</v>
      </c>
      <c r="H1469" s="12">
        <v>0.05</v>
      </c>
      <c r="I1469" s="13">
        <v>3495</v>
      </c>
      <c r="J1469" s="13">
        <v>66405</v>
      </c>
      <c r="K1469" s="13">
        <v>15517.93</v>
      </c>
      <c r="L1469" s="8" t="s">
        <v>1377</v>
      </c>
      <c r="M1469" s="19" t="s">
        <v>254</v>
      </c>
      <c r="N1469" s="9" t="s">
        <v>44</v>
      </c>
      <c r="O1469" s="9" t="s">
        <v>63</v>
      </c>
      <c r="P1469">
        <f>DATEVALUE(OnePlusSalesData[[#This Row],[order_date]])</f>
        <v>43935</v>
      </c>
      <c r="Q1469" s="28">
        <f>DATEVALUE(OnePlusSalesData[[#This Row],[delivery_date]])</f>
        <v>43938</v>
      </c>
    </row>
    <row r="1470" spans="1:17" ht="16" x14ac:dyDescent="0.45">
      <c r="A1470" s="2" t="s">
        <v>2557</v>
      </c>
      <c r="B1470" s="2" t="s">
        <v>25</v>
      </c>
      <c r="C1470" s="3" t="s">
        <v>172</v>
      </c>
      <c r="D1470" s="3" t="s">
        <v>27</v>
      </c>
      <c r="E1470" s="3" t="s">
        <v>159</v>
      </c>
      <c r="F1470" s="4">
        <v>22999</v>
      </c>
      <c r="G1470" s="5">
        <v>2</v>
      </c>
      <c r="H1470" s="6">
        <v>0.05</v>
      </c>
      <c r="I1470" s="7">
        <v>2299.9</v>
      </c>
      <c r="J1470" s="7">
        <v>43698.1</v>
      </c>
      <c r="K1470" s="7">
        <v>6229.89</v>
      </c>
      <c r="L1470" s="2" t="s">
        <v>335</v>
      </c>
      <c r="M1470" s="18" t="s">
        <v>2493</v>
      </c>
      <c r="N1470" s="3" t="s">
        <v>22</v>
      </c>
      <c r="O1470" s="3" t="s">
        <v>23</v>
      </c>
      <c r="P1470">
        <f>DATEVALUE(OnePlusSalesData[[#This Row],[order_date]])</f>
        <v>43390</v>
      </c>
      <c r="Q1470" s="28">
        <f>DATEVALUE(OnePlusSalesData[[#This Row],[delivery_date]])</f>
        <v>43392</v>
      </c>
    </row>
    <row r="1471" spans="1:17" ht="16" x14ac:dyDescent="0.45">
      <c r="A1471" s="8" t="s">
        <v>2558</v>
      </c>
      <c r="B1471" s="8" t="s">
        <v>25</v>
      </c>
      <c r="C1471" s="9" t="s">
        <v>120</v>
      </c>
      <c r="D1471" s="9" t="s">
        <v>40</v>
      </c>
      <c r="E1471" s="9" t="s">
        <v>73</v>
      </c>
      <c r="F1471" s="10">
        <v>32999</v>
      </c>
      <c r="G1471" s="11">
        <v>1</v>
      </c>
      <c r="H1471" s="12">
        <v>0.12</v>
      </c>
      <c r="I1471" s="13">
        <v>3959.88</v>
      </c>
      <c r="J1471" s="13">
        <v>29039.119999999999</v>
      </c>
      <c r="K1471" s="13">
        <v>7129.17</v>
      </c>
      <c r="L1471" s="8" t="s">
        <v>1361</v>
      </c>
      <c r="M1471" s="19" t="s">
        <v>2099</v>
      </c>
      <c r="N1471" s="9" t="s">
        <v>22</v>
      </c>
      <c r="O1471" s="9" t="s">
        <v>63</v>
      </c>
      <c r="P1471">
        <f>DATEVALUE(OnePlusSalesData[[#This Row],[order_date]])</f>
        <v>43781</v>
      </c>
      <c r="Q1471" s="28">
        <f>DATEVALUE(OnePlusSalesData[[#This Row],[delivery_date]])</f>
        <v>43786</v>
      </c>
    </row>
    <row r="1472" spans="1:17" ht="16" x14ac:dyDescent="0.45">
      <c r="A1472" s="2" t="s">
        <v>2559</v>
      </c>
      <c r="B1472" s="2" t="s">
        <v>25</v>
      </c>
      <c r="C1472" s="3" t="s">
        <v>26</v>
      </c>
      <c r="D1472" s="3" t="s">
        <v>34</v>
      </c>
      <c r="E1472" s="3" t="s">
        <v>35</v>
      </c>
      <c r="F1472" s="4">
        <v>19999</v>
      </c>
      <c r="G1472" s="5">
        <v>4</v>
      </c>
      <c r="H1472" s="6">
        <v>0</v>
      </c>
      <c r="I1472" s="7">
        <v>0</v>
      </c>
      <c r="J1472" s="7">
        <v>79996</v>
      </c>
      <c r="K1472" s="7">
        <v>13103.99</v>
      </c>
      <c r="L1472" s="2" t="s">
        <v>868</v>
      </c>
      <c r="M1472" s="18" t="s">
        <v>1034</v>
      </c>
      <c r="N1472" s="3" t="s">
        <v>22</v>
      </c>
      <c r="O1472" s="3" t="s">
        <v>23</v>
      </c>
      <c r="P1472">
        <f>DATEVALUE(OnePlusSalesData[[#This Row],[order_date]])</f>
        <v>43349</v>
      </c>
      <c r="Q1472" s="28">
        <f>DATEVALUE(OnePlusSalesData[[#This Row],[delivery_date]])</f>
        <v>43356</v>
      </c>
    </row>
    <row r="1473" spans="1:17" ht="16" x14ac:dyDescent="0.45">
      <c r="A1473" s="8" t="s">
        <v>2560</v>
      </c>
      <c r="B1473" s="8" t="s">
        <v>25</v>
      </c>
      <c r="C1473" s="9" t="s">
        <v>65</v>
      </c>
      <c r="D1473" s="9" t="s">
        <v>40</v>
      </c>
      <c r="E1473" s="9" t="s">
        <v>73</v>
      </c>
      <c r="F1473" s="10">
        <v>32999</v>
      </c>
      <c r="G1473" s="11">
        <v>1</v>
      </c>
      <c r="H1473" s="12">
        <v>0.05</v>
      </c>
      <c r="I1473" s="13">
        <v>1649.95</v>
      </c>
      <c r="J1473" s="13">
        <v>31349.05</v>
      </c>
      <c r="K1473" s="13">
        <v>7720.95</v>
      </c>
      <c r="L1473" s="8" t="s">
        <v>820</v>
      </c>
      <c r="M1473" s="19" t="s">
        <v>170</v>
      </c>
      <c r="N1473" s="9" t="s">
        <v>22</v>
      </c>
      <c r="O1473" s="9" t="s">
        <v>23</v>
      </c>
      <c r="P1473" s="28">
        <f>DATEVALUE(OnePlusSalesData[[#This Row],[order_date]])</f>
        <v>44169</v>
      </c>
      <c r="Q1473" s="28">
        <f>DATEVALUE(OnePlusSalesData[[#This Row],[delivery_date]])</f>
        <v>44173</v>
      </c>
    </row>
    <row r="1474" spans="1:17" ht="16" x14ac:dyDescent="0.45">
      <c r="A1474" s="2" t="s">
        <v>2561</v>
      </c>
      <c r="B1474" s="2" t="s">
        <v>16</v>
      </c>
      <c r="C1474" s="3" t="s">
        <v>152</v>
      </c>
      <c r="D1474" s="3" t="s">
        <v>40</v>
      </c>
      <c r="E1474" s="3" t="s">
        <v>98</v>
      </c>
      <c r="F1474" s="4">
        <v>34999</v>
      </c>
      <c r="G1474" s="5">
        <v>1</v>
      </c>
      <c r="H1474" s="6">
        <v>0.05</v>
      </c>
      <c r="I1474" s="7">
        <v>1749.95</v>
      </c>
      <c r="J1474" s="7">
        <v>33249.050000000003</v>
      </c>
      <c r="K1474" s="7">
        <v>4725.83</v>
      </c>
      <c r="L1474" s="2" t="s">
        <v>492</v>
      </c>
      <c r="M1474" s="18" t="s">
        <v>494</v>
      </c>
      <c r="N1474" s="3" t="s">
        <v>50</v>
      </c>
      <c r="O1474" s="3" t="s">
        <v>63</v>
      </c>
      <c r="P1474" s="28">
        <f>DATEVALUE(OnePlusSalesData[[#This Row],[order_date]])</f>
        <v>43223</v>
      </c>
      <c r="Q1474" s="28">
        <f>DATEVALUE(OnePlusSalesData[[#This Row],[delivery_date]])</f>
        <v>43226</v>
      </c>
    </row>
    <row r="1475" spans="1:17" ht="16" x14ac:dyDescent="0.45">
      <c r="A1475" s="8" t="s">
        <v>2562</v>
      </c>
      <c r="B1475" s="8" t="s">
        <v>16</v>
      </c>
      <c r="C1475" s="9" t="s">
        <v>140</v>
      </c>
      <c r="D1475" s="9" t="s">
        <v>40</v>
      </c>
      <c r="E1475" s="9" t="s">
        <v>60</v>
      </c>
      <c r="F1475" s="10">
        <v>54999</v>
      </c>
      <c r="G1475" s="11">
        <v>3</v>
      </c>
      <c r="H1475" s="12">
        <v>0.15</v>
      </c>
      <c r="I1475" s="13">
        <v>24749.55</v>
      </c>
      <c r="J1475" s="13">
        <v>140247.45000000001</v>
      </c>
      <c r="K1475" s="13">
        <v>22689.02</v>
      </c>
      <c r="L1475" s="8" t="s">
        <v>231</v>
      </c>
      <c r="M1475" s="19" t="s">
        <v>766</v>
      </c>
      <c r="N1475" s="9" t="s">
        <v>22</v>
      </c>
      <c r="O1475" s="9" t="s">
        <v>63</v>
      </c>
      <c r="P1475" s="28">
        <f>DATEVALUE(OnePlusSalesData[[#This Row],[order_date]])</f>
        <v>43871</v>
      </c>
      <c r="Q1475" s="28">
        <f>DATEVALUE(OnePlusSalesData[[#This Row],[delivery_date]])</f>
        <v>43878</v>
      </c>
    </row>
    <row r="1476" spans="1:17" ht="16" x14ac:dyDescent="0.45">
      <c r="A1476" s="2" t="s">
        <v>2563</v>
      </c>
      <c r="B1476" s="2" t="s">
        <v>52</v>
      </c>
      <c r="C1476" s="3" t="s">
        <v>106</v>
      </c>
      <c r="D1476" s="3" t="s">
        <v>18</v>
      </c>
      <c r="E1476" s="3" t="s">
        <v>124</v>
      </c>
      <c r="F1476" s="4">
        <v>3990</v>
      </c>
      <c r="G1476" s="5">
        <v>1</v>
      </c>
      <c r="H1476" s="6">
        <v>0.08</v>
      </c>
      <c r="I1476" s="7">
        <v>319.2</v>
      </c>
      <c r="J1476" s="7">
        <v>3670.8</v>
      </c>
      <c r="K1476" s="7">
        <v>817.1</v>
      </c>
      <c r="L1476" s="2" t="s">
        <v>2564</v>
      </c>
      <c r="M1476" s="18" t="s">
        <v>1591</v>
      </c>
      <c r="N1476" s="3" t="s">
        <v>22</v>
      </c>
      <c r="O1476" s="3" t="s">
        <v>63</v>
      </c>
      <c r="P1476" s="28">
        <f>DATEVALUE(OnePlusSalesData[[#This Row],[order_date]])</f>
        <v>43769</v>
      </c>
      <c r="Q1476" s="28">
        <f>DATEVALUE(OnePlusSalesData[[#This Row],[delivery_date]])</f>
        <v>43775</v>
      </c>
    </row>
    <row r="1477" spans="1:17" ht="16" x14ac:dyDescent="0.45">
      <c r="A1477" s="8" t="s">
        <v>2565</v>
      </c>
      <c r="B1477" s="8" t="s">
        <v>16</v>
      </c>
      <c r="C1477" s="9" t="s">
        <v>140</v>
      </c>
      <c r="D1477" s="9" t="s">
        <v>40</v>
      </c>
      <c r="E1477" s="9" t="s">
        <v>47</v>
      </c>
      <c r="F1477" s="10">
        <v>37999</v>
      </c>
      <c r="G1477" s="11">
        <v>1</v>
      </c>
      <c r="H1477" s="12">
        <v>0.05</v>
      </c>
      <c r="I1477" s="13">
        <v>1899.95</v>
      </c>
      <c r="J1477" s="13">
        <v>36099.050000000003</v>
      </c>
      <c r="K1477" s="13">
        <v>7976.51</v>
      </c>
      <c r="L1477" s="8" t="s">
        <v>1036</v>
      </c>
      <c r="M1477" s="19" t="s">
        <v>128</v>
      </c>
      <c r="N1477" s="9" t="s">
        <v>22</v>
      </c>
      <c r="O1477" s="9" t="s">
        <v>146</v>
      </c>
      <c r="P1477" s="28">
        <f>DATEVALUE(OnePlusSalesData[[#This Row],[order_date]])</f>
        <v>43572</v>
      </c>
      <c r="Q1477" s="28">
        <f>DATEVALUE(OnePlusSalesData[[#This Row],[delivery_date]])</f>
        <v>43577</v>
      </c>
    </row>
    <row r="1478" spans="1:17" ht="16" x14ac:dyDescent="0.45">
      <c r="A1478" s="2" t="s">
        <v>2566</v>
      </c>
      <c r="B1478" s="2" t="s">
        <v>16</v>
      </c>
      <c r="C1478" s="3" t="s">
        <v>33</v>
      </c>
      <c r="D1478" s="3" t="s">
        <v>40</v>
      </c>
      <c r="E1478" s="3" t="s">
        <v>406</v>
      </c>
      <c r="F1478" s="4">
        <v>48999</v>
      </c>
      <c r="G1478" s="5">
        <v>1</v>
      </c>
      <c r="H1478" s="6">
        <v>0.08</v>
      </c>
      <c r="I1478" s="7">
        <v>3919.92</v>
      </c>
      <c r="J1478" s="7">
        <v>45079.08</v>
      </c>
      <c r="K1478" s="7">
        <v>8375.81</v>
      </c>
      <c r="L1478" s="2" t="s">
        <v>30</v>
      </c>
      <c r="M1478" s="18" t="s">
        <v>917</v>
      </c>
      <c r="N1478" s="3" t="s">
        <v>50</v>
      </c>
      <c r="O1478" s="3" t="s">
        <v>23</v>
      </c>
      <c r="P1478" s="28">
        <f>DATEVALUE(OnePlusSalesData[[#This Row],[order_date]])</f>
        <v>43379</v>
      </c>
      <c r="Q1478" s="28">
        <f>DATEVALUE(OnePlusSalesData[[#This Row],[delivery_date]])</f>
        <v>43383</v>
      </c>
    </row>
    <row r="1479" spans="1:17" ht="16" x14ac:dyDescent="0.45">
      <c r="A1479" s="8" t="s">
        <v>2567</v>
      </c>
      <c r="B1479" s="8" t="s">
        <v>25</v>
      </c>
      <c r="C1479" s="9" t="s">
        <v>120</v>
      </c>
      <c r="D1479" s="9" t="s">
        <v>85</v>
      </c>
      <c r="E1479" s="9" t="s">
        <v>258</v>
      </c>
      <c r="F1479" s="10">
        <v>2999</v>
      </c>
      <c r="G1479" s="11">
        <v>1</v>
      </c>
      <c r="H1479" s="12">
        <v>0.05</v>
      </c>
      <c r="I1479" s="13">
        <v>149.94999999999999</v>
      </c>
      <c r="J1479" s="13">
        <v>2849.05</v>
      </c>
      <c r="K1479" s="13">
        <v>582.98</v>
      </c>
      <c r="L1479" s="8" t="s">
        <v>2390</v>
      </c>
      <c r="M1479" s="19" t="s">
        <v>1147</v>
      </c>
      <c r="N1479" s="9" t="s">
        <v>50</v>
      </c>
      <c r="O1479" s="9" t="s">
        <v>146</v>
      </c>
      <c r="P1479" s="28">
        <f>DATEVALUE(OnePlusSalesData[[#This Row],[order_date]])</f>
        <v>44022</v>
      </c>
      <c r="Q1479" s="28">
        <f>DATEVALUE(OnePlusSalesData[[#This Row],[delivery_date]])</f>
        <v>44024</v>
      </c>
    </row>
    <row r="1480" spans="1:17" ht="16" x14ac:dyDescent="0.45">
      <c r="A1480" s="2" t="s">
        <v>2568</v>
      </c>
      <c r="B1480" s="2" t="s">
        <v>25</v>
      </c>
      <c r="C1480" s="3" t="s">
        <v>133</v>
      </c>
      <c r="D1480" s="3" t="s">
        <v>40</v>
      </c>
      <c r="E1480" s="3" t="s">
        <v>73</v>
      </c>
      <c r="F1480" s="4">
        <v>32999</v>
      </c>
      <c r="G1480" s="5">
        <v>4</v>
      </c>
      <c r="H1480" s="6">
        <v>0.1</v>
      </c>
      <c r="I1480" s="7">
        <v>13199.6</v>
      </c>
      <c r="J1480" s="7">
        <v>118796.4</v>
      </c>
      <c r="K1480" s="7">
        <v>25405.84</v>
      </c>
      <c r="L1480" s="2" t="s">
        <v>1470</v>
      </c>
      <c r="M1480" s="18" t="s">
        <v>1471</v>
      </c>
      <c r="N1480" s="3" t="s">
        <v>22</v>
      </c>
      <c r="O1480" s="3" t="s">
        <v>23</v>
      </c>
      <c r="P1480" s="28">
        <f>DATEVALUE(OnePlusSalesData[[#This Row],[order_date]])</f>
        <v>43958</v>
      </c>
      <c r="Q1480" s="28">
        <f>DATEVALUE(OnePlusSalesData[[#This Row],[delivery_date]])</f>
        <v>43961</v>
      </c>
    </row>
    <row r="1481" spans="1:17" ht="16" x14ac:dyDescent="0.45">
      <c r="A1481" s="8" t="s">
        <v>2569</v>
      </c>
      <c r="B1481" s="8" t="s">
        <v>58</v>
      </c>
      <c r="C1481" s="9" t="s">
        <v>113</v>
      </c>
      <c r="D1481" s="9" t="s">
        <v>85</v>
      </c>
      <c r="E1481" s="9" t="s">
        <v>228</v>
      </c>
      <c r="F1481" s="10">
        <v>5990</v>
      </c>
      <c r="G1481" s="11">
        <v>2</v>
      </c>
      <c r="H1481" s="12">
        <v>0</v>
      </c>
      <c r="I1481" s="13">
        <v>0</v>
      </c>
      <c r="J1481" s="13">
        <v>11980</v>
      </c>
      <c r="K1481" s="13">
        <v>2445.2399999999998</v>
      </c>
      <c r="L1481" s="8" t="s">
        <v>1634</v>
      </c>
      <c r="M1481" s="19" t="s">
        <v>1042</v>
      </c>
      <c r="N1481" s="9" t="s">
        <v>22</v>
      </c>
      <c r="O1481" s="9" t="s">
        <v>31</v>
      </c>
      <c r="P1481" s="28">
        <f>DATEVALUE(OnePlusSalesData[[#This Row],[order_date]])</f>
        <v>43369</v>
      </c>
      <c r="Q1481" s="28">
        <f>DATEVALUE(OnePlusSalesData[[#This Row],[delivery_date]])</f>
        <v>43375</v>
      </c>
    </row>
    <row r="1482" spans="1:17" ht="16" x14ac:dyDescent="0.45">
      <c r="A1482" s="2" t="s">
        <v>2570</v>
      </c>
      <c r="B1482" s="2" t="s">
        <v>25</v>
      </c>
      <c r="C1482" s="3" t="s">
        <v>172</v>
      </c>
      <c r="D1482" s="3" t="s">
        <v>18</v>
      </c>
      <c r="E1482" s="3" t="s">
        <v>19</v>
      </c>
      <c r="F1482" s="4">
        <v>1990</v>
      </c>
      <c r="G1482" s="5">
        <v>1</v>
      </c>
      <c r="H1482" s="6">
        <v>0</v>
      </c>
      <c r="I1482" s="7">
        <v>0</v>
      </c>
      <c r="J1482" s="7">
        <v>1990</v>
      </c>
      <c r="K1482" s="7">
        <v>460.81</v>
      </c>
      <c r="L1482" s="2" t="s">
        <v>2283</v>
      </c>
      <c r="M1482" s="18" t="s">
        <v>588</v>
      </c>
      <c r="N1482" s="3" t="s">
        <v>22</v>
      </c>
      <c r="O1482" s="3" t="s">
        <v>23</v>
      </c>
      <c r="P1482" s="28">
        <f>DATEVALUE(OnePlusSalesData[[#This Row],[order_date]])</f>
        <v>43338</v>
      </c>
      <c r="Q1482" s="28">
        <f>DATEVALUE(OnePlusSalesData[[#This Row],[delivery_date]])</f>
        <v>43345</v>
      </c>
    </row>
    <row r="1483" spans="1:17" ht="16" x14ac:dyDescent="0.45">
      <c r="A1483" s="8" t="s">
        <v>2571</v>
      </c>
      <c r="B1483" s="8" t="s">
        <v>58</v>
      </c>
      <c r="C1483" s="9" t="s">
        <v>257</v>
      </c>
      <c r="D1483" s="9" t="s">
        <v>40</v>
      </c>
      <c r="E1483" s="9" t="s">
        <v>41</v>
      </c>
      <c r="F1483" s="10">
        <v>37999</v>
      </c>
      <c r="G1483" s="11">
        <v>1</v>
      </c>
      <c r="H1483" s="12">
        <v>0</v>
      </c>
      <c r="I1483" s="13">
        <v>0</v>
      </c>
      <c r="J1483" s="13">
        <v>37999</v>
      </c>
      <c r="K1483" s="13">
        <v>9633.52</v>
      </c>
      <c r="L1483" s="8" t="s">
        <v>1235</v>
      </c>
      <c r="M1483" s="19" t="s">
        <v>269</v>
      </c>
      <c r="N1483" s="9" t="s">
        <v>92</v>
      </c>
      <c r="O1483" s="9" t="s">
        <v>31</v>
      </c>
      <c r="P1483" s="28">
        <f>DATEVALUE(OnePlusSalesData[[#This Row],[order_date]])</f>
        <v>43809</v>
      </c>
      <c r="Q1483" s="28">
        <f>DATEVALUE(OnePlusSalesData[[#This Row],[delivery_date]])</f>
        <v>43814</v>
      </c>
    </row>
    <row r="1484" spans="1:17" ht="16" x14ac:dyDescent="0.45">
      <c r="A1484" s="2" t="s">
        <v>2572</v>
      </c>
      <c r="B1484" s="2" t="s">
        <v>16</v>
      </c>
      <c r="C1484" s="3" t="s">
        <v>140</v>
      </c>
      <c r="D1484" s="3" t="s">
        <v>18</v>
      </c>
      <c r="E1484" s="3" t="s">
        <v>19</v>
      </c>
      <c r="F1484" s="4">
        <v>1990</v>
      </c>
      <c r="G1484" s="5">
        <v>1</v>
      </c>
      <c r="H1484" s="6">
        <v>0.15</v>
      </c>
      <c r="I1484" s="7">
        <v>298.5</v>
      </c>
      <c r="J1484" s="7">
        <v>1691.5</v>
      </c>
      <c r="K1484" s="7">
        <v>398.5</v>
      </c>
      <c r="L1484" s="2" t="s">
        <v>730</v>
      </c>
      <c r="M1484" s="18" t="s">
        <v>2573</v>
      </c>
      <c r="N1484" s="3" t="s">
        <v>22</v>
      </c>
      <c r="O1484" s="3" t="s">
        <v>63</v>
      </c>
      <c r="P1484" s="28">
        <f>DATEVALUE(OnePlusSalesData[[#This Row],[order_date]])</f>
        <v>43372</v>
      </c>
      <c r="Q1484" s="28">
        <f>DATEVALUE(OnePlusSalesData[[#This Row],[delivery_date]])</f>
        <v>43376</v>
      </c>
    </row>
    <row r="1485" spans="1:17" ht="16" x14ac:dyDescent="0.45">
      <c r="A1485" s="8" t="s">
        <v>2574</v>
      </c>
      <c r="B1485" s="8" t="s">
        <v>25</v>
      </c>
      <c r="C1485" s="9" t="s">
        <v>133</v>
      </c>
      <c r="D1485" s="9" t="s">
        <v>40</v>
      </c>
      <c r="E1485" s="9" t="s">
        <v>54</v>
      </c>
      <c r="F1485" s="10">
        <v>53999</v>
      </c>
      <c r="G1485" s="11">
        <v>1</v>
      </c>
      <c r="H1485" s="12">
        <v>0</v>
      </c>
      <c r="I1485" s="13">
        <v>0</v>
      </c>
      <c r="J1485" s="13">
        <v>53999</v>
      </c>
      <c r="K1485" s="13">
        <v>13429.78</v>
      </c>
      <c r="L1485" s="8" t="s">
        <v>242</v>
      </c>
      <c r="M1485" s="19" t="s">
        <v>1154</v>
      </c>
      <c r="N1485" s="9" t="s">
        <v>22</v>
      </c>
      <c r="O1485" s="9" t="s">
        <v>23</v>
      </c>
      <c r="P1485" s="28">
        <f>DATEVALUE(OnePlusSalesData[[#This Row],[order_date]])</f>
        <v>43959</v>
      </c>
      <c r="Q1485" s="28">
        <f>DATEVALUE(OnePlusSalesData[[#This Row],[delivery_date]])</f>
        <v>43962</v>
      </c>
    </row>
    <row r="1486" spans="1:17" ht="16" x14ac:dyDescent="0.45">
      <c r="A1486" s="2" t="s">
        <v>2575</v>
      </c>
      <c r="B1486" s="2" t="s">
        <v>58</v>
      </c>
      <c r="C1486" s="3" t="s">
        <v>81</v>
      </c>
      <c r="D1486" s="3" t="s">
        <v>40</v>
      </c>
      <c r="E1486" s="3" t="s">
        <v>406</v>
      </c>
      <c r="F1486" s="4">
        <v>48999</v>
      </c>
      <c r="G1486" s="5">
        <v>4</v>
      </c>
      <c r="H1486" s="6">
        <v>0.12</v>
      </c>
      <c r="I1486" s="7">
        <v>23519.52</v>
      </c>
      <c r="J1486" s="7">
        <v>172476.48</v>
      </c>
      <c r="K1486" s="7">
        <v>44646.55</v>
      </c>
      <c r="L1486" s="2" t="s">
        <v>2354</v>
      </c>
      <c r="M1486" s="18" t="s">
        <v>1092</v>
      </c>
      <c r="N1486" s="3" t="s">
        <v>22</v>
      </c>
      <c r="O1486" s="3" t="s">
        <v>23</v>
      </c>
      <c r="P1486" s="28">
        <f>DATEVALUE(OnePlusSalesData[[#This Row],[order_date]])</f>
        <v>44074</v>
      </c>
      <c r="Q1486" s="28">
        <f>DATEVALUE(OnePlusSalesData[[#This Row],[delivery_date]])</f>
        <v>44076</v>
      </c>
    </row>
    <row r="1487" spans="1:17" ht="16" x14ac:dyDescent="0.45">
      <c r="A1487" s="8" t="s">
        <v>2576</v>
      </c>
      <c r="B1487" s="8" t="s">
        <v>58</v>
      </c>
      <c r="C1487" s="9" t="s">
        <v>221</v>
      </c>
      <c r="D1487" s="9" t="s">
        <v>18</v>
      </c>
      <c r="E1487" s="9" t="s">
        <v>102</v>
      </c>
      <c r="F1487" s="10">
        <v>1490</v>
      </c>
      <c r="G1487" s="11">
        <v>2</v>
      </c>
      <c r="H1487" s="12">
        <v>0</v>
      </c>
      <c r="I1487" s="13">
        <v>0</v>
      </c>
      <c r="J1487" s="13">
        <v>2980</v>
      </c>
      <c r="K1487" s="13">
        <v>742.45</v>
      </c>
      <c r="L1487" s="8" t="s">
        <v>259</v>
      </c>
      <c r="M1487" s="19" t="s">
        <v>400</v>
      </c>
      <c r="N1487" s="9" t="s">
        <v>22</v>
      </c>
      <c r="O1487" s="9" t="s">
        <v>63</v>
      </c>
      <c r="P1487" s="28">
        <f>DATEVALUE(OnePlusSalesData[[#This Row],[order_date]])</f>
        <v>43147</v>
      </c>
      <c r="Q1487" s="28">
        <f>DATEVALUE(OnePlusSalesData[[#This Row],[delivery_date]])</f>
        <v>43154</v>
      </c>
    </row>
    <row r="1488" spans="1:17" ht="16" x14ac:dyDescent="0.45">
      <c r="A1488" s="2" t="s">
        <v>2577</v>
      </c>
      <c r="B1488" s="2" t="s">
        <v>52</v>
      </c>
      <c r="C1488" s="3" t="s">
        <v>358</v>
      </c>
      <c r="D1488" s="3" t="s">
        <v>85</v>
      </c>
      <c r="E1488" s="3" t="s">
        <v>265</v>
      </c>
      <c r="F1488" s="4">
        <v>4990</v>
      </c>
      <c r="G1488" s="5">
        <v>2</v>
      </c>
      <c r="H1488" s="6">
        <v>0</v>
      </c>
      <c r="I1488" s="7">
        <v>0</v>
      </c>
      <c r="J1488" s="7">
        <v>9980</v>
      </c>
      <c r="K1488" s="7">
        <v>1779.06</v>
      </c>
      <c r="L1488" s="2" t="s">
        <v>2126</v>
      </c>
      <c r="M1488" s="18" t="s">
        <v>1654</v>
      </c>
      <c r="N1488" s="3" t="s">
        <v>92</v>
      </c>
      <c r="O1488" s="3" t="s">
        <v>23</v>
      </c>
      <c r="P1488" s="28">
        <f>DATEVALUE(OnePlusSalesData[[#This Row],[order_date]])</f>
        <v>43528</v>
      </c>
      <c r="Q1488" s="28">
        <f>DATEVALUE(OnePlusSalesData[[#This Row],[delivery_date]])</f>
        <v>43534</v>
      </c>
    </row>
    <row r="1489" spans="1:17" ht="16" x14ac:dyDescent="0.45">
      <c r="A1489" s="8" t="s">
        <v>2578</v>
      </c>
      <c r="B1489" s="8" t="s">
        <v>25</v>
      </c>
      <c r="C1489" s="9" t="s">
        <v>172</v>
      </c>
      <c r="D1489" s="9" t="s">
        <v>27</v>
      </c>
      <c r="E1489" s="9" t="s">
        <v>176</v>
      </c>
      <c r="F1489" s="10">
        <v>69900</v>
      </c>
      <c r="G1489" s="11">
        <v>2</v>
      </c>
      <c r="H1489" s="12">
        <v>0.05</v>
      </c>
      <c r="I1489" s="13">
        <v>6990</v>
      </c>
      <c r="J1489" s="13">
        <v>132810</v>
      </c>
      <c r="K1489" s="13">
        <v>20917.990000000002</v>
      </c>
      <c r="L1489" s="8" t="s">
        <v>2015</v>
      </c>
      <c r="M1489" s="19" t="s">
        <v>87</v>
      </c>
      <c r="N1489" s="9" t="s">
        <v>22</v>
      </c>
      <c r="O1489" s="9" t="s">
        <v>31</v>
      </c>
      <c r="P1489" s="28">
        <f>DATEVALUE(OnePlusSalesData[[#This Row],[order_date]])</f>
        <v>43288</v>
      </c>
      <c r="Q1489" s="28">
        <f>DATEVALUE(OnePlusSalesData[[#This Row],[delivery_date]])</f>
        <v>43290</v>
      </c>
    </row>
    <row r="1490" spans="1:17" ht="16" x14ac:dyDescent="0.45">
      <c r="A1490" s="2" t="s">
        <v>2579</v>
      </c>
      <c r="B1490" s="2" t="s">
        <v>52</v>
      </c>
      <c r="C1490" s="3" t="s">
        <v>192</v>
      </c>
      <c r="D1490" s="3" t="s">
        <v>27</v>
      </c>
      <c r="E1490" s="3" t="s">
        <v>28</v>
      </c>
      <c r="F1490" s="4">
        <v>12999</v>
      </c>
      <c r="G1490" s="5">
        <v>1</v>
      </c>
      <c r="H1490" s="6">
        <v>0.15</v>
      </c>
      <c r="I1490" s="7">
        <v>1949.85</v>
      </c>
      <c r="J1490" s="7">
        <v>11049.15</v>
      </c>
      <c r="K1490" s="7">
        <v>2595.13</v>
      </c>
      <c r="L1490" s="2" t="s">
        <v>134</v>
      </c>
      <c r="M1490" s="18" t="s">
        <v>1491</v>
      </c>
      <c r="N1490" s="3" t="s">
        <v>22</v>
      </c>
      <c r="O1490" s="3" t="s">
        <v>23</v>
      </c>
      <c r="P1490" s="28">
        <f>DATEVALUE(OnePlusSalesData[[#This Row],[order_date]])</f>
        <v>43618</v>
      </c>
      <c r="Q1490" s="28">
        <f>DATEVALUE(OnePlusSalesData[[#This Row],[delivery_date]])</f>
        <v>43624</v>
      </c>
    </row>
    <row r="1491" spans="1:17" ht="16" x14ac:dyDescent="0.45">
      <c r="A1491" s="8" t="s">
        <v>2580</v>
      </c>
      <c r="B1491" s="8" t="s">
        <v>52</v>
      </c>
      <c r="C1491" s="9" t="s">
        <v>358</v>
      </c>
      <c r="D1491" s="9" t="s">
        <v>85</v>
      </c>
      <c r="E1491" s="9" t="s">
        <v>265</v>
      </c>
      <c r="F1491" s="10">
        <v>4990</v>
      </c>
      <c r="G1491" s="11">
        <v>1</v>
      </c>
      <c r="H1491" s="12">
        <v>0.1</v>
      </c>
      <c r="I1491" s="13">
        <v>499</v>
      </c>
      <c r="J1491" s="13">
        <v>4491</v>
      </c>
      <c r="K1491" s="13">
        <v>767.1</v>
      </c>
      <c r="L1491" s="8" t="s">
        <v>998</v>
      </c>
      <c r="M1491" s="19" t="s">
        <v>332</v>
      </c>
      <c r="N1491" s="9" t="s">
        <v>22</v>
      </c>
      <c r="O1491" s="9" t="s">
        <v>23</v>
      </c>
      <c r="P1491" s="28">
        <f>DATEVALUE(OnePlusSalesData[[#This Row],[order_date]])</f>
        <v>44189</v>
      </c>
      <c r="Q1491" s="28">
        <f>DATEVALUE(OnePlusSalesData[[#This Row],[delivery_date]])</f>
        <v>44193</v>
      </c>
    </row>
    <row r="1492" spans="1:17" ht="16" x14ac:dyDescent="0.45">
      <c r="A1492" s="2" t="s">
        <v>2581</v>
      </c>
      <c r="B1492" s="2" t="s">
        <v>25</v>
      </c>
      <c r="C1492" s="3" t="s">
        <v>120</v>
      </c>
      <c r="D1492" s="3" t="s">
        <v>27</v>
      </c>
      <c r="E1492" s="3" t="s">
        <v>176</v>
      </c>
      <c r="F1492" s="4">
        <v>69900</v>
      </c>
      <c r="G1492" s="5">
        <v>1</v>
      </c>
      <c r="H1492" s="6">
        <v>0.12</v>
      </c>
      <c r="I1492" s="7">
        <v>8388</v>
      </c>
      <c r="J1492" s="7">
        <v>61512</v>
      </c>
      <c r="K1492" s="7">
        <v>10203.76</v>
      </c>
      <c r="L1492" s="2" t="s">
        <v>591</v>
      </c>
      <c r="M1492" s="18" t="s">
        <v>2582</v>
      </c>
      <c r="N1492" s="3" t="s">
        <v>22</v>
      </c>
      <c r="O1492" s="3" t="s">
        <v>63</v>
      </c>
      <c r="P1492" s="28">
        <f>DATEVALUE(OnePlusSalesData[[#This Row],[order_date]])</f>
        <v>43508</v>
      </c>
      <c r="Q1492" s="28">
        <f>DATEVALUE(OnePlusSalesData[[#This Row],[delivery_date]])</f>
        <v>43515</v>
      </c>
    </row>
    <row r="1493" spans="1:17" ht="16" x14ac:dyDescent="0.45">
      <c r="A1493" s="8" t="s">
        <v>2583</v>
      </c>
      <c r="B1493" s="8" t="s">
        <v>16</v>
      </c>
      <c r="C1493" s="9" t="s">
        <v>33</v>
      </c>
      <c r="D1493" s="9" t="s">
        <v>40</v>
      </c>
      <c r="E1493" s="9" t="s">
        <v>41</v>
      </c>
      <c r="F1493" s="10">
        <v>37999</v>
      </c>
      <c r="G1493" s="11">
        <v>4</v>
      </c>
      <c r="H1493" s="12">
        <v>0.1</v>
      </c>
      <c r="I1493" s="13">
        <v>15199.6</v>
      </c>
      <c r="J1493" s="13">
        <v>136796.4</v>
      </c>
      <c r="K1493" s="13">
        <v>20003.650000000001</v>
      </c>
      <c r="L1493" s="8" t="s">
        <v>456</v>
      </c>
      <c r="M1493" s="19" t="s">
        <v>1169</v>
      </c>
      <c r="N1493" s="9" t="s">
        <v>44</v>
      </c>
      <c r="O1493" s="9" t="s">
        <v>96</v>
      </c>
      <c r="P1493" s="28">
        <f>DATEVALUE(OnePlusSalesData[[#This Row],[order_date]])</f>
        <v>43323</v>
      </c>
      <c r="Q1493" s="28">
        <f>DATEVALUE(OnePlusSalesData[[#This Row],[delivery_date]])</f>
        <v>43328</v>
      </c>
    </row>
    <row r="1494" spans="1:17" ht="16" x14ac:dyDescent="0.45">
      <c r="A1494" s="2" t="s">
        <v>2584</v>
      </c>
      <c r="B1494" s="2" t="s">
        <v>25</v>
      </c>
      <c r="C1494" s="3" t="s">
        <v>120</v>
      </c>
      <c r="D1494" s="3" t="s">
        <v>85</v>
      </c>
      <c r="E1494" s="3" t="s">
        <v>265</v>
      </c>
      <c r="F1494" s="4">
        <v>4990</v>
      </c>
      <c r="G1494" s="5">
        <v>4</v>
      </c>
      <c r="H1494" s="6">
        <v>0.08</v>
      </c>
      <c r="I1494" s="7">
        <v>1596.8</v>
      </c>
      <c r="J1494" s="7">
        <v>18363.2</v>
      </c>
      <c r="K1494" s="7">
        <v>4573.1499999999996</v>
      </c>
      <c r="L1494" s="2" t="s">
        <v>2472</v>
      </c>
      <c r="M1494" s="18" t="s">
        <v>130</v>
      </c>
      <c r="N1494" s="3" t="s">
        <v>50</v>
      </c>
      <c r="O1494" s="3" t="s">
        <v>23</v>
      </c>
      <c r="P1494" s="28">
        <f>DATEVALUE(OnePlusSalesData[[#This Row],[order_date]])</f>
        <v>43550</v>
      </c>
      <c r="Q1494" s="28">
        <f>DATEVALUE(OnePlusSalesData[[#This Row],[delivery_date]])</f>
        <v>43553</v>
      </c>
    </row>
    <row r="1495" spans="1:17" ht="16" x14ac:dyDescent="0.45">
      <c r="A1495" s="8" t="s">
        <v>2585</v>
      </c>
      <c r="B1495" s="8" t="s">
        <v>58</v>
      </c>
      <c r="C1495" s="9" t="s">
        <v>59</v>
      </c>
      <c r="D1495" s="9" t="s">
        <v>34</v>
      </c>
      <c r="E1495" s="9" t="s">
        <v>77</v>
      </c>
      <c r="F1495" s="10">
        <v>24999</v>
      </c>
      <c r="G1495" s="11">
        <v>1</v>
      </c>
      <c r="H1495" s="12">
        <v>0.05</v>
      </c>
      <c r="I1495" s="13">
        <v>1249.95</v>
      </c>
      <c r="J1495" s="13">
        <v>23749.05</v>
      </c>
      <c r="K1495" s="13">
        <v>4098.5</v>
      </c>
      <c r="L1495" s="8" t="s">
        <v>1731</v>
      </c>
      <c r="M1495" s="19" t="s">
        <v>482</v>
      </c>
      <c r="N1495" s="9" t="s">
        <v>22</v>
      </c>
      <c r="O1495" s="9" t="s">
        <v>31</v>
      </c>
      <c r="P1495" s="28">
        <f>DATEVALUE(OnePlusSalesData[[#This Row],[order_date]])</f>
        <v>43556</v>
      </c>
      <c r="Q1495" s="28">
        <f>DATEVALUE(OnePlusSalesData[[#This Row],[delivery_date]])</f>
        <v>43560</v>
      </c>
    </row>
    <row r="1496" spans="1:17" ht="16" x14ac:dyDescent="0.45">
      <c r="A1496" s="2" t="s">
        <v>2586</v>
      </c>
      <c r="B1496" s="2" t="s">
        <v>52</v>
      </c>
      <c r="C1496" s="3" t="s">
        <v>53</v>
      </c>
      <c r="D1496" s="3" t="s">
        <v>40</v>
      </c>
      <c r="E1496" s="3" t="s">
        <v>406</v>
      </c>
      <c r="F1496" s="4">
        <v>48999</v>
      </c>
      <c r="G1496" s="5">
        <v>1</v>
      </c>
      <c r="H1496" s="6">
        <v>0.08</v>
      </c>
      <c r="I1496" s="7">
        <v>3919.92</v>
      </c>
      <c r="J1496" s="7">
        <v>45079.08</v>
      </c>
      <c r="K1496" s="7">
        <v>6967.27</v>
      </c>
      <c r="L1496" s="2" t="s">
        <v>2106</v>
      </c>
      <c r="M1496" s="18" t="s">
        <v>788</v>
      </c>
      <c r="N1496" s="3" t="s">
        <v>22</v>
      </c>
      <c r="O1496" s="3" t="s">
        <v>96</v>
      </c>
      <c r="P1496" s="28">
        <f>DATEVALUE(OnePlusSalesData[[#This Row],[order_date]])</f>
        <v>43514</v>
      </c>
      <c r="Q1496" s="28">
        <f>DATEVALUE(OnePlusSalesData[[#This Row],[delivery_date]])</f>
        <v>43519</v>
      </c>
    </row>
    <row r="1497" spans="1:17" ht="16" x14ac:dyDescent="0.45">
      <c r="A1497" s="8" t="s">
        <v>2587</v>
      </c>
      <c r="B1497" s="8" t="s">
        <v>16</v>
      </c>
      <c r="C1497" s="9" t="s">
        <v>140</v>
      </c>
      <c r="D1497" s="9" t="s">
        <v>85</v>
      </c>
      <c r="E1497" s="9" t="s">
        <v>258</v>
      </c>
      <c r="F1497" s="10">
        <v>2999</v>
      </c>
      <c r="G1497" s="11">
        <v>1</v>
      </c>
      <c r="H1497" s="12">
        <v>0.1</v>
      </c>
      <c r="I1497" s="13">
        <v>299.89999999999998</v>
      </c>
      <c r="J1497" s="13">
        <v>2699.1</v>
      </c>
      <c r="K1497" s="13">
        <v>380.27</v>
      </c>
      <c r="L1497" s="8" t="s">
        <v>506</v>
      </c>
      <c r="M1497" s="19" t="s">
        <v>542</v>
      </c>
      <c r="N1497" s="9" t="s">
        <v>22</v>
      </c>
      <c r="O1497" s="9" t="s">
        <v>63</v>
      </c>
      <c r="P1497" s="28">
        <f>DATEVALUE(OnePlusSalesData[[#This Row],[order_date]])</f>
        <v>43827</v>
      </c>
      <c r="Q1497" s="28">
        <f>DATEVALUE(OnePlusSalesData[[#This Row],[delivery_date]])</f>
        <v>43832</v>
      </c>
    </row>
    <row r="1498" spans="1:17" ht="16" x14ac:dyDescent="0.45">
      <c r="A1498" s="2" t="s">
        <v>2588</v>
      </c>
      <c r="B1498" s="2" t="s">
        <v>16</v>
      </c>
      <c r="C1498" s="3" t="s">
        <v>39</v>
      </c>
      <c r="D1498" s="3" t="s">
        <v>27</v>
      </c>
      <c r="E1498" s="3" t="s">
        <v>176</v>
      </c>
      <c r="F1498" s="4">
        <v>69900</v>
      </c>
      <c r="G1498" s="5">
        <v>1</v>
      </c>
      <c r="H1498" s="6">
        <v>0</v>
      </c>
      <c r="I1498" s="7">
        <v>0</v>
      </c>
      <c r="J1498" s="7">
        <v>69900</v>
      </c>
      <c r="K1498" s="7">
        <v>18003</v>
      </c>
      <c r="L1498" s="2" t="s">
        <v>1010</v>
      </c>
      <c r="M1498" s="18" t="s">
        <v>2180</v>
      </c>
      <c r="N1498" s="3" t="s">
        <v>22</v>
      </c>
      <c r="O1498" s="3" t="s">
        <v>23</v>
      </c>
      <c r="P1498" s="28">
        <f>DATEVALUE(OnePlusSalesData[[#This Row],[order_date]])</f>
        <v>43179</v>
      </c>
      <c r="Q1498" s="28">
        <f>DATEVALUE(OnePlusSalesData[[#This Row],[delivery_date]])</f>
        <v>43181</v>
      </c>
    </row>
    <row r="1499" spans="1:17" ht="16" x14ac:dyDescent="0.45">
      <c r="A1499" s="8" t="s">
        <v>2589</v>
      </c>
      <c r="B1499" s="8" t="s">
        <v>52</v>
      </c>
      <c r="C1499" s="9" t="s">
        <v>358</v>
      </c>
      <c r="D1499" s="9" t="s">
        <v>40</v>
      </c>
      <c r="E1499" s="9" t="s">
        <v>60</v>
      </c>
      <c r="F1499" s="10">
        <v>54999</v>
      </c>
      <c r="G1499" s="11">
        <v>1</v>
      </c>
      <c r="H1499" s="12">
        <v>0.05</v>
      </c>
      <c r="I1499" s="13">
        <v>2749.95</v>
      </c>
      <c r="J1499" s="13">
        <v>52249.05</v>
      </c>
      <c r="K1499" s="13">
        <v>8232.6299999999992</v>
      </c>
      <c r="L1499" s="8" t="s">
        <v>1378</v>
      </c>
      <c r="M1499" s="19" t="s">
        <v>1489</v>
      </c>
      <c r="N1499" s="9" t="s">
        <v>22</v>
      </c>
      <c r="O1499" s="9" t="s">
        <v>96</v>
      </c>
      <c r="P1499" s="28">
        <f>DATEVALUE(OnePlusSalesData[[#This Row],[order_date]])</f>
        <v>43939</v>
      </c>
      <c r="Q1499" s="28">
        <f>DATEVALUE(OnePlusSalesData[[#This Row],[delivery_date]])</f>
        <v>43945</v>
      </c>
    </row>
    <row r="1500" spans="1:17" ht="16" x14ac:dyDescent="0.45">
      <c r="A1500" s="2" t="s">
        <v>2590</v>
      </c>
      <c r="B1500" s="2" t="s">
        <v>25</v>
      </c>
      <c r="C1500" s="3" t="s">
        <v>26</v>
      </c>
      <c r="D1500" s="3" t="s">
        <v>34</v>
      </c>
      <c r="E1500" s="3" t="s">
        <v>77</v>
      </c>
      <c r="F1500" s="4">
        <v>24999</v>
      </c>
      <c r="G1500" s="5">
        <v>3</v>
      </c>
      <c r="H1500" s="6">
        <v>0</v>
      </c>
      <c r="I1500" s="7">
        <v>0</v>
      </c>
      <c r="J1500" s="7">
        <v>74997</v>
      </c>
      <c r="K1500" s="7">
        <v>18382.240000000002</v>
      </c>
      <c r="L1500" s="2" t="s">
        <v>1630</v>
      </c>
      <c r="M1500" s="18" t="s">
        <v>1377</v>
      </c>
      <c r="N1500" s="3" t="s">
        <v>22</v>
      </c>
      <c r="O1500" s="3" t="s">
        <v>23</v>
      </c>
      <c r="P1500" s="28">
        <f>DATEVALUE(OnePlusSalesData[[#This Row],[order_date]])</f>
        <v>43930</v>
      </c>
      <c r="Q1500" s="28">
        <f>DATEVALUE(OnePlusSalesData[[#This Row],[delivery_date]])</f>
        <v>43935</v>
      </c>
    </row>
    <row r="1501" spans="1:17" ht="16" x14ac:dyDescent="0.45">
      <c r="A1501" s="8" t="s">
        <v>2591</v>
      </c>
      <c r="B1501" s="8" t="s">
        <v>16</v>
      </c>
      <c r="C1501" s="9" t="s">
        <v>140</v>
      </c>
      <c r="D1501" s="9" t="s">
        <v>40</v>
      </c>
      <c r="E1501" s="9" t="s">
        <v>60</v>
      </c>
      <c r="F1501" s="10">
        <v>54999</v>
      </c>
      <c r="G1501" s="11">
        <v>2</v>
      </c>
      <c r="H1501" s="12">
        <v>0.1</v>
      </c>
      <c r="I1501" s="13">
        <v>10999.8</v>
      </c>
      <c r="J1501" s="13">
        <v>98998.2</v>
      </c>
      <c r="K1501" s="13">
        <v>16914.21</v>
      </c>
      <c r="L1501" s="8" t="s">
        <v>1051</v>
      </c>
      <c r="M1501" s="19" t="s">
        <v>939</v>
      </c>
      <c r="N1501" s="9" t="s">
        <v>22</v>
      </c>
      <c r="O1501" s="9" t="s">
        <v>31</v>
      </c>
      <c r="P1501" s="28">
        <f>DATEVALUE(OnePlusSalesData[[#This Row],[order_date]])</f>
        <v>43817</v>
      </c>
      <c r="Q1501" s="28">
        <f>DATEVALUE(OnePlusSalesData[[#This Row],[delivery_date]])</f>
        <v>43824</v>
      </c>
    </row>
    <row r="1502" spans="1:17" x14ac:dyDescent="0.35">
      <c r="I1502" s="30">
        <f>SUM(OnePlusSalesData[discount_value])</f>
        <v>3521130.1699999911</v>
      </c>
      <c r="J1502" s="30">
        <f>SUM(OnePlusSalesData[sales])</f>
        <v>54668434.829999708</v>
      </c>
      <c r="L1502" s="27"/>
      <c r="M1502" s="28"/>
      <c r="N1502" s="29"/>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AFA3-760F-4DD3-87B4-4B6EE58A5EC6}">
  <dimension ref="A3:R848"/>
  <sheetViews>
    <sheetView topLeftCell="G1" zoomScale="64" workbookViewId="0">
      <selection activeCell="Q11" sqref="Q11:R17"/>
    </sheetView>
  </sheetViews>
  <sheetFormatPr defaultRowHeight="14.5" x14ac:dyDescent="0.35"/>
  <cols>
    <col min="1" max="1" width="15" bestFit="1" customWidth="1"/>
    <col min="2" max="2" width="17.54296875" bestFit="1" customWidth="1"/>
    <col min="3" max="3" width="12.26953125" bestFit="1" customWidth="1"/>
    <col min="4" max="4" width="14.6328125" bestFit="1" customWidth="1"/>
    <col min="5" max="5" width="13" bestFit="1" customWidth="1"/>
    <col min="6" max="6" width="14.6328125" bestFit="1" customWidth="1"/>
    <col min="7" max="7" width="13" bestFit="1" customWidth="1"/>
    <col min="8" max="8" width="15" bestFit="1" customWidth="1"/>
    <col min="9" max="9" width="14.81640625" bestFit="1" customWidth="1"/>
    <col min="10" max="10" width="13" bestFit="1" customWidth="1"/>
    <col min="11" max="11" width="18.81640625" bestFit="1" customWidth="1"/>
    <col min="12" max="12" width="14.6328125" bestFit="1" customWidth="1"/>
    <col min="13" max="13" width="13" bestFit="1" customWidth="1"/>
    <col min="14" max="14" width="15" bestFit="1" customWidth="1"/>
    <col min="15" max="15" width="14.6328125" bestFit="1" customWidth="1"/>
    <col min="16" max="16" width="12.453125" bestFit="1" customWidth="1"/>
    <col min="17" max="17" width="21.6328125" bestFit="1" customWidth="1"/>
    <col min="18" max="18" width="14.26953125" bestFit="1" customWidth="1"/>
    <col min="19" max="49" width="12.453125" bestFit="1" customWidth="1"/>
    <col min="50" max="50" width="14.08984375" bestFit="1" customWidth="1"/>
  </cols>
  <sheetData>
    <row r="3" spans="1:18" x14ac:dyDescent="0.35">
      <c r="B3" s="14" t="s">
        <v>2598</v>
      </c>
    </row>
    <row r="4" spans="1:18" x14ac:dyDescent="0.35">
      <c r="B4" t="s">
        <v>146</v>
      </c>
      <c r="D4" t="s">
        <v>23</v>
      </c>
      <c r="F4" t="s">
        <v>31</v>
      </c>
      <c r="H4" t="s">
        <v>96</v>
      </c>
      <c r="J4" t="s">
        <v>45</v>
      </c>
      <c r="L4" t="s">
        <v>63</v>
      </c>
      <c r="N4" t="s">
        <v>2600</v>
      </c>
      <c r="O4" t="s">
        <v>2601</v>
      </c>
    </row>
    <row r="5" spans="1:18" x14ac:dyDescent="0.35">
      <c r="A5" s="14" t="s">
        <v>2592</v>
      </c>
      <c r="B5" t="s">
        <v>2594</v>
      </c>
      <c r="C5" t="s">
        <v>2597</v>
      </c>
      <c r="D5" t="s">
        <v>2594</v>
      </c>
      <c r="E5" t="s">
        <v>2597</v>
      </c>
      <c r="F5" t="s">
        <v>2594</v>
      </c>
      <c r="G5" t="s">
        <v>2597</v>
      </c>
      <c r="H5" t="s">
        <v>2594</v>
      </c>
      <c r="I5" t="s">
        <v>2597</v>
      </c>
      <c r="J5" t="s">
        <v>2594</v>
      </c>
      <c r="K5" t="s">
        <v>2597</v>
      </c>
      <c r="L5" t="s">
        <v>2594</v>
      </c>
      <c r="M5" t="s">
        <v>2597</v>
      </c>
    </row>
    <row r="6" spans="1:18" x14ac:dyDescent="0.35">
      <c r="A6" s="15" t="s">
        <v>58</v>
      </c>
      <c r="B6" s="16">
        <v>942030.08</v>
      </c>
      <c r="C6" s="16">
        <v>185937.65</v>
      </c>
      <c r="D6" s="16">
        <v>1809483.7300000007</v>
      </c>
      <c r="E6" s="16">
        <v>390214.12999999995</v>
      </c>
      <c r="F6" s="16">
        <v>1177258.9500000002</v>
      </c>
      <c r="G6" s="16">
        <v>232763.88</v>
      </c>
      <c r="H6" s="16">
        <v>293099.15000000002</v>
      </c>
      <c r="I6" s="16">
        <v>57408.58</v>
      </c>
      <c r="J6" s="16">
        <v>573932.11</v>
      </c>
      <c r="K6" s="16">
        <v>121791.70999999999</v>
      </c>
      <c r="L6" s="16">
        <v>1766261.4300000006</v>
      </c>
      <c r="M6" s="16">
        <v>370433.05999999988</v>
      </c>
      <c r="N6" s="16">
        <v>6562065.450000002</v>
      </c>
      <c r="O6" s="16">
        <v>1358549.0099999998</v>
      </c>
    </row>
    <row r="7" spans="1:18" x14ac:dyDescent="0.35">
      <c r="A7" s="15" t="s">
        <v>25</v>
      </c>
      <c r="B7" s="16">
        <v>1053756.3799999999</v>
      </c>
      <c r="C7" s="16">
        <v>202064.59999999998</v>
      </c>
      <c r="D7" s="16">
        <v>5387708.3100000005</v>
      </c>
      <c r="E7" s="16">
        <v>1072380.52</v>
      </c>
      <c r="F7" s="16">
        <v>2970840.8900000011</v>
      </c>
      <c r="G7" s="16">
        <v>580941.91</v>
      </c>
      <c r="H7" s="16">
        <v>1399781.5900000003</v>
      </c>
      <c r="I7" s="16">
        <v>269672.62</v>
      </c>
      <c r="J7" s="16">
        <v>579081.83000000007</v>
      </c>
      <c r="K7" s="16">
        <v>106532.5</v>
      </c>
      <c r="L7" s="16">
        <v>3641689.89</v>
      </c>
      <c r="M7" s="16">
        <v>752080.39</v>
      </c>
      <c r="N7" s="16">
        <v>15032858.890000002</v>
      </c>
      <c r="O7" s="16">
        <v>2983672.5400000005</v>
      </c>
    </row>
    <row r="8" spans="1:18" x14ac:dyDescent="0.35">
      <c r="A8" s="15" t="s">
        <v>16</v>
      </c>
      <c r="B8" s="16">
        <v>632891.98</v>
      </c>
      <c r="C8" s="16">
        <v>120696.05</v>
      </c>
      <c r="D8" s="16">
        <v>6548763.5699999966</v>
      </c>
      <c r="E8" s="16">
        <v>1298113.1000000003</v>
      </c>
      <c r="F8" s="16">
        <v>4768786.129999999</v>
      </c>
      <c r="G8" s="16">
        <v>972393.1100000001</v>
      </c>
      <c r="H8" s="16">
        <v>1806768.8500000003</v>
      </c>
      <c r="I8" s="16">
        <v>354888.67000000004</v>
      </c>
      <c r="J8" s="16">
        <v>1047522.26</v>
      </c>
      <c r="K8" s="16">
        <v>209276.36</v>
      </c>
      <c r="L8" s="16">
        <v>5018137.75</v>
      </c>
      <c r="M8" s="16">
        <v>1030091.3599999999</v>
      </c>
      <c r="N8" s="16">
        <v>19822870.539999995</v>
      </c>
      <c r="O8" s="16">
        <v>3985458.6500000004</v>
      </c>
    </row>
    <row r="9" spans="1:18" x14ac:dyDescent="0.35">
      <c r="A9" s="15" t="s">
        <v>52</v>
      </c>
      <c r="B9" s="16">
        <v>483917.82</v>
      </c>
      <c r="C9" s="16">
        <v>93296.86</v>
      </c>
      <c r="D9" s="16">
        <v>5254505.709999999</v>
      </c>
      <c r="E9" s="16">
        <v>1077727.850000001</v>
      </c>
      <c r="F9" s="16">
        <v>2348746.1800000011</v>
      </c>
      <c r="G9" s="16">
        <v>490473.77000000008</v>
      </c>
      <c r="H9" s="16">
        <v>1066330.76</v>
      </c>
      <c r="I9" s="16">
        <v>221921.08000000002</v>
      </c>
      <c r="J9" s="16">
        <v>1386566.44</v>
      </c>
      <c r="K9" s="16">
        <v>280711.94999999995</v>
      </c>
      <c r="L9" s="16">
        <v>2710573.0399999991</v>
      </c>
      <c r="M9" s="16">
        <v>520396.91000000015</v>
      </c>
      <c r="N9" s="16">
        <v>13250639.949999999</v>
      </c>
      <c r="O9" s="16">
        <v>2684528.4200000013</v>
      </c>
    </row>
    <row r="10" spans="1:18" x14ac:dyDescent="0.35">
      <c r="A10" s="15" t="s">
        <v>2593</v>
      </c>
      <c r="B10" s="16">
        <v>3112596.26</v>
      </c>
      <c r="C10" s="16">
        <v>601995.16</v>
      </c>
      <c r="D10" s="16">
        <v>19000461.319999997</v>
      </c>
      <c r="E10" s="16">
        <v>3838435.600000001</v>
      </c>
      <c r="F10" s="16">
        <v>11265632.150000002</v>
      </c>
      <c r="G10" s="16">
        <v>2276572.6700000004</v>
      </c>
      <c r="H10" s="16">
        <v>4565980.3500000006</v>
      </c>
      <c r="I10" s="16">
        <v>903890.95000000019</v>
      </c>
      <c r="J10" s="16">
        <v>3587102.64</v>
      </c>
      <c r="K10" s="16">
        <v>718312.5199999999</v>
      </c>
      <c r="L10" s="16">
        <v>13136662.109999999</v>
      </c>
      <c r="M10" s="16">
        <v>2673001.7199999997</v>
      </c>
      <c r="N10" s="16">
        <v>54668434.829999998</v>
      </c>
      <c r="O10" s="16">
        <v>11012208.620000003</v>
      </c>
    </row>
    <row r="11" spans="1:18" x14ac:dyDescent="0.35">
      <c r="Q11" s="14" t="s">
        <v>2592</v>
      </c>
      <c r="R11" t="s">
        <v>2594</v>
      </c>
    </row>
    <row r="12" spans="1:18" x14ac:dyDescent="0.35">
      <c r="Q12" s="15" t="s">
        <v>18</v>
      </c>
      <c r="R12" s="16">
        <v>1072083.4000000006</v>
      </c>
    </row>
    <row r="13" spans="1:18" x14ac:dyDescent="0.35">
      <c r="A13" s="14" t="s">
        <v>2592</v>
      </c>
      <c r="B13" t="s">
        <v>2594</v>
      </c>
      <c r="C13" t="s">
        <v>2597</v>
      </c>
      <c r="D13" t="s">
        <v>2602</v>
      </c>
      <c r="E13" t="s">
        <v>2595</v>
      </c>
      <c r="F13" t="s">
        <v>2596</v>
      </c>
      <c r="H13" s="14" t="s">
        <v>2592</v>
      </c>
      <c r="I13" t="s">
        <v>2595</v>
      </c>
      <c r="K13" s="14" t="s">
        <v>2592</v>
      </c>
      <c r="L13" t="s">
        <v>2594</v>
      </c>
      <c r="N13" s="14" t="s">
        <v>2592</v>
      </c>
      <c r="O13" t="s">
        <v>2594</v>
      </c>
      <c r="Q13" s="15" t="s">
        <v>85</v>
      </c>
      <c r="R13" s="16">
        <v>1760912.0900000015</v>
      </c>
    </row>
    <row r="14" spans="1:18" x14ac:dyDescent="0.35">
      <c r="A14" s="15" t="s">
        <v>58</v>
      </c>
      <c r="B14" s="16">
        <v>6562065.4499999993</v>
      </c>
      <c r="C14" s="16">
        <v>1358549.01</v>
      </c>
      <c r="D14" s="21">
        <v>332</v>
      </c>
      <c r="E14" s="17">
        <v>11.890000000000006</v>
      </c>
      <c r="F14" s="16">
        <v>424131.5500000004</v>
      </c>
      <c r="H14" s="15" t="s">
        <v>58</v>
      </c>
      <c r="I14" s="17">
        <v>11.890000000000006</v>
      </c>
      <c r="K14" s="31">
        <v>43101</v>
      </c>
      <c r="L14" s="16">
        <v>36099.050000000003</v>
      </c>
      <c r="N14" s="15" t="s">
        <v>2608</v>
      </c>
      <c r="O14" s="16">
        <v>16759914.900000006</v>
      </c>
      <c r="Q14" s="15" t="s">
        <v>40</v>
      </c>
      <c r="R14" s="16">
        <v>38892840.419999972</v>
      </c>
    </row>
    <row r="15" spans="1:18" x14ac:dyDescent="0.35">
      <c r="A15" s="15" t="s">
        <v>25</v>
      </c>
      <c r="B15" s="16">
        <v>15032858.890000008</v>
      </c>
      <c r="C15" s="16">
        <v>2983672.5399999982</v>
      </c>
      <c r="D15" s="21">
        <v>700</v>
      </c>
      <c r="E15" s="17">
        <v>25.850000000000041</v>
      </c>
      <c r="F15" s="16">
        <v>959193.10999999987</v>
      </c>
      <c r="H15" s="15" t="s">
        <v>25</v>
      </c>
      <c r="I15" s="17">
        <v>25.850000000000041</v>
      </c>
      <c r="K15" s="31">
        <v>43102</v>
      </c>
      <c r="L15" s="16">
        <v>115022.70000000001</v>
      </c>
      <c r="N15" s="15" t="s">
        <v>2609</v>
      </c>
      <c r="O15" s="16">
        <v>18747410.900000025</v>
      </c>
      <c r="Q15" s="15" t="s">
        <v>34</v>
      </c>
      <c r="R15" s="16">
        <v>4823835.3200000022</v>
      </c>
    </row>
    <row r="16" spans="1:18" x14ac:dyDescent="0.35">
      <c r="A16" s="15" t="s">
        <v>16</v>
      </c>
      <c r="B16" s="16">
        <v>19822870.54000001</v>
      </c>
      <c r="C16" s="16">
        <v>3985458.6499999962</v>
      </c>
      <c r="D16" s="21">
        <v>822</v>
      </c>
      <c r="E16" s="17">
        <v>30.630000000000074</v>
      </c>
      <c r="F16" s="16">
        <v>1309296.4599999986</v>
      </c>
      <c r="H16" s="15" t="s">
        <v>16</v>
      </c>
      <c r="I16" s="17">
        <v>30.630000000000074</v>
      </c>
      <c r="K16" s="31">
        <v>43103</v>
      </c>
      <c r="L16" s="16">
        <v>18999.05</v>
      </c>
      <c r="N16" s="15" t="s">
        <v>2610</v>
      </c>
      <c r="O16" s="16">
        <v>19051093.630000029</v>
      </c>
      <c r="Q16" s="15" t="s">
        <v>27</v>
      </c>
      <c r="R16" s="16">
        <v>8118763.5999999968</v>
      </c>
    </row>
    <row r="17" spans="1:18" x14ac:dyDescent="0.35">
      <c r="A17" s="15" t="s">
        <v>52</v>
      </c>
      <c r="B17" s="16">
        <v>13250639.950000009</v>
      </c>
      <c r="C17" s="16">
        <v>2684528.4200000013</v>
      </c>
      <c r="D17" s="21">
        <v>581</v>
      </c>
      <c r="E17" s="17">
        <v>21.280000000000005</v>
      </c>
      <c r="F17" s="16">
        <v>828509.05</v>
      </c>
      <c r="H17" s="15" t="s">
        <v>52</v>
      </c>
      <c r="I17" s="17">
        <v>21.280000000000005</v>
      </c>
      <c r="K17" s="31">
        <v>43105</v>
      </c>
      <c r="L17" s="16">
        <v>1830.8</v>
      </c>
      <c r="N17" s="15" t="s">
        <v>2611</v>
      </c>
      <c r="O17" s="16">
        <v>110015.4</v>
      </c>
      <c r="Q17" s="15" t="s">
        <v>2593</v>
      </c>
      <c r="R17" s="16">
        <v>54668434.829999968</v>
      </c>
    </row>
    <row r="18" spans="1:18" x14ac:dyDescent="0.35">
      <c r="A18" s="15" t="s">
        <v>2593</v>
      </c>
      <c r="B18" s="16">
        <v>54668434.830000028</v>
      </c>
      <c r="C18" s="16">
        <v>11012208.619999995</v>
      </c>
      <c r="D18" s="21">
        <v>2435</v>
      </c>
      <c r="E18" s="17">
        <v>89.650000000000119</v>
      </c>
      <c r="F18" s="16">
        <v>3521130.169999999</v>
      </c>
      <c r="H18" s="15" t="s">
        <v>2593</v>
      </c>
      <c r="I18" s="17">
        <v>89.650000000000119</v>
      </c>
      <c r="K18" s="31">
        <v>43106</v>
      </c>
      <c r="L18" s="16">
        <v>107998</v>
      </c>
      <c r="N18" s="15" t="s">
        <v>2593</v>
      </c>
      <c r="O18" s="16">
        <v>54668434.83000005</v>
      </c>
    </row>
    <row r="19" spans="1:18" x14ac:dyDescent="0.35">
      <c r="K19" s="31">
        <v>43110</v>
      </c>
      <c r="L19" s="16">
        <v>11699.1</v>
      </c>
    </row>
    <row r="20" spans="1:18" x14ac:dyDescent="0.35">
      <c r="K20" s="31">
        <v>43111</v>
      </c>
      <c r="L20" s="16">
        <v>41473.299999999996</v>
      </c>
    </row>
    <row r="21" spans="1:18" x14ac:dyDescent="0.35">
      <c r="K21" s="31">
        <v>43112</v>
      </c>
      <c r="L21" s="16">
        <v>141989.5</v>
      </c>
    </row>
    <row r="22" spans="1:18" x14ac:dyDescent="0.35">
      <c r="K22" s="31">
        <v>43113</v>
      </c>
      <c r="L22" s="16">
        <v>2641</v>
      </c>
    </row>
    <row r="23" spans="1:18" x14ac:dyDescent="0.35">
      <c r="K23" s="31">
        <v>43114</v>
      </c>
      <c r="L23" s="16">
        <v>36099.050000000003</v>
      </c>
    </row>
    <row r="24" spans="1:18" x14ac:dyDescent="0.35">
      <c r="K24" s="31">
        <v>43115</v>
      </c>
      <c r="L24" s="16">
        <v>33439.120000000003</v>
      </c>
    </row>
    <row r="25" spans="1:18" x14ac:dyDescent="0.35">
      <c r="K25" s="31">
        <v>43116</v>
      </c>
      <c r="L25" s="16">
        <v>58847.15</v>
      </c>
    </row>
    <row r="26" spans="1:18" x14ac:dyDescent="0.35">
      <c r="K26" s="31">
        <v>43118</v>
      </c>
      <c r="L26" s="16">
        <v>3990</v>
      </c>
    </row>
    <row r="27" spans="1:18" x14ac:dyDescent="0.35">
      <c r="K27" s="31">
        <v>43119</v>
      </c>
      <c r="L27" s="16">
        <v>23950</v>
      </c>
    </row>
    <row r="28" spans="1:18" x14ac:dyDescent="0.35">
      <c r="K28" s="31">
        <v>43120</v>
      </c>
      <c r="L28" s="16">
        <v>1830.8</v>
      </c>
    </row>
    <row r="29" spans="1:18" x14ac:dyDescent="0.35">
      <c r="K29" s="31">
        <v>43121</v>
      </c>
      <c r="L29" s="16">
        <v>98671.75</v>
      </c>
    </row>
    <row r="30" spans="1:18" x14ac:dyDescent="0.35">
      <c r="K30" s="31">
        <v>43122</v>
      </c>
      <c r="L30" s="16">
        <v>104877.24</v>
      </c>
    </row>
    <row r="31" spans="1:18" x14ac:dyDescent="0.35">
      <c r="K31" s="31">
        <v>43124</v>
      </c>
      <c r="L31" s="16">
        <v>109247.05</v>
      </c>
    </row>
    <row r="32" spans="1:18" x14ac:dyDescent="0.35">
      <c r="K32" s="31">
        <v>43125</v>
      </c>
      <c r="L32" s="16">
        <v>48358.18</v>
      </c>
    </row>
    <row r="33" spans="11:12" x14ac:dyDescent="0.35">
      <c r="K33" s="31">
        <v>43126</v>
      </c>
      <c r="L33" s="16">
        <v>1830.8</v>
      </c>
    </row>
    <row r="34" spans="11:12" x14ac:dyDescent="0.35">
      <c r="K34" s="31">
        <v>43127</v>
      </c>
      <c r="L34" s="16">
        <v>95304</v>
      </c>
    </row>
    <row r="35" spans="11:12" x14ac:dyDescent="0.35">
      <c r="K35" s="31">
        <v>43128</v>
      </c>
      <c r="L35" s="16">
        <v>4740.5</v>
      </c>
    </row>
    <row r="36" spans="11:12" x14ac:dyDescent="0.35">
      <c r="K36" s="31">
        <v>43129</v>
      </c>
      <c r="L36" s="16">
        <v>49499.1</v>
      </c>
    </row>
    <row r="37" spans="11:12" x14ac:dyDescent="0.35">
      <c r="K37" s="31">
        <v>43130</v>
      </c>
      <c r="L37" s="16">
        <v>102597.3</v>
      </c>
    </row>
    <row r="38" spans="11:12" x14ac:dyDescent="0.35">
      <c r="K38" s="31">
        <v>43131</v>
      </c>
      <c r="L38" s="16">
        <v>117247.05</v>
      </c>
    </row>
    <row r="39" spans="11:12" x14ac:dyDescent="0.35">
      <c r="K39" s="31">
        <v>43132</v>
      </c>
      <c r="L39" s="16">
        <v>1161</v>
      </c>
    </row>
    <row r="40" spans="11:12" x14ac:dyDescent="0.35">
      <c r="K40" s="31">
        <v>43138</v>
      </c>
      <c r="L40" s="16">
        <v>113997</v>
      </c>
    </row>
    <row r="41" spans="11:12" x14ac:dyDescent="0.35">
      <c r="K41" s="31">
        <v>43139</v>
      </c>
      <c r="L41" s="16">
        <v>1370.8</v>
      </c>
    </row>
    <row r="42" spans="11:12" x14ac:dyDescent="0.35">
      <c r="K42" s="31">
        <v>43140</v>
      </c>
      <c r="L42" s="16">
        <v>19999</v>
      </c>
    </row>
    <row r="43" spans="11:12" x14ac:dyDescent="0.35">
      <c r="K43" s="31">
        <v>43141</v>
      </c>
      <c r="L43" s="16">
        <v>22582.3</v>
      </c>
    </row>
    <row r="44" spans="11:12" x14ac:dyDescent="0.35">
      <c r="K44" s="31">
        <v>43144</v>
      </c>
      <c r="L44" s="16">
        <v>31349.05</v>
      </c>
    </row>
    <row r="45" spans="11:12" x14ac:dyDescent="0.35">
      <c r="K45" s="31">
        <v>43145</v>
      </c>
      <c r="L45" s="16">
        <v>66405</v>
      </c>
    </row>
    <row r="46" spans="11:12" x14ac:dyDescent="0.35">
      <c r="K46" s="31">
        <v>43146</v>
      </c>
      <c r="L46" s="16">
        <v>186196.2</v>
      </c>
    </row>
    <row r="47" spans="11:12" x14ac:dyDescent="0.35">
      <c r="K47" s="31">
        <v>43147</v>
      </c>
      <c r="L47" s="16">
        <v>7809.85</v>
      </c>
    </row>
    <row r="48" spans="11:12" x14ac:dyDescent="0.35">
      <c r="K48" s="31">
        <v>43149</v>
      </c>
      <c r="L48" s="16">
        <v>50838.080000000002</v>
      </c>
    </row>
    <row r="49" spans="11:12" x14ac:dyDescent="0.35">
      <c r="K49" s="31">
        <v>43150</v>
      </c>
      <c r="L49" s="16">
        <v>54999</v>
      </c>
    </row>
    <row r="50" spans="11:12" x14ac:dyDescent="0.35">
      <c r="K50" s="31">
        <v>43152</v>
      </c>
      <c r="L50" s="16">
        <v>153294.20000000001</v>
      </c>
    </row>
    <row r="51" spans="11:12" x14ac:dyDescent="0.35">
      <c r="K51" s="31">
        <v>43154</v>
      </c>
      <c r="L51" s="16">
        <v>22499.1</v>
      </c>
    </row>
    <row r="52" spans="11:12" x14ac:dyDescent="0.35">
      <c r="K52" s="31">
        <v>43156</v>
      </c>
      <c r="L52" s="16">
        <v>1311.2</v>
      </c>
    </row>
    <row r="53" spans="11:12" x14ac:dyDescent="0.35">
      <c r="K53" s="31">
        <v>43157</v>
      </c>
      <c r="L53" s="16">
        <v>256112.40000000002</v>
      </c>
    </row>
    <row r="54" spans="11:12" x14ac:dyDescent="0.35">
      <c r="K54" s="31">
        <v>43158</v>
      </c>
      <c r="L54" s="16">
        <v>18354</v>
      </c>
    </row>
    <row r="55" spans="11:12" x14ac:dyDescent="0.35">
      <c r="K55" s="31">
        <v>43159</v>
      </c>
      <c r="L55" s="16">
        <v>49328.9</v>
      </c>
    </row>
    <row r="56" spans="11:12" x14ac:dyDescent="0.35">
      <c r="K56" s="31">
        <v>43161</v>
      </c>
      <c r="L56" s="16">
        <v>54508.880000000005</v>
      </c>
    </row>
    <row r="57" spans="11:12" x14ac:dyDescent="0.35">
      <c r="K57" s="31">
        <v>43163</v>
      </c>
      <c r="L57" s="16">
        <v>208967.69999999998</v>
      </c>
    </row>
    <row r="58" spans="11:12" x14ac:dyDescent="0.35">
      <c r="K58" s="31">
        <v>43164</v>
      </c>
      <c r="L58" s="16">
        <v>1990</v>
      </c>
    </row>
    <row r="59" spans="11:12" x14ac:dyDescent="0.35">
      <c r="K59" s="31">
        <v>43167</v>
      </c>
      <c r="L59" s="16">
        <v>118289.65000000001</v>
      </c>
    </row>
    <row r="60" spans="11:12" x14ac:dyDescent="0.35">
      <c r="K60" s="31">
        <v>43168</v>
      </c>
      <c r="L60" s="16">
        <v>43388.2</v>
      </c>
    </row>
    <row r="61" spans="11:12" x14ac:dyDescent="0.35">
      <c r="K61" s="31">
        <v>43172</v>
      </c>
      <c r="L61" s="16">
        <v>3511.2</v>
      </c>
    </row>
    <row r="62" spans="11:12" x14ac:dyDescent="0.35">
      <c r="K62" s="31">
        <v>43173</v>
      </c>
      <c r="L62" s="16">
        <v>11959.08</v>
      </c>
    </row>
    <row r="63" spans="11:12" x14ac:dyDescent="0.35">
      <c r="K63" s="31">
        <v>43174</v>
      </c>
      <c r="L63" s="16">
        <v>89298.05</v>
      </c>
    </row>
    <row r="64" spans="11:12" x14ac:dyDescent="0.35">
      <c r="K64" s="31">
        <v>43177</v>
      </c>
      <c r="L64" s="16">
        <v>7022.4</v>
      </c>
    </row>
    <row r="65" spans="11:12" x14ac:dyDescent="0.35">
      <c r="K65" s="31">
        <v>43178</v>
      </c>
      <c r="L65" s="16">
        <v>171675.52000000002</v>
      </c>
    </row>
    <row r="66" spans="11:12" x14ac:dyDescent="0.35">
      <c r="K66" s="31">
        <v>43179</v>
      </c>
      <c r="L66" s="16">
        <v>32199.08</v>
      </c>
    </row>
    <row r="67" spans="11:12" x14ac:dyDescent="0.35">
      <c r="K67" s="31">
        <v>43180</v>
      </c>
      <c r="L67" s="16">
        <v>9195.4</v>
      </c>
    </row>
    <row r="68" spans="11:12" x14ac:dyDescent="0.35">
      <c r="K68" s="31">
        <v>43182</v>
      </c>
      <c r="L68" s="16">
        <v>97690.12</v>
      </c>
    </row>
    <row r="69" spans="11:12" x14ac:dyDescent="0.35">
      <c r="K69" s="31">
        <v>43184</v>
      </c>
      <c r="L69" s="16">
        <v>71178.100000000006</v>
      </c>
    </row>
    <row r="70" spans="11:12" x14ac:dyDescent="0.35">
      <c r="K70" s="31">
        <v>43185</v>
      </c>
      <c r="L70" s="16">
        <v>30958.129999999997</v>
      </c>
    </row>
    <row r="71" spans="11:12" x14ac:dyDescent="0.35">
      <c r="K71" s="31">
        <v>43186</v>
      </c>
      <c r="L71" s="16">
        <v>34999</v>
      </c>
    </row>
    <row r="72" spans="11:12" x14ac:dyDescent="0.35">
      <c r="K72" s="31">
        <v>43187</v>
      </c>
      <c r="L72" s="16">
        <v>44348.05</v>
      </c>
    </row>
    <row r="73" spans="11:12" x14ac:dyDescent="0.35">
      <c r="K73" s="31">
        <v>43188</v>
      </c>
      <c r="L73" s="16">
        <v>70184.040000000008</v>
      </c>
    </row>
    <row r="74" spans="11:12" x14ac:dyDescent="0.35">
      <c r="K74" s="31">
        <v>43193</v>
      </c>
      <c r="L74" s="16">
        <v>11980</v>
      </c>
    </row>
    <row r="75" spans="11:12" x14ac:dyDescent="0.35">
      <c r="K75" s="31">
        <v>43195</v>
      </c>
      <c r="L75" s="16">
        <v>22999</v>
      </c>
    </row>
    <row r="76" spans="11:12" x14ac:dyDescent="0.35">
      <c r="K76" s="31">
        <v>43196</v>
      </c>
      <c r="L76" s="16">
        <v>2980</v>
      </c>
    </row>
    <row r="77" spans="11:12" x14ac:dyDescent="0.35">
      <c r="K77" s="31">
        <v>43197</v>
      </c>
      <c r="L77" s="16">
        <v>118209.29999999999</v>
      </c>
    </row>
    <row r="78" spans="11:12" x14ac:dyDescent="0.35">
      <c r="K78" s="31">
        <v>43198</v>
      </c>
      <c r="L78" s="16">
        <v>4990</v>
      </c>
    </row>
    <row r="79" spans="11:12" x14ac:dyDescent="0.35">
      <c r="K79" s="31">
        <v>43199</v>
      </c>
      <c r="L79" s="16">
        <v>99358.16</v>
      </c>
    </row>
    <row r="80" spans="11:12" x14ac:dyDescent="0.35">
      <c r="K80" s="31">
        <v>43204</v>
      </c>
      <c r="L80" s="16">
        <v>12793.65</v>
      </c>
    </row>
    <row r="81" spans="11:12" x14ac:dyDescent="0.35">
      <c r="K81" s="31">
        <v>43205</v>
      </c>
      <c r="L81" s="16">
        <v>4816.5</v>
      </c>
    </row>
    <row r="82" spans="11:12" x14ac:dyDescent="0.35">
      <c r="K82" s="31">
        <v>43206</v>
      </c>
      <c r="L82" s="16">
        <v>139116.78999999998</v>
      </c>
    </row>
    <row r="83" spans="11:12" x14ac:dyDescent="0.35">
      <c r="K83" s="31">
        <v>43207</v>
      </c>
      <c r="L83" s="16">
        <v>253990.6</v>
      </c>
    </row>
    <row r="84" spans="11:12" x14ac:dyDescent="0.35">
      <c r="K84" s="31">
        <v>43208</v>
      </c>
      <c r="L84" s="16">
        <v>35998.199999999997</v>
      </c>
    </row>
    <row r="85" spans="11:12" x14ac:dyDescent="0.35">
      <c r="K85" s="31">
        <v>43209</v>
      </c>
      <c r="L85" s="16">
        <v>79098.100000000006</v>
      </c>
    </row>
    <row r="86" spans="11:12" x14ac:dyDescent="0.35">
      <c r="K86" s="31">
        <v>43210</v>
      </c>
      <c r="L86" s="16">
        <v>54999</v>
      </c>
    </row>
    <row r="87" spans="11:12" x14ac:dyDescent="0.35">
      <c r="K87" s="31">
        <v>43211</v>
      </c>
      <c r="L87" s="16">
        <v>103548.1</v>
      </c>
    </row>
    <row r="88" spans="11:12" x14ac:dyDescent="0.35">
      <c r="K88" s="31">
        <v>43212</v>
      </c>
      <c r="L88" s="16">
        <v>42318.16</v>
      </c>
    </row>
    <row r="89" spans="11:12" x14ac:dyDescent="0.35">
      <c r="K89" s="31">
        <v>43213</v>
      </c>
      <c r="L89" s="16">
        <v>85529.58</v>
      </c>
    </row>
    <row r="90" spans="11:12" x14ac:dyDescent="0.35">
      <c r="K90" s="31">
        <v>43215</v>
      </c>
      <c r="L90" s="16">
        <v>4590.8</v>
      </c>
    </row>
    <row r="91" spans="11:12" x14ac:dyDescent="0.35">
      <c r="K91" s="31">
        <v>43216</v>
      </c>
      <c r="L91" s="16">
        <v>79798.100000000006</v>
      </c>
    </row>
    <row r="92" spans="11:12" x14ac:dyDescent="0.35">
      <c r="K92" s="31">
        <v>43217</v>
      </c>
      <c r="L92" s="16">
        <v>103157.71</v>
      </c>
    </row>
    <row r="93" spans="11:12" x14ac:dyDescent="0.35">
      <c r="K93" s="31">
        <v>43218</v>
      </c>
      <c r="L93" s="16">
        <v>61638.16</v>
      </c>
    </row>
    <row r="94" spans="11:12" x14ac:dyDescent="0.35">
      <c r="K94" s="31">
        <v>43219</v>
      </c>
      <c r="L94" s="16">
        <v>21999.119999999999</v>
      </c>
    </row>
    <row r="95" spans="11:12" x14ac:dyDescent="0.35">
      <c r="K95" s="31">
        <v>43220</v>
      </c>
      <c r="L95" s="16">
        <v>177555.40000000002</v>
      </c>
    </row>
    <row r="96" spans="11:12" x14ac:dyDescent="0.35">
      <c r="K96" s="31">
        <v>43222</v>
      </c>
      <c r="L96" s="16">
        <v>39899.050000000003</v>
      </c>
    </row>
    <row r="97" spans="11:12" x14ac:dyDescent="0.35">
      <c r="K97" s="31">
        <v>43224</v>
      </c>
      <c r="L97" s="16">
        <v>93098.1</v>
      </c>
    </row>
    <row r="98" spans="11:12" x14ac:dyDescent="0.35">
      <c r="K98" s="31">
        <v>43226</v>
      </c>
      <c r="L98" s="16">
        <v>69900</v>
      </c>
    </row>
    <row r="99" spans="11:12" x14ac:dyDescent="0.35">
      <c r="K99" s="31">
        <v>43228</v>
      </c>
      <c r="L99" s="16">
        <v>5797.1</v>
      </c>
    </row>
    <row r="100" spans="11:12" x14ac:dyDescent="0.35">
      <c r="K100" s="31">
        <v>43230</v>
      </c>
      <c r="L100" s="16">
        <v>14221.5</v>
      </c>
    </row>
    <row r="101" spans="11:12" x14ac:dyDescent="0.35">
      <c r="K101" s="31">
        <v>43231</v>
      </c>
      <c r="L101" s="16">
        <v>248395.4</v>
      </c>
    </row>
    <row r="102" spans="11:12" x14ac:dyDescent="0.35">
      <c r="K102" s="31">
        <v>43232</v>
      </c>
      <c r="L102" s="16">
        <v>1161</v>
      </c>
    </row>
    <row r="103" spans="11:12" x14ac:dyDescent="0.35">
      <c r="K103" s="31">
        <v>43233</v>
      </c>
      <c r="L103" s="16">
        <v>120958.45</v>
      </c>
    </row>
    <row r="104" spans="11:12" x14ac:dyDescent="0.35">
      <c r="K104" s="31">
        <v>43234</v>
      </c>
      <c r="L104" s="16">
        <v>63098.149999999994</v>
      </c>
    </row>
    <row r="105" spans="11:12" x14ac:dyDescent="0.35">
      <c r="K105" s="31">
        <v>43236</v>
      </c>
      <c r="L105" s="16">
        <v>91749.05</v>
      </c>
    </row>
    <row r="106" spans="11:12" x14ac:dyDescent="0.35">
      <c r="K106" s="31">
        <v>43237</v>
      </c>
      <c r="L106" s="16">
        <v>163225.82</v>
      </c>
    </row>
    <row r="107" spans="11:12" x14ac:dyDescent="0.35">
      <c r="K107" s="31">
        <v>43238</v>
      </c>
      <c r="L107" s="16">
        <v>30359.08</v>
      </c>
    </row>
    <row r="108" spans="11:12" x14ac:dyDescent="0.35">
      <c r="K108" s="31">
        <v>43239</v>
      </c>
      <c r="L108" s="16">
        <v>3638.18</v>
      </c>
    </row>
    <row r="109" spans="11:12" x14ac:dyDescent="0.35">
      <c r="K109" s="31">
        <v>43240</v>
      </c>
      <c r="L109" s="16">
        <v>114597.1</v>
      </c>
    </row>
    <row r="110" spans="11:12" x14ac:dyDescent="0.35">
      <c r="K110" s="31">
        <v>43242</v>
      </c>
      <c r="L110" s="16">
        <v>11699.1</v>
      </c>
    </row>
    <row r="111" spans="11:12" x14ac:dyDescent="0.35">
      <c r="K111" s="31">
        <v>43243</v>
      </c>
      <c r="L111" s="16">
        <v>38639.08</v>
      </c>
    </row>
    <row r="112" spans="11:12" x14ac:dyDescent="0.35">
      <c r="K112" s="31">
        <v>43244</v>
      </c>
      <c r="L112" s="16">
        <v>7596.2</v>
      </c>
    </row>
    <row r="113" spans="11:12" x14ac:dyDescent="0.35">
      <c r="K113" s="31">
        <v>43245</v>
      </c>
      <c r="L113" s="16">
        <v>12349.05</v>
      </c>
    </row>
    <row r="114" spans="11:12" x14ac:dyDescent="0.35">
      <c r="K114" s="31">
        <v>43246</v>
      </c>
      <c r="L114" s="16">
        <v>5990</v>
      </c>
    </row>
    <row r="115" spans="11:12" x14ac:dyDescent="0.35">
      <c r="K115" s="31">
        <v>43248</v>
      </c>
      <c r="L115" s="16">
        <v>5697.15</v>
      </c>
    </row>
    <row r="116" spans="11:12" x14ac:dyDescent="0.35">
      <c r="K116" s="31">
        <v>43249</v>
      </c>
      <c r="L116" s="16">
        <v>20889.55</v>
      </c>
    </row>
    <row r="117" spans="11:12" x14ac:dyDescent="0.35">
      <c r="K117" s="31">
        <v>43251</v>
      </c>
      <c r="L117" s="16">
        <v>20699.099999999999</v>
      </c>
    </row>
    <row r="118" spans="11:12" x14ac:dyDescent="0.35">
      <c r="K118" s="31">
        <v>43252</v>
      </c>
      <c r="L118" s="16">
        <v>36099.050000000003</v>
      </c>
    </row>
    <row r="119" spans="11:12" x14ac:dyDescent="0.35">
      <c r="K119" s="31">
        <v>43253</v>
      </c>
      <c r="L119" s="16">
        <v>31301.55</v>
      </c>
    </row>
    <row r="120" spans="11:12" x14ac:dyDescent="0.35">
      <c r="K120" s="31">
        <v>43255</v>
      </c>
      <c r="L120" s="16">
        <v>119242.25</v>
      </c>
    </row>
    <row r="121" spans="11:12" x14ac:dyDescent="0.35">
      <c r="K121" s="31">
        <v>43256</v>
      </c>
      <c r="L121" s="16">
        <v>78916.600000000006</v>
      </c>
    </row>
    <row r="122" spans="11:12" x14ac:dyDescent="0.35">
      <c r="K122" s="31">
        <v>43259</v>
      </c>
      <c r="L122" s="16">
        <v>5391</v>
      </c>
    </row>
    <row r="123" spans="11:12" x14ac:dyDescent="0.35">
      <c r="K123" s="31">
        <v>43260</v>
      </c>
      <c r="L123" s="16">
        <v>5671.5</v>
      </c>
    </row>
    <row r="124" spans="11:12" x14ac:dyDescent="0.35">
      <c r="K124" s="31">
        <v>43261</v>
      </c>
      <c r="L124" s="16">
        <v>44798.170000000006</v>
      </c>
    </row>
    <row r="125" spans="11:12" x14ac:dyDescent="0.35">
      <c r="K125" s="31">
        <v>43262</v>
      </c>
      <c r="L125" s="16">
        <v>59998.119999999995</v>
      </c>
    </row>
    <row r="126" spans="11:12" x14ac:dyDescent="0.35">
      <c r="K126" s="31">
        <v>43265</v>
      </c>
      <c r="L126" s="16">
        <v>59508.100000000006</v>
      </c>
    </row>
    <row r="127" spans="11:12" x14ac:dyDescent="0.35">
      <c r="K127" s="31">
        <v>43266</v>
      </c>
      <c r="L127" s="16">
        <v>99339</v>
      </c>
    </row>
    <row r="128" spans="11:12" x14ac:dyDescent="0.35">
      <c r="K128" s="31">
        <v>43269</v>
      </c>
      <c r="L128" s="16">
        <v>15579</v>
      </c>
    </row>
    <row r="129" spans="11:12" x14ac:dyDescent="0.35">
      <c r="K129" s="31">
        <v>43270</v>
      </c>
      <c r="L129" s="16">
        <v>161495.75</v>
      </c>
    </row>
    <row r="130" spans="11:12" x14ac:dyDescent="0.35">
      <c r="K130" s="31">
        <v>43271</v>
      </c>
      <c r="L130" s="16">
        <v>32979.08</v>
      </c>
    </row>
    <row r="131" spans="11:12" x14ac:dyDescent="0.35">
      <c r="K131" s="31">
        <v>43272</v>
      </c>
      <c r="L131" s="16">
        <v>71488.100000000006</v>
      </c>
    </row>
    <row r="132" spans="11:12" x14ac:dyDescent="0.35">
      <c r="K132" s="31">
        <v>43273</v>
      </c>
      <c r="L132" s="16">
        <v>75434.66</v>
      </c>
    </row>
    <row r="133" spans="11:12" x14ac:dyDescent="0.35">
      <c r="K133" s="31">
        <v>43275</v>
      </c>
      <c r="L133" s="16">
        <v>133577.4</v>
      </c>
    </row>
    <row r="134" spans="11:12" x14ac:dyDescent="0.35">
      <c r="K134" s="31">
        <v>43276</v>
      </c>
      <c r="L134" s="16">
        <v>44099.1</v>
      </c>
    </row>
    <row r="135" spans="11:12" x14ac:dyDescent="0.35">
      <c r="K135" s="31">
        <v>43277</v>
      </c>
      <c r="L135" s="16">
        <v>85407.760000000009</v>
      </c>
    </row>
    <row r="136" spans="11:12" x14ac:dyDescent="0.35">
      <c r="K136" s="31">
        <v>43279</v>
      </c>
      <c r="L136" s="16">
        <v>266894.34999999998</v>
      </c>
    </row>
    <row r="137" spans="11:12" x14ac:dyDescent="0.35">
      <c r="K137" s="31">
        <v>43280</v>
      </c>
      <c r="L137" s="16">
        <v>212794.40000000002</v>
      </c>
    </row>
    <row r="138" spans="11:12" x14ac:dyDescent="0.35">
      <c r="K138" s="31">
        <v>43281</v>
      </c>
      <c r="L138" s="16">
        <v>61755.05</v>
      </c>
    </row>
    <row r="139" spans="11:12" x14ac:dyDescent="0.35">
      <c r="K139" s="31">
        <v>43283</v>
      </c>
      <c r="L139" s="16">
        <v>57425.65</v>
      </c>
    </row>
    <row r="140" spans="11:12" x14ac:dyDescent="0.35">
      <c r="K140" s="31">
        <v>43284</v>
      </c>
      <c r="L140" s="16">
        <v>52797.36</v>
      </c>
    </row>
    <row r="141" spans="11:12" x14ac:dyDescent="0.35">
      <c r="K141" s="31">
        <v>43289</v>
      </c>
      <c r="L141" s="16">
        <v>37999</v>
      </c>
    </row>
    <row r="142" spans="11:12" x14ac:dyDescent="0.35">
      <c r="K142" s="31">
        <v>43290</v>
      </c>
      <c r="L142" s="16">
        <v>91957.260000000009</v>
      </c>
    </row>
    <row r="143" spans="11:12" x14ac:dyDescent="0.35">
      <c r="K143" s="31">
        <v>43291</v>
      </c>
      <c r="L143" s="16">
        <v>15113.4</v>
      </c>
    </row>
    <row r="144" spans="11:12" x14ac:dyDescent="0.35">
      <c r="K144" s="31">
        <v>43292</v>
      </c>
      <c r="L144" s="16">
        <v>140844.44999999998</v>
      </c>
    </row>
    <row r="145" spans="11:12" x14ac:dyDescent="0.35">
      <c r="K145" s="31">
        <v>43293</v>
      </c>
      <c r="L145" s="16">
        <v>18399.080000000002</v>
      </c>
    </row>
    <row r="146" spans="11:12" x14ac:dyDescent="0.35">
      <c r="K146" s="31">
        <v>43294</v>
      </c>
      <c r="L146" s="16">
        <v>24698.1</v>
      </c>
    </row>
    <row r="147" spans="11:12" x14ac:dyDescent="0.35">
      <c r="K147" s="31">
        <v>43295</v>
      </c>
      <c r="L147" s="16">
        <v>12999</v>
      </c>
    </row>
    <row r="148" spans="11:12" x14ac:dyDescent="0.35">
      <c r="K148" s="31">
        <v>43296</v>
      </c>
      <c r="L148" s="16">
        <v>43680.1</v>
      </c>
    </row>
    <row r="149" spans="11:12" x14ac:dyDescent="0.35">
      <c r="K149" s="31">
        <v>43297</v>
      </c>
      <c r="L149" s="16">
        <v>45897.3</v>
      </c>
    </row>
    <row r="150" spans="11:12" x14ac:dyDescent="0.35">
      <c r="K150" s="31">
        <v>43298</v>
      </c>
      <c r="L150" s="16">
        <v>2831</v>
      </c>
    </row>
    <row r="151" spans="11:12" x14ac:dyDescent="0.35">
      <c r="K151" s="31">
        <v>43301</v>
      </c>
      <c r="L151" s="16">
        <v>139836.32</v>
      </c>
    </row>
    <row r="152" spans="11:12" x14ac:dyDescent="0.35">
      <c r="K152" s="31">
        <v>43302</v>
      </c>
      <c r="L152" s="16">
        <v>4540.8</v>
      </c>
    </row>
    <row r="153" spans="11:12" x14ac:dyDescent="0.35">
      <c r="K153" s="31">
        <v>43303</v>
      </c>
      <c r="L153" s="16">
        <v>101198.16</v>
      </c>
    </row>
    <row r="154" spans="11:12" x14ac:dyDescent="0.35">
      <c r="K154" s="31">
        <v>43304</v>
      </c>
      <c r="L154" s="16">
        <v>24300.05</v>
      </c>
    </row>
    <row r="155" spans="11:12" x14ac:dyDescent="0.35">
      <c r="K155" s="31">
        <v>43305</v>
      </c>
      <c r="L155" s="16">
        <v>36959.120000000003</v>
      </c>
    </row>
    <row r="156" spans="11:12" x14ac:dyDescent="0.35">
      <c r="K156" s="31">
        <v>43306</v>
      </c>
      <c r="L156" s="16">
        <v>66405</v>
      </c>
    </row>
    <row r="157" spans="11:12" x14ac:dyDescent="0.35">
      <c r="K157" s="31">
        <v>43307</v>
      </c>
      <c r="L157" s="16">
        <v>76357.08</v>
      </c>
    </row>
    <row r="158" spans="11:12" x14ac:dyDescent="0.35">
      <c r="K158" s="31">
        <v>43308</v>
      </c>
      <c r="L158" s="16">
        <v>22999.08</v>
      </c>
    </row>
    <row r="159" spans="11:12" x14ac:dyDescent="0.35">
      <c r="K159" s="31">
        <v>43309</v>
      </c>
      <c r="L159" s="16">
        <v>1799.1</v>
      </c>
    </row>
    <row r="160" spans="11:12" x14ac:dyDescent="0.35">
      <c r="K160" s="31">
        <v>43311</v>
      </c>
      <c r="L160" s="16">
        <v>97177.1</v>
      </c>
    </row>
    <row r="161" spans="11:12" x14ac:dyDescent="0.35">
      <c r="K161" s="31">
        <v>43312</v>
      </c>
      <c r="L161" s="16">
        <v>49569.950000000004</v>
      </c>
    </row>
    <row r="162" spans="11:12" x14ac:dyDescent="0.35">
      <c r="K162" s="31">
        <v>43313</v>
      </c>
      <c r="L162" s="16">
        <v>6590</v>
      </c>
    </row>
    <row r="163" spans="11:12" x14ac:dyDescent="0.35">
      <c r="K163" s="31">
        <v>43314</v>
      </c>
      <c r="L163" s="16">
        <v>240745.15</v>
      </c>
    </row>
    <row r="164" spans="11:12" x14ac:dyDescent="0.35">
      <c r="K164" s="31">
        <v>43316</v>
      </c>
      <c r="L164" s="16">
        <v>30359.08</v>
      </c>
    </row>
    <row r="165" spans="11:12" x14ac:dyDescent="0.35">
      <c r="K165" s="31">
        <v>43317</v>
      </c>
      <c r="L165" s="16">
        <v>78379.3</v>
      </c>
    </row>
    <row r="166" spans="11:12" x14ac:dyDescent="0.35">
      <c r="K166" s="31">
        <v>43319</v>
      </c>
      <c r="L166" s="16">
        <v>151594.4</v>
      </c>
    </row>
    <row r="167" spans="11:12" x14ac:dyDescent="0.35">
      <c r="K167" s="31">
        <v>43320</v>
      </c>
      <c r="L167" s="16">
        <v>3980</v>
      </c>
    </row>
    <row r="168" spans="11:12" x14ac:dyDescent="0.35">
      <c r="K168" s="31">
        <v>43321</v>
      </c>
      <c r="L168" s="16">
        <v>67368.180000000008</v>
      </c>
    </row>
    <row r="169" spans="11:12" x14ac:dyDescent="0.35">
      <c r="K169" s="31">
        <v>43322</v>
      </c>
      <c r="L169" s="16">
        <v>2849.05</v>
      </c>
    </row>
    <row r="170" spans="11:12" x14ac:dyDescent="0.35">
      <c r="K170" s="31">
        <v>43323</v>
      </c>
      <c r="L170" s="16">
        <v>112236.32</v>
      </c>
    </row>
    <row r="171" spans="11:12" x14ac:dyDescent="0.35">
      <c r="K171" s="31">
        <v>43325</v>
      </c>
      <c r="L171" s="16">
        <v>178377.20999999996</v>
      </c>
    </row>
    <row r="172" spans="11:12" x14ac:dyDescent="0.35">
      <c r="K172" s="31">
        <v>43326</v>
      </c>
      <c r="L172" s="16">
        <v>11996</v>
      </c>
    </row>
    <row r="173" spans="11:12" x14ac:dyDescent="0.35">
      <c r="K173" s="31">
        <v>43327</v>
      </c>
      <c r="L173" s="16">
        <v>4726.2</v>
      </c>
    </row>
    <row r="174" spans="11:12" x14ac:dyDescent="0.35">
      <c r="K174" s="31">
        <v>43328</v>
      </c>
      <c r="L174" s="16">
        <v>11021.6</v>
      </c>
    </row>
    <row r="175" spans="11:12" x14ac:dyDescent="0.35">
      <c r="K175" s="31">
        <v>43329</v>
      </c>
      <c r="L175" s="16">
        <v>1341</v>
      </c>
    </row>
    <row r="176" spans="11:12" x14ac:dyDescent="0.35">
      <c r="K176" s="31">
        <v>43330</v>
      </c>
      <c r="L176" s="16">
        <v>3670.8</v>
      </c>
    </row>
    <row r="177" spans="11:12" x14ac:dyDescent="0.35">
      <c r="K177" s="31">
        <v>43331</v>
      </c>
      <c r="L177" s="16">
        <v>129897.25</v>
      </c>
    </row>
    <row r="178" spans="11:12" x14ac:dyDescent="0.35">
      <c r="K178" s="31">
        <v>43333</v>
      </c>
      <c r="L178" s="16">
        <v>40704.6</v>
      </c>
    </row>
    <row r="179" spans="11:12" x14ac:dyDescent="0.35">
      <c r="K179" s="31">
        <v>43334</v>
      </c>
      <c r="L179" s="16">
        <v>25164.55</v>
      </c>
    </row>
    <row r="180" spans="11:12" x14ac:dyDescent="0.35">
      <c r="K180" s="31">
        <v>43337</v>
      </c>
      <c r="L180" s="16">
        <v>15614.55</v>
      </c>
    </row>
    <row r="181" spans="11:12" x14ac:dyDescent="0.35">
      <c r="K181" s="31">
        <v>43338</v>
      </c>
      <c r="L181" s="16">
        <v>4990</v>
      </c>
    </row>
    <row r="182" spans="11:12" x14ac:dyDescent="0.35">
      <c r="K182" s="31">
        <v>43339</v>
      </c>
      <c r="L182" s="16">
        <v>10381.200000000001</v>
      </c>
    </row>
    <row r="183" spans="11:12" x14ac:dyDescent="0.35">
      <c r="K183" s="31">
        <v>43340</v>
      </c>
      <c r="L183" s="16">
        <v>3661.6</v>
      </c>
    </row>
    <row r="184" spans="11:12" x14ac:dyDescent="0.35">
      <c r="K184" s="31">
        <v>43342</v>
      </c>
      <c r="L184" s="16">
        <v>73589</v>
      </c>
    </row>
    <row r="185" spans="11:12" x14ac:dyDescent="0.35">
      <c r="K185" s="31">
        <v>43343</v>
      </c>
      <c r="L185" s="16">
        <v>164995</v>
      </c>
    </row>
    <row r="186" spans="11:12" x14ac:dyDescent="0.35">
      <c r="K186" s="31">
        <v>43345</v>
      </c>
      <c r="L186" s="16">
        <v>125363.46</v>
      </c>
    </row>
    <row r="187" spans="11:12" x14ac:dyDescent="0.35">
      <c r="K187" s="31">
        <v>43346</v>
      </c>
      <c r="L187" s="16">
        <v>202344.3</v>
      </c>
    </row>
    <row r="188" spans="11:12" x14ac:dyDescent="0.35">
      <c r="K188" s="31">
        <v>43347</v>
      </c>
      <c r="L188" s="16">
        <v>218634.25</v>
      </c>
    </row>
    <row r="189" spans="11:12" x14ac:dyDescent="0.35">
      <c r="K189" s="31">
        <v>43348</v>
      </c>
      <c r="L189" s="16">
        <v>53999</v>
      </c>
    </row>
    <row r="190" spans="11:12" x14ac:dyDescent="0.35">
      <c r="K190" s="31">
        <v>43349</v>
      </c>
      <c r="L190" s="16">
        <v>225894</v>
      </c>
    </row>
    <row r="191" spans="11:12" x14ac:dyDescent="0.35">
      <c r="K191" s="31">
        <v>43350</v>
      </c>
      <c r="L191" s="16">
        <v>33439.120000000003</v>
      </c>
    </row>
    <row r="192" spans="11:12" x14ac:dyDescent="0.35">
      <c r="K192" s="31">
        <v>43352</v>
      </c>
      <c r="L192" s="16">
        <v>23749.05</v>
      </c>
    </row>
    <row r="193" spans="11:12" x14ac:dyDescent="0.35">
      <c r="K193" s="31">
        <v>43353</v>
      </c>
      <c r="L193" s="16">
        <v>1830.8</v>
      </c>
    </row>
    <row r="194" spans="11:12" x14ac:dyDescent="0.35">
      <c r="K194" s="31">
        <v>43354</v>
      </c>
      <c r="L194" s="16">
        <v>3678.16</v>
      </c>
    </row>
    <row r="195" spans="11:12" x14ac:dyDescent="0.35">
      <c r="K195" s="31">
        <v>43357</v>
      </c>
      <c r="L195" s="16">
        <v>8982</v>
      </c>
    </row>
    <row r="196" spans="11:12" x14ac:dyDescent="0.35">
      <c r="K196" s="31">
        <v>43358</v>
      </c>
      <c r="L196" s="16">
        <v>3790.5</v>
      </c>
    </row>
    <row r="197" spans="11:12" x14ac:dyDescent="0.35">
      <c r="K197" s="31">
        <v>43360</v>
      </c>
      <c r="L197" s="16">
        <v>1990</v>
      </c>
    </row>
    <row r="198" spans="11:12" x14ac:dyDescent="0.35">
      <c r="K198" s="31">
        <v>43362</v>
      </c>
      <c r="L198" s="16">
        <v>50598.2</v>
      </c>
    </row>
    <row r="199" spans="11:12" x14ac:dyDescent="0.35">
      <c r="K199" s="31">
        <v>43363</v>
      </c>
      <c r="L199" s="16">
        <v>54999</v>
      </c>
    </row>
    <row r="200" spans="11:12" x14ac:dyDescent="0.35">
      <c r="K200" s="31">
        <v>43364</v>
      </c>
      <c r="L200" s="16">
        <v>1791</v>
      </c>
    </row>
    <row r="201" spans="11:12" x14ac:dyDescent="0.35">
      <c r="K201" s="31">
        <v>43365</v>
      </c>
      <c r="L201" s="16">
        <v>36099.050000000003</v>
      </c>
    </row>
    <row r="202" spans="11:12" x14ac:dyDescent="0.35">
      <c r="K202" s="31">
        <v>43366</v>
      </c>
      <c r="L202" s="16">
        <v>30359.08</v>
      </c>
    </row>
    <row r="203" spans="11:12" x14ac:dyDescent="0.35">
      <c r="K203" s="31">
        <v>43367</v>
      </c>
      <c r="L203" s="16">
        <v>37999</v>
      </c>
    </row>
    <row r="204" spans="11:12" x14ac:dyDescent="0.35">
      <c r="K204" s="31">
        <v>43368</v>
      </c>
      <c r="L204" s="16">
        <v>250804.3</v>
      </c>
    </row>
    <row r="205" spans="11:12" x14ac:dyDescent="0.35">
      <c r="K205" s="31">
        <v>43369</v>
      </c>
      <c r="L205" s="16">
        <v>65998</v>
      </c>
    </row>
    <row r="206" spans="11:12" x14ac:dyDescent="0.35">
      <c r="K206" s="31">
        <v>43371</v>
      </c>
      <c r="L206" s="16">
        <v>72391</v>
      </c>
    </row>
    <row r="207" spans="11:12" x14ac:dyDescent="0.35">
      <c r="K207" s="31">
        <v>43372</v>
      </c>
      <c r="L207" s="16">
        <v>6705</v>
      </c>
    </row>
    <row r="208" spans="11:12" x14ac:dyDescent="0.35">
      <c r="K208" s="31">
        <v>43377</v>
      </c>
      <c r="L208" s="16">
        <v>147517.5</v>
      </c>
    </row>
    <row r="209" spans="11:12" x14ac:dyDescent="0.35">
      <c r="K209" s="31">
        <v>43379</v>
      </c>
      <c r="L209" s="16">
        <v>110877.15</v>
      </c>
    </row>
    <row r="210" spans="11:12" x14ac:dyDescent="0.35">
      <c r="K210" s="31">
        <v>43380</v>
      </c>
      <c r="L210" s="16">
        <v>51299.05</v>
      </c>
    </row>
    <row r="211" spans="11:12" x14ac:dyDescent="0.35">
      <c r="K211" s="31">
        <v>43381</v>
      </c>
      <c r="L211" s="16">
        <v>66405</v>
      </c>
    </row>
    <row r="212" spans="11:12" x14ac:dyDescent="0.35">
      <c r="K212" s="31">
        <v>43382</v>
      </c>
      <c r="L212" s="16">
        <v>151795.4</v>
      </c>
    </row>
    <row r="213" spans="11:12" x14ac:dyDescent="0.35">
      <c r="K213" s="31">
        <v>43385</v>
      </c>
      <c r="L213" s="16">
        <v>41999</v>
      </c>
    </row>
    <row r="214" spans="11:12" x14ac:dyDescent="0.35">
      <c r="K214" s="31">
        <v>43386</v>
      </c>
      <c r="L214" s="16">
        <v>66405</v>
      </c>
    </row>
    <row r="215" spans="11:12" x14ac:dyDescent="0.35">
      <c r="K215" s="31">
        <v>43387</v>
      </c>
      <c r="L215" s="16">
        <v>54999</v>
      </c>
    </row>
    <row r="216" spans="11:12" x14ac:dyDescent="0.35">
      <c r="K216" s="31">
        <v>43389</v>
      </c>
      <c r="L216" s="16">
        <v>101647.25</v>
      </c>
    </row>
    <row r="217" spans="11:12" x14ac:dyDescent="0.35">
      <c r="K217" s="31">
        <v>43390</v>
      </c>
      <c r="L217" s="16">
        <v>110576.34</v>
      </c>
    </row>
    <row r="218" spans="11:12" x14ac:dyDescent="0.35">
      <c r="K218" s="31">
        <v>43392</v>
      </c>
      <c r="L218" s="16">
        <v>66405</v>
      </c>
    </row>
    <row r="219" spans="11:12" x14ac:dyDescent="0.35">
      <c r="K219" s="31">
        <v>43393</v>
      </c>
      <c r="L219" s="16">
        <v>4740.5</v>
      </c>
    </row>
    <row r="220" spans="11:12" x14ac:dyDescent="0.35">
      <c r="K220" s="31">
        <v>43394</v>
      </c>
      <c r="L220" s="16">
        <v>28040.080000000002</v>
      </c>
    </row>
    <row r="221" spans="11:12" x14ac:dyDescent="0.35">
      <c r="K221" s="31">
        <v>43395</v>
      </c>
      <c r="L221" s="16">
        <v>34199.1</v>
      </c>
    </row>
    <row r="222" spans="11:12" x14ac:dyDescent="0.35">
      <c r="K222" s="31">
        <v>43396</v>
      </c>
      <c r="L222" s="16">
        <v>46111.4</v>
      </c>
    </row>
    <row r="223" spans="11:12" x14ac:dyDescent="0.35">
      <c r="K223" s="31">
        <v>43400</v>
      </c>
      <c r="L223" s="16">
        <v>23398.2</v>
      </c>
    </row>
    <row r="224" spans="11:12" x14ac:dyDescent="0.35">
      <c r="K224" s="31">
        <v>43402</v>
      </c>
      <c r="L224" s="16">
        <v>1759.12</v>
      </c>
    </row>
    <row r="225" spans="11:12" x14ac:dyDescent="0.35">
      <c r="K225" s="31">
        <v>43403</v>
      </c>
      <c r="L225" s="16">
        <v>77223.5</v>
      </c>
    </row>
    <row r="226" spans="11:12" x14ac:dyDescent="0.35">
      <c r="K226" s="31">
        <v>43406</v>
      </c>
      <c r="L226" s="16">
        <v>119034.66</v>
      </c>
    </row>
    <row r="227" spans="11:12" x14ac:dyDescent="0.35">
      <c r="K227" s="31">
        <v>43407</v>
      </c>
      <c r="L227" s="16">
        <v>62252.1</v>
      </c>
    </row>
    <row r="228" spans="11:12" x14ac:dyDescent="0.35">
      <c r="K228" s="31">
        <v>43408</v>
      </c>
      <c r="L228" s="16">
        <v>160470.74</v>
      </c>
    </row>
    <row r="229" spans="11:12" x14ac:dyDescent="0.35">
      <c r="K229" s="31">
        <v>43409</v>
      </c>
      <c r="L229" s="16">
        <v>2759.08</v>
      </c>
    </row>
    <row r="230" spans="11:12" x14ac:dyDescent="0.35">
      <c r="K230" s="31">
        <v>43410</v>
      </c>
      <c r="L230" s="16">
        <v>77957.08</v>
      </c>
    </row>
    <row r="231" spans="11:12" x14ac:dyDescent="0.35">
      <c r="K231" s="31">
        <v>43411</v>
      </c>
      <c r="L231" s="16">
        <v>71868.05</v>
      </c>
    </row>
    <row r="232" spans="11:12" x14ac:dyDescent="0.35">
      <c r="K232" s="31">
        <v>43412</v>
      </c>
      <c r="L232" s="16">
        <v>1490</v>
      </c>
    </row>
    <row r="233" spans="11:12" x14ac:dyDescent="0.35">
      <c r="K233" s="31">
        <v>43413</v>
      </c>
      <c r="L233" s="16">
        <v>5690.5</v>
      </c>
    </row>
    <row r="234" spans="11:12" x14ac:dyDescent="0.35">
      <c r="K234" s="31">
        <v>43414</v>
      </c>
      <c r="L234" s="16">
        <v>85897.05</v>
      </c>
    </row>
    <row r="235" spans="11:12" x14ac:dyDescent="0.35">
      <c r="K235" s="31">
        <v>43415</v>
      </c>
      <c r="L235" s="16">
        <v>133095.04999999999</v>
      </c>
    </row>
    <row r="236" spans="11:12" x14ac:dyDescent="0.35">
      <c r="K236" s="31">
        <v>43416</v>
      </c>
      <c r="L236" s="16">
        <v>29749.15</v>
      </c>
    </row>
    <row r="237" spans="11:12" x14ac:dyDescent="0.35">
      <c r="K237" s="31">
        <v>43417</v>
      </c>
      <c r="L237" s="16">
        <v>68398.2</v>
      </c>
    </row>
    <row r="238" spans="11:12" x14ac:dyDescent="0.35">
      <c r="K238" s="31">
        <v>43418</v>
      </c>
      <c r="L238" s="16">
        <v>126416.26000000001</v>
      </c>
    </row>
    <row r="239" spans="11:12" x14ac:dyDescent="0.35">
      <c r="K239" s="31">
        <v>43419</v>
      </c>
      <c r="L239" s="16">
        <v>3591</v>
      </c>
    </row>
    <row r="240" spans="11:12" x14ac:dyDescent="0.35">
      <c r="K240" s="31">
        <v>43420</v>
      </c>
      <c r="L240" s="16">
        <v>3598.2</v>
      </c>
    </row>
    <row r="241" spans="11:12" x14ac:dyDescent="0.35">
      <c r="K241" s="31">
        <v>43421</v>
      </c>
      <c r="L241" s="16">
        <v>56523.73</v>
      </c>
    </row>
    <row r="242" spans="11:12" x14ac:dyDescent="0.35">
      <c r="K242" s="31">
        <v>43422</v>
      </c>
      <c r="L242" s="16">
        <v>108998</v>
      </c>
    </row>
    <row r="243" spans="11:12" x14ac:dyDescent="0.35">
      <c r="K243" s="31">
        <v>43424</v>
      </c>
      <c r="L243" s="16">
        <v>41314.550000000003</v>
      </c>
    </row>
    <row r="244" spans="11:12" x14ac:dyDescent="0.35">
      <c r="K244" s="31">
        <v>43425</v>
      </c>
      <c r="L244" s="16">
        <v>149668.6</v>
      </c>
    </row>
    <row r="245" spans="11:12" x14ac:dyDescent="0.35">
      <c r="K245" s="31">
        <v>43426</v>
      </c>
      <c r="L245" s="16">
        <v>34959.08</v>
      </c>
    </row>
    <row r="246" spans="11:12" x14ac:dyDescent="0.35">
      <c r="K246" s="31">
        <v>43427</v>
      </c>
      <c r="L246" s="16">
        <v>5990</v>
      </c>
    </row>
    <row r="247" spans="11:12" x14ac:dyDescent="0.35">
      <c r="K247" s="31">
        <v>43428</v>
      </c>
      <c r="L247" s="16">
        <v>11959.08</v>
      </c>
    </row>
    <row r="248" spans="11:12" x14ac:dyDescent="0.35">
      <c r="K248" s="31">
        <v>43429</v>
      </c>
      <c r="L248" s="16">
        <v>51669.08</v>
      </c>
    </row>
    <row r="249" spans="11:12" x14ac:dyDescent="0.35">
      <c r="K249" s="31">
        <v>43430</v>
      </c>
      <c r="L249" s="16">
        <v>65748.05</v>
      </c>
    </row>
    <row r="250" spans="11:12" x14ac:dyDescent="0.35">
      <c r="K250" s="31">
        <v>43431</v>
      </c>
      <c r="L250" s="16">
        <v>121597.15000000001</v>
      </c>
    </row>
    <row r="251" spans="11:12" x14ac:dyDescent="0.35">
      <c r="K251" s="31">
        <v>43433</v>
      </c>
      <c r="L251" s="16">
        <v>219176.12</v>
      </c>
    </row>
    <row r="252" spans="11:12" x14ac:dyDescent="0.35">
      <c r="K252" s="31">
        <v>43434</v>
      </c>
      <c r="L252" s="16">
        <v>21849.05</v>
      </c>
    </row>
    <row r="253" spans="11:12" x14ac:dyDescent="0.35">
      <c r="K253" s="31">
        <v>43436</v>
      </c>
      <c r="L253" s="16">
        <v>98246.35</v>
      </c>
    </row>
    <row r="254" spans="11:12" x14ac:dyDescent="0.35">
      <c r="K254" s="31">
        <v>43437</v>
      </c>
      <c r="L254" s="16">
        <v>36099.050000000003</v>
      </c>
    </row>
    <row r="255" spans="11:12" x14ac:dyDescent="0.35">
      <c r="K255" s="31">
        <v>43438</v>
      </c>
      <c r="L255" s="16">
        <v>69238.600000000006</v>
      </c>
    </row>
    <row r="256" spans="11:12" x14ac:dyDescent="0.35">
      <c r="K256" s="31">
        <v>43439</v>
      </c>
      <c r="L256" s="16">
        <v>286892.5</v>
      </c>
    </row>
    <row r="257" spans="11:12" x14ac:dyDescent="0.35">
      <c r="K257" s="31">
        <v>43440</v>
      </c>
      <c r="L257" s="16">
        <v>34959.08</v>
      </c>
    </row>
    <row r="258" spans="11:12" x14ac:dyDescent="0.35">
      <c r="K258" s="31">
        <v>43442</v>
      </c>
      <c r="L258" s="16">
        <v>4590.8</v>
      </c>
    </row>
    <row r="259" spans="11:12" x14ac:dyDescent="0.35">
      <c r="K259" s="31">
        <v>43443</v>
      </c>
      <c r="L259" s="16">
        <v>242995.5</v>
      </c>
    </row>
    <row r="260" spans="11:12" x14ac:dyDescent="0.35">
      <c r="K260" s="31">
        <v>43444</v>
      </c>
      <c r="L260" s="16">
        <v>4740.5</v>
      </c>
    </row>
    <row r="261" spans="11:12" x14ac:dyDescent="0.35">
      <c r="K261" s="31">
        <v>43445</v>
      </c>
      <c r="L261" s="16">
        <v>148497.29999999999</v>
      </c>
    </row>
    <row r="262" spans="11:12" x14ac:dyDescent="0.35">
      <c r="K262" s="31">
        <v>43447</v>
      </c>
      <c r="L262" s="16">
        <v>119520.24</v>
      </c>
    </row>
    <row r="263" spans="11:12" x14ac:dyDescent="0.35">
      <c r="K263" s="31">
        <v>43448</v>
      </c>
      <c r="L263" s="16">
        <v>46549.05</v>
      </c>
    </row>
    <row r="264" spans="11:12" x14ac:dyDescent="0.35">
      <c r="K264" s="31">
        <v>43449</v>
      </c>
      <c r="L264" s="16">
        <v>31349.05</v>
      </c>
    </row>
    <row r="265" spans="11:12" x14ac:dyDescent="0.35">
      <c r="K265" s="31">
        <v>43450</v>
      </c>
      <c r="L265" s="16">
        <v>72458.13</v>
      </c>
    </row>
    <row r="266" spans="11:12" x14ac:dyDescent="0.35">
      <c r="K266" s="31">
        <v>43453</v>
      </c>
      <c r="L266" s="16">
        <v>31349.05</v>
      </c>
    </row>
    <row r="267" spans="11:12" x14ac:dyDescent="0.35">
      <c r="K267" s="31">
        <v>43455</v>
      </c>
      <c r="L267" s="16">
        <v>8547.15</v>
      </c>
    </row>
    <row r="268" spans="11:12" x14ac:dyDescent="0.35">
      <c r="K268" s="31">
        <v>43456</v>
      </c>
      <c r="L268" s="16">
        <v>3483</v>
      </c>
    </row>
    <row r="269" spans="11:12" x14ac:dyDescent="0.35">
      <c r="K269" s="31">
        <v>43457</v>
      </c>
      <c r="L269" s="16">
        <v>7581</v>
      </c>
    </row>
    <row r="270" spans="11:12" x14ac:dyDescent="0.35">
      <c r="K270" s="31">
        <v>43458</v>
      </c>
      <c r="L270" s="16">
        <v>3990</v>
      </c>
    </row>
    <row r="271" spans="11:12" x14ac:dyDescent="0.35">
      <c r="K271" s="31">
        <v>43459</v>
      </c>
      <c r="L271" s="16">
        <v>4740.5</v>
      </c>
    </row>
    <row r="272" spans="11:12" x14ac:dyDescent="0.35">
      <c r="K272" s="31">
        <v>43460</v>
      </c>
      <c r="L272" s="16">
        <v>53090.05</v>
      </c>
    </row>
    <row r="273" spans="11:12" x14ac:dyDescent="0.35">
      <c r="K273" s="31">
        <v>43461</v>
      </c>
      <c r="L273" s="16">
        <v>2999</v>
      </c>
    </row>
    <row r="274" spans="11:12" x14ac:dyDescent="0.35">
      <c r="K274" s="31">
        <v>43462</v>
      </c>
      <c r="L274" s="16">
        <v>58945.38</v>
      </c>
    </row>
    <row r="275" spans="11:12" x14ac:dyDescent="0.35">
      <c r="K275" s="31">
        <v>43463</v>
      </c>
      <c r="L275" s="16">
        <v>141050.29999999999</v>
      </c>
    </row>
    <row r="276" spans="11:12" x14ac:dyDescent="0.35">
      <c r="K276" s="31">
        <v>43464</v>
      </c>
      <c r="L276" s="16">
        <v>1890.5</v>
      </c>
    </row>
    <row r="277" spans="11:12" x14ac:dyDescent="0.35">
      <c r="K277" s="31">
        <v>43465</v>
      </c>
      <c r="L277" s="16">
        <v>2849.05</v>
      </c>
    </row>
    <row r="278" spans="11:12" x14ac:dyDescent="0.35">
      <c r="K278" s="31">
        <v>43467</v>
      </c>
      <c r="L278" s="16">
        <v>45560.08</v>
      </c>
    </row>
    <row r="279" spans="11:12" x14ac:dyDescent="0.35">
      <c r="K279" s="31">
        <v>43469</v>
      </c>
      <c r="L279" s="16">
        <v>21849.05</v>
      </c>
    </row>
    <row r="280" spans="11:12" x14ac:dyDescent="0.35">
      <c r="K280" s="31">
        <v>43471</v>
      </c>
      <c r="L280" s="16">
        <v>41658.170000000006</v>
      </c>
    </row>
    <row r="281" spans="11:12" x14ac:dyDescent="0.35">
      <c r="K281" s="31">
        <v>43472</v>
      </c>
      <c r="L281" s="16">
        <v>25090.05</v>
      </c>
    </row>
    <row r="282" spans="11:12" x14ac:dyDescent="0.35">
      <c r="K282" s="31">
        <v>43473</v>
      </c>
      <c r="L282" s="16">
        <v>11959.08</v>
      </c>
    </row>
    <row r="283" spans="11:12" x14ac:dyDescent="0.35">
      <c r="K283" s="31">
        <v>43474</v>
      </c>
      <c r="L283" s="16">
        <v>132810</v>
      </c>
    </row>
    <row r="284" spans="11:12" x14ac:dyDescent="0.35">
      <c r="K284" s="31">
        <v>43476</v>
      </c>
      <c r="L284" s="16">
        <v>37411.599999999999</v>
      </c>
    </row>
    <row r="285" spans="11:12" x14ac:dyDescent="0.35">
      <c r="K285" s="31">
        <v>43477</v>
      </c>
      <c r="L285" s="16">
        <v>1415.5</v>
      </c>
    </row>
    <row r="286" spans="11:12" x14ac:dyDescent="0.35">
      <c r="K286" s="31">
        <v>43479</v>
      </c>
      <c r="L286" s="16">
        <v>2639.12</v>
      </c>
    </row>
    <row r="287" spans="11:12" x14ac:dyDescent="0.35">
      <c r="K287" s="31">
        <v>43480</v>
      </c>
      <c r="L287" s="16">
        <v>37999</v>
      </c>
    </row>
    <row r="288" spans="11:12" x14ac:dyDescent="0.35">
      <c r="K288" s="31">
        <v>43481</v>
      </c>
      <c r="L288" s="16">
        <v>130797.23</v>
      </c>
    </row>
    <row r="289" spans="11:12" x14ac:dyDescent="0.35">
      <c r="K289" s="31">
        <v>43483</v>
      </c>
      <c r="L289" s="16">
        <v>43698.1</v>
      </c>
    </row>
    <row r="290" spans="11:12" x14ac:dyDescent="0.35">
      <c r="K290" s="31">
        <v>43486</v>
      </c>
      <c r="L290" s="16">
        <v>2999</v>
      </c>
    </row>
    <row r="291" spans="11:12" x14ac:dyDescent="0.35">
      <c r="K291" s="31">
        <v>43487</v>
      </c>
      <c r="L291" s="16">
        <v>193799</v>
      </c>
    </row>
    <row r="292" spans="11:12" x14ac:dyDescent="0.35">
      <c r="K292" s="31">
        <v>43488</v>
      </c>
      <c r="L292" s="16">
        <v>222995</v>
      </c>
    </row>
    <row r="293" spans="11:12" x14ac:dyDescent="0.35">
      <c r="K293" s="31">
        <v>43489</v>
      </c>
      <c r="L293" s="16">
        <v>11959.08</v>
      </c>
    </row>
    <row r="294" spans="11:12" x14ac:dyDescent="0.35">
      <c r="K294" s="31">
        <v>43490</v>
      </c>
      <c r="L294" s="16">
        <v>29749.15</v>
      </c>
    </row>
    <row r="295" spans="11:12" x14ac:dyDescent="0.35">
      <c r="K295" s="31">
        <v>43491</v>
      </c>
      <c r="L295" s="16">
        <v>37514.550000000003</v>
      </c>
    </row>
    <row r="296" spans="11:12" x14ac:dyDescent="0.35">
      <c r="K296" s="31">
        <v>43493</v>
      </c>
      <c r="L296" s="16">
        <v>76198.100000000006</v>
      </c>
    </row>
    <row r="297" spans="11:12" x14ac:dyDescent="0.35">
      <c r="K297" s="31">
        <v>43495</v>
      </c>
      <c r="L297" s="16">
        <v>51299.05</v>
      </c>
    </row>
    <row r="298" spans="11:12" x14ac:dyDescent="0.35">
      <c r="K298" s="31">
        <v>43496</v>
      </c>
      <c r="L298" s="16">
        <v>98997</v>
      </c>
    </row>
    <row r="299" spans="11:12" x14ac:dyDescent="0.35">
      <c r="K299" s="31">
        <v>43497</v>
      </c>
      <c r="L299" s="16">
        <v>133659.68</v>
      </c>
    </row>
    <row r="300" spans="11:12" x14ac:dyDescent="0.35">
      <c r="K300" s="31">
        <v>43498</v>
      </c>
      <c r="L300" s="16">
        <v>61739.55</v>
      </c>
    </row>
    <row r="301" spans="11:12" x14ac:dyDescent="0.35">
      <c r="K301" s="31">
        <v>43499</v>
      </c>
      <c r="L301" s="16">
        <v>54999</v>
      </c>
    </row>
    <row r="302" spans="11:12" x14ac:dyDescent="0.35">
      <c r="K302" s="31">
        <v>43501</v>
      </c>
      <c r="L302" s="16">
        <v>218071.58</v>
      </c>
    </row>
    <row r="303" spans="11:12" x14ac:dyDescent="0.35">
      <c r="K303" s="31">
        <v>43502</v>
      </c>
      <c r="L303" s="16">
        <v>93377.18</v>
      </c>
    </row>
    <row r="304" spans="11:12" x14ac:dyDescent="0.35">
      <c r="K304" s="31">
        <v>43503</v>
      </c>
      <c r="L304" s="16">
        <v>97198.2</v>
      </c>
    </row>
    <row r="305" spans="11:12" x14ac:dyDescent="0.35">
      <c r="K305" s="31">
        <v>43504</v>
      </c>
      <c r="L305" s="16">
        <v>57847.130000000005</v>
      </c>
    </row>
    <row r="306" spans="11:12" x14ac:dyDescent="0.35">
      <c r="K306" s="31">
        <v>43505</v>
      </c>
      <c r="L306" s="16">
        <v>165116.41</v>
      </c>
    </row>
    <row r="307" spans="11:12" x14ac:dyDescent="0.35">
      <c r="K307" s="31">
        <v>43507</v>
      </c>
      <c r="L307" s="16">
        <v>5797.1</v>
      </c>
    </row>
    <row r="308" spans="11:12" x14ac:dyDescent="0.35">
      <c r="K308" s="31">
        <v>43508</v>
      </c>
      <c r="L308" s="16">
        <v>54999</v>
      </c>
    </row>
    <row r="309" spans="11:12" x14ac:dyDescent="0.35">
      <c r="K309" s="31">
        <v>43509</v>
      </c>
      <c r="L309" s="16">
        <v>37999</v>
      </c>
    </row>
    <row r="310" spans="11:12" x14ac:dyDescent="0.35">
      <c r="K310" s="31">
        <v>43510</v>
      </c>
      <c r="L310" s="16">
        <v>188915.16</v>
      </c>
    </row>
    <row r="311" spans="11:12" x14ac:dyDescent="0.35">
      <c r="K311" s="31">
        <v>43512</v>
      </c>
      <c r="L311" s="16">
        <v>50599.08</v>
      </c>
    </row>
    <row r="312" spans="11:12" x14ac:dyDescent="0.35">
      <c r="K312" s="31">
        <v>43513</v>
      </c>
      <c r="L312" s="16">
        <v>103968.1</v>
      </c>
    </row>
    <row r="313" spans="11:12" x14ac:dyDescent="0.35">
      <c r="K313" s="31">
        <v>43516</v>
      </c>
      <c r="L313" s="16">
        <v>16720.5</v>
      </c>
    </row>
    <row r="314" spans="11:12" x14ac:dyDescent="0.35">
      <c r="K314" s="31">
        <v>43517</v>
      </c>
      <c r="L314" s="16">
        <v>39899.050000000003</v>
      </c>
    </row>
    <row r="315" spans="11:12" x14ac:dyDescent="0.35">
      <c r="K315" s="31">
        <v>43518</v>
      </c>
      <c r="L315" s="16">
        <v>11959.08</v>
      </c>
    </row>
    <row r="316" spans="11:12" x14ac:dyDescent="0.35">
      <c r="K316" s="31">
        <v>43523</v>
      </c>
      <c r="L316" s="16">
        <v>72198.100000000006</v>
      </c>
    </row>
    <row r="317" spans="11:12" x14ac:dyDescent="0.35">
      <c r="K317" s="31">
        <v>43524</v>
      </c>
      <c r="L317" s="16">
        <v>79798.100000000006</v>
      </c>
    </row>
    <row r="318" spans="11:12" x14ac:dyDescent="0.35">
      <c r="K318" s="31">
        <v>43526</v>
      </c>
      <c r="L318" s="16">
        <v>3790.5</v>
      </c>
    </row>
    <row r="319" spans="11:12" x14ac:dyDescent="0.35">
      <c r="K319" s="31">
        <v>43527</v>
      </c>
      <c r="L319" s="16">
        <v>41398.199999999997</v>
      </c>
    </row>
    <row r="320" spans="11:12" x14ac:dyDescent="0.35">
      <c r="K320" s="31">
        <v>43528</v>
      </c>
      <c r="L320" s="16">
        <v>4740.5</v>
      </c>
    </row>
    <row r="321" spans="11:12" x14ac:dyDescent="0.35">
      <c r="K321" s="31">
        <v>43529</v>
      </c>
      <c r="L321" s="16">
        <v>268395.12</v>
      </c>
    </row>
    <row r="322" spans="11:12" x14ac:dyDescent="0.35">
      <c r="K322" s="31">
        <v>43530</v>
      </c>
      <c r="L322" s="16">
        <v>74098.100000000006</v>
      </c>
    </row>
    <row r="323" spans="11:12" x14ac:dyDescent="0.35">
      <c r="K323" s="31">
        <v>43533</v>
      </c>
      <c r="L323" s="16">
        <v>36099.050000000003</v>
      </c>
    </row>
    <row r="324" spans="11:12" x14ac:dyDescent="0.35">
      <c r="K324" s="31">
        <v>43534</v>
      </c>
      <c r="L324" s="16">
        <v>74789.149999999994</v>
      </c>
    </row>
    <row r="325" spans="11:12" x14ac:dyDescent="0.35">
      <c r="K325" s="31">
        <v>43535</v>
      </c>
      <c r="L325" s="16">
        <v>5690.5</v>
      </c>
    </row>
    <row r="326" spans="11:12" x14ac:dyDescent="0.35">
      <c r="K326" s="31">
        <v>43537</v>
      </c>
      <c r="L326" s="16">
        <v>68698.05</v>
      </c>
    </row>
    <row r="327" spans="11:12" x14ac:dyDescent="0.35">
      <c r="K327" s="31">
        <v>43538</v>
      </c>
      <c r="L327" s="16">
        <v>87610.53</v>
      </c>
    </row>
    <row r="328" spans="11:12" x14ac:dyDescent="0.35">
      <c r="K328" s="31">
        <v>43539</v>
      </c>
      <c r="L328" s="16">
        <v>69916.2</v>
      </c>
    </row>
    <row r="329" spans="11:12" x14ac:dyDescent="0.35">
      <c r="K329" s="31">
        <v>43540</v>
      </c>
      <c r="L329" s="16">
        <v>1135.2</v>
      </c>
    </row>
    <row r="330" spans="11:12" x14ac:dyDescent="0.35">
      <c r="K330" s="31">
        <v>43541</v>
      </c>
      <c r="L330" s="16">
        <v>11710.88</v>
      </c>
    </row>
    <row r="331" spans="11:12" x14ac:dyDescent="0.35">
      <c r="K331" s="31">
        <v>43542</v>
      </c>
      <c r="L331" s="16">
        <v>198246.05</v>
      </c>
    </row>
    <row r="332" spans="11:12" x14ac:dyDescent="0.35">
      <c r="K332" s="31">
        <v>43543</v>
      </c>
      <c r="L332" s="16">
        <v>2831</v>
      </c>
    </row>
    <row r="333" spans="11:12" x14ac:dyDescent="0.35">
      <c r="K333" s="31">
        <v>43545</v>
      </c>
      <c r="L333" s="16">
        <v>69664.7</v>
      </c>
    </row>
    <row r="334" spans="11:12" x14ac:dyDescent="0.35">
      <c r="K334" s="31">
        <v>43546</v>
      </c>
      <c r="L334" s="16">
        <v>47215.1</v>
      </c>
    </row>
    <row r="335" spans="11:12" x14ac:dyDescent="0.35">
      <c r="K335" s="31">
        <v>43547</v>
      </c>
      <c r="L335" s="16">
        <v>48999</v>
      </c>
    </row>
    <row r="336" spans="11:12" x14ac:dyDescent="0.35">
      <c r="K336" s="31">
        <v>43549</v>
      </c>
      <c r="L336" s="16">
        <v>69147.16</v>
      </c>
    </row>
    <row r="337" spans="11:12" x14ac:dyDescent="0.35">
      <c r="K337" s="31">
        <v>43550</v>
      </c>
      <c r="L337" s="16">
        <v>46079.05</v>
      </c>
    </row>
    <row r="338" spans="11:12" x14ac:dyDescent="0.35">
      <c r="K338" s="31">
        <v>43553</v>
      </c>
      <c r="L338" s="16">
        <v>34959.08</v>
      </c>
    </row>
    <row r="339" spans="11:12" x14ac:dyDescent="0.35">
      <c r="K339" s="31">
        <v>43554</v>
      </c>
      <c r="L339" s="16">
        <v>48999</v>
      </c>
    </row>
    <row r="340" spans="11:12" x14ac:dyDescent="0.35">
      <c r="K340" s="31">
        <v>43555</v>
      </c>
      <c r="L340" s="16">
        <v>42561.15</v>
      </c>
    </row>
    <row r="341" spans="11:12" x14ac:dyDescent="0.35">
      <c r="K341" s="31">
        <v>43556</v>
      </c>
      <c r="L341" s="16">
        <v>115934.16</v>
      </c>
    </row>
    <row r="342" spans="11:12" x14ac:dyDescent="0.35">
      <c r="K342" s="31">
        <v>43557</v>
      </c>
      <c r="L342" s="16">
        <v>36732.1</v>
      </c>
    </row>
    <row r="343" spans="11:12" x14ac:dyDescent="0.35">
      <c r="K343" s="31">
        <v>43558</v>
      </c>
      <c r="L343" s="16">
        <v>60718.16</v>
      </c>
    </row>
    <row r="344" spans="11:12" x14ac:dyDescent="0.35">
      <c r="K344" s="31">
        <v>43559</v>
      </c>
      <c r="L344" s="16">
        <v>1890.5</v>
      </c>
    </row>
    <row r="345" spans="11:12" x14ac:dyDescent="0.35">
      <c r="K345" s="31">
        <v>43560</v>
      </c>
      <c r="L345" s="16">
        <v>176695.1</v>
      </c>
    </row>
    <row r="346" spans="11:12" x14ac:dyDescent="0.35">
      <c r="K346" s="31">
        <v>43563</v>
      </c>
      <c r="L346" s="16">
        <v>1225.5</v>
      </c>
    </row>
    <row r="347" spans="11:12" x14ac:dyDescent="0.35">
      <c r="K347" s="31">
        <v>43564</v>
      </c>
      <c r="L347" s="16">
        <v>64308</v>
      </c>
    </row>
    <row r="348" spans="11:12" x14ac:dyDescent="0.35">
      <c r="K348" s="31">
        <v>43565</v>
      </c>
      <c r="L348" s="16">
        <v>180343.55</v>
      </c>
    </row>
    <row r="349" spans="11:12" x14ac:dyDescent="0.35">
      <c r="K349" s="31">
        <v>43566</v>
      </c>
      <c r="L349" s="16">
        <v>136824.47</v>
      </c>
    </row>
    <row r="350" spans="11:12" x14ac:dyDescent="0.35">
      <c r="K350" s="31">
        <v>43567</v>
      </c>
      <c r="L350" s="16">
        <v>3661.6</v>
      </c>
    </row>
    <row r="351" spans="11:12" x14ac:dyDescent="0.35">
      <c r="K351" s="31">
        <v>43568</v>
      </c>
      <c r="L351" s="16">
        <v>30359.08</v>
      </c>
    </row>
    <row r="352" spans="11:12" x14ac:dyDescent="0.35">
      <c r="K352" s="31">
        <v>43570</v>
      </c>
      <c r="L352" s="16">
        <v>23264.55</v>
      </c>
    </row>
    <row r="353" spans="11:12" x14ac:dyDescent="0.35">
      <c r="K353" s="31">
        <v>43571</v>
      </c>
      <c r="L353" s="16">
        <v>74858.13</v>
      </c>
    </row>
    <row r="354" spans="11:12" x14ac:dyDescent="0.35">
      <c r="K354" s="31">
        <v>43572</v>
      </c>
      <c r="L354" s="16">
        <v>29525.7</v>
      </c>
    </row>
    <row r="355" spans="11:12" x14ac:dyDescent="0.35">
      <c r="K355" s="31">
        <v>43573</v>
      </c>
      <c r="L355" s="16">
        <v>72798.100000000006</v>
      </c>
    </row>
    <row r="356" spans="11:12" x14ac:dyDescent="0.35">
      <c r="K356" s="31">
        <v>43574</v>
      </c>
      <c r="L356" s="16">
        <v>2849.05</v>
      </c>
    </row>
    <row r="357" spans="11:12" x14ac:dyDescent="0.35">
      <c r="K357" s="31">
        <v>43576</v>
      </c>
      <c r="L357" s="16">
        <v>71248.05</v>
      </c>
    </row>
    <row r="358" spans="11:12" x14ac:dyDescent="0.35">
      <c r="K358" s="31">
        <v>43577</v>
      </c>
      <c r="L358" s="16">
        <v>44099.1</v>
      </c>
    </row>
    <row r="359" spans="11:12" x14ac:dyDescent="0.35">
      <c r="K359" s="31">
        <v>43578</v>
      </c>
      <c r="L359" s="16">
        <v>159677.08000000002</v>
      </c>
    </row>
    <row r="360" spans="11:12" x14ac:dyDescent="0.35">
      <c r="K360" s="31">
        <v>43579</v>
      </c>
      <c r="L360" s="16">
        <v>35348.050000000003</v>
      </c>
    </row>
    <row r="361" spans="11:12" x14ac:dyDescent="0.35">
      <c r="K361" s="31">
        <v>43580</v>
      </c>
      <c r="L361" s="16">
        <v>120777</v>
      </c>
    </row>
    <row r="362" spans="11:12" x14ac:dyDescent="0.35">
      <c r="K362" s="31">
        <v>43581</v>
      </c>
      <c r="L362" s="16">
        <v>22499.1</v>
      </c>
    </row>
    <row r="363" spans="11:12" x14ac:dyDescent="0.35">
      <c r="K363" s="31">
        <v>43582</v>
      </c>
      <c r="L363" s="16">
        <v>16139.55</v>
      </c>
    </row>
    <row r="364" spans="11:12" x14ac:dyDescent="0.35">
      <c r="K364" s="31">
        <v>43583</v>
      </c>
      <c r="L364" s="16">
        <v>103635.35</v>
      </c>
    </row>
    <row r="365" spans="11:12" x14ac:dyDescent="0.35">
      <c r="K365" s="31">
        <v>43584</v>
      </c>
      <c r="L365" s="16">
        <v>194793.5</v>
      </c>
    </row>
    <row r="366" spans="11:12" x14ac:dyDescent="0.35">
      <c r="K366" s="31">
        <v>43585</v>
      </c>
      <c r="L366" s="16">
        <v>18999.05</v>
      </c>
    </row>
    <row r="367" spans="11:12" x14ac:dyDescent="0.35">
      <c r="K367" s="31">
        <v>43588</v>
      </c>
      <c r="L367" s="16">
        <v>113397.3</v>
      </c>
    </row>
    <row r="368" spans="11:12" x14ac:dyDescent="0.35">
      <c r="K368" s="31">
        <v>43589</v>
      </c>
      <c r="L368" s="16">
        <v>72076.5</v>
      </c>
    </row>
    <row r="369" spans="11:12" x14ac:dyDescent="0.35">
      <c r="K369" s="31">
        <v>43590</v>
      </c>
      <c r="L369" s="16">
        <v>89651</v>
      </c>
    </row>
    <row r="370" spans="11:12" x14ac:dyDescent="0.35">
      <c r="K370" s="31">
        <v>43591</v>
      </c>
      <c r="L370" s="16">
        <v>9181.6</v>
      </c>
    </row>
    <row r="371" spans="11:12" x14ac:dyDescent="0.35">
      <c r="K371" s="31">
        <v>43592</v>
      </c>
      <c r="L371" s="16">
        <v>99768.170000000013</v>
      </c>
    </row>
    <row r="372" spans="11:12" x14ac:dyDescent="0.35">
      <c r="K372" s="31">
        <v>43593</v>
      </c>
      <c r="L372" s="16">
        <v>191893.7</v>
      </c>
    </row>
    <row r="373" spans="11:12" x14ac:dyDescent="0.35">
      <c r="K373" s="31">
        <v>43594</v>
      </c>
      <c r="L373" s="16">
        <v>142736.04999999999</v>
      </c>
    </row>
    <row r="374" spans="11:12" x14ac:dyDescent="0.35">
      <c r="K374" s="31">
        <v>43595</v>
      </c>
      <c r="L374" s="16">
        <v>3980</v>
      </c>
    </row>
    <row r="375" spans="11:12" x14ac:dyDescent="0.35">
      <c r="K375" s="31">
        <v>43596</v>
      </c>
      <c r="L375" s="16">
        <v>345861.79</v>
      </c>
    </row>
    <row r="376" spans="11:12" x14ac:dyDescent="0.35">
      <c r="K376" s="31">
        <v>43597</v>
      </c>
      <c r="L376" s="16">
        <v>13069.9</v>
      </c>
    </row>
    <row r="377" spans="11:12" x14ac:dyDescent="0.35">
      <c r="K377" s="31">
        <v>43598</v>
      </c>
      <c r="L377" s="16">
        <v>172546.15</v>
      </c>
    </row>
    <row r="378" spans="11:12" x14ac:dyDescent="0.35">
      <c r="K378" s="31">
        <v>43599</v>
      </c>
      <c r="L378" s="16">
        <v>12745.75</v>
      </c>
    </row>
    <row r="379" spans="11:12" x14ac:dyDescent="0.35">
      <c r="K379" s="31">
        <v>43600</v>
      </c>
      <c r="L379" s="16">
        <v>10542.4</v>
      </c>
    </row>
    <row r="380" spans="11:12" x14ac:dyDescent="0.35">
      <c r="K380" s="31">
        <v>43602</v>
      </c>
      <c r="L380" s="16">
        <v>36099.050000000003</v>
      </c>
    </row>
    <row r="381" spans="11:12" x14ac:dyDescent="0.35">
      <c r="K381" s="31">
        <v>43603</v>
      </c>
      <c r="L381" s="16">
        <v>52249.05</v>
      </c>
    </row>
    <row r="382" spans="11:12" x14ac:dyDescent="0.35">
      <c r="K382" s="31">
        <v>43604</v>
      </c>
      <c r="L382" s="16">
        <v>10773</v>
      </c>
    </row>
    <row r="383" spans="11:12" x14ac:dyDescent="0.35">
      <c r="K383" s="31">
        <v>43605</v>
      </c>
      <c r="L383" s="16">
        <v>45998.16</v>
      </c>
    </row>
    <row r="384" spans="11:12" x14ac:dyDescent="0.35">
      <c r="K384" s="31">
        <v>43606</v>
      </c>
      <c r="L384" s="16">
        <v>41999</v>
      </c>
    </row>
    <row r="385" spans="11:12" x14ac:dyDescent="0.35">
      <c r="K385" s="31">
        <v>43608</v>
      </c>
      <c r="L385" s="16">
        <v>3670.8</v>
      </c>
    </row>
    <row r="386" spans="11:12" x14ac:dyDescent="0.35">
      <c r="K386" s="31">
        <v>43609</v>
      </c>
      <c r="L386" s="16">
        <v>152975.28000000003</v>
      </c>
    </row>
    <row r="387" spans="11:12" x14ac:dyDescent="0.35">
      <c r="K387" s="31">
        <v>43610</v>
      </c>
      <c r="L387" s="16">
        <v>44030.080000000002</v>
      </c>
    </row>
    <row r="388" spans="11:12" x14ac:dyDescent="0.35">
      <c r="K388" s="31">
        <v>43611</v>
      </c>
      <c r="L388" s="16">
        <v>15550.08</v>
      </c>
    </row>
    <row r="389" spans="11:12" x14ac:dyDescent="0.35">
      <c r="K389" s="31">
        <v>43612</v>
      </c>
      <c r="L389" s="16">
        <v>42789.1</v>
      </c>
    </row>
    <row r="390" spans="11:12" x14ac:dyDescent="0.35">
      <c r="K390" s="31">
        <v>43613</v>
      </c>
      <c r="L390" s="16">
        <v>31349.05</v>
      </c>
    </row>
    <row r="391" spans="11:12" x14ac:dyDescent="0.35">
      <c r="K391" s="31">
        <v>43614</v>
      </c>
      <c r="L391" s="16">
        <v>217966.06</v>
      </c>
    </row>
    <row r="392" spans="11:12" x14ac:dyDescent="0.35">
      <c r="K392" s="31">
        <v>43616</v>
      </c>
      <c r="L392" s="16">
        <v>180089.2</v>
      </c>
    </row>
    <row r="393" spans="11:12" x14ac:dyDescent="0.35">
      <c r="K393" s="31">
        <v>43618</v>
      </c>
      <c r="L393" s="16">
        <v>51620.55</v>
      </c>
    </row>
    <row r="394" spans="11:12" x14ac:dyDescent="0.35">
      <c r="K394" s="31">
        <v>43619</v>
      </c>
      <c r="L394" s="16">
        <v>34689.1</v>
      </c>
    </row>
    <row r="395" spans="11:12" x14ac:dyDescent="0.35">
      <c r="K395" s="31">
        <v>43620</v>
      </c>
      <c r="L395" s="16">
        <v>10852.8</v>
      </c>
    </row>
    <row r="396" spans="11:12" x14ac:dyDescent="0.35">
      <c r="K396" s="31">
        <v>43621</v>
      </c>
      <c r="L396" s="16">
        <v>39998</v>
      </c>
    </row>
    <row r="397" spans="11:12" x14ac:dyDescent="0.35">
      <c r="K397" s="31">
        <v>43622</v>
      </c>
      <c r="L397" s="16">
        <v>222369.6</v>
      </c>
    </row>
    <row r="398" spans="11:12" x14ac:dyDescent="0.35">
      <c r="K398" s="31">
        <v>43623</v>
      </c>
      <c r="L398" s="16">
        <v>44099.1</v>
      </c>
    </row>
    <row r="399" spans="11:12" x14ac:dyDescent="0.35">
      <c r="K399" s="31">
        <v>43624</v>
      </c>
      <c r="L399" s="16">
        <v>1415.5</v>
      </c>
    </row>
    <row r="400" spans="11:12" x14ac:dyDescent="0.35">
      <c r="K400" s="31">
        <v>43625</v>
      </c>
      <c r="L400" s="16">
        <v>39899.050000000003</v>
      </c>
    </row>
    <row r="401" spans="11:12" x14ac:dyDescent="0.35">
      <c r="K401" s="31">
        <v>43627</v>
      </c>
      <c r="L401" s="16">
        <v>133756.48000000001</v>
      </c>
    </row>
    <row r="402" spans="11:12" x14ac:dyDescent="0.35">
      <c r="K402" s="31">
        <v>43628</v>
      </c>
      <c r="L402" s="16">
        <v>63347.199999999997</v>
      </c>
    </row>
    <row r="403" spans="11:12" x14ac:dyDescent="0.35">
      <c r="K403" s="31">
        <v>43629</v>
      </c>
      <c r="L403" s="16">
        <v>33249.050000000003</v>
      </c>
    </row>
    <row r="404" spans="11:12" x14ac:dyDescent="0.35">
      <c r="K404" s="31">
        <v>43630</v>
      </c>
      <c r="L404" s="16">
        <v>69918.16</v>
      </c>
    </row>
    <row r="405" spans="11:12" x14ac:dyDescent="0.35">
      <c r="K405" s="31">
        <v>43631</v>
      </c>
      <c r="L405" s="16">
        <v>39790</v>
      </c>
    </row>
    <row r="406" spans="11:12" x14ac:dyDescent="0.35">
      <c r="K406" s="31">
        <v>43633</v>
      </c>
      <c r="L406" s="16">
        <v>22043.200000000001</v>
      </c>
    </row>
    <row r="407" spans="11:12" x14ac:dyDescent="0.35">
      <c r="K407" s="31">
        <v>43634</v>
      </c>
      <c r="L407" s="16">
        <v>1890.5</v>
      </c>
    </row>
    <row r="408" spans="11:12" x14ac:dyDescent="0.35">
      <c r="K408" s="31">
        <v>43635</v>
      </c>
      <c r="L408" s="16">
        <v>210474.58000000002</v>
      </c>
    </row>
    <row r="409" spans="11:12" x14ac:dyDescent="0.35">
      <c r="K409" s="31">
        <v>43636</v>
      </c>
      <c r="L409" s="16">
        <v>28568.1</v>
      </c>
    </row>
    <row r="410" spans="11:12" x14ac:dyDescent="0.35">
      <c r="K410" s="31">
        <v>43638</v>
      </c>
      <c r="L410" s="16">
        <v>2999</v>
      </c>
    </row>
    <row r="411" spans="11:12" x14ac:dyDescent="0.35">
      <c r="K411" s="31">
        <v>43642</v>
      </c>
      <c r="L411" s="16">
        <v>9950</v>
      </c>
    </row>
    <row r="412" spans="11:12" x14ac:dyDescent="0.35">
      <c r="K412" s="31">
        <v>43643</v>
      </c>
      <c r="L412" s="16">
        <v>23749.05</v>
      </c>
    </row>
    <row r="413" spans="11:12" x14ac:dyDescent="0.35">
      <c r="K413" s="31">
        <v>43646</v>
      </c>
      <c r="L413" s="16">
        <v>1830.8</v>
      </c>
    </row>
    <row r="414" spans="11:12" x14ac:dyDescent="0.35">
      <c r="K414" s="31">
        <v>43647</v>
      </c>
      <c r="L414" s="16">
        <v>51299.05</v>
      </c>
    </row>
    <row r="415" spans="11:12" x14ac:dyDescent="0.35">
      <c r="K415" s="31">
        <v>43648</v>
      </c>
      <c r="L415" s="16">
        <v>36959.120000000003</v>
      </c>
    </row>
    <row r="416" spans="11:12" x14ac:dyDescent="0.35">
      <c r="K416" s="31">
        <v>43649</v>
      </c>
      <c r="L416" s="16">
        <v>22499.1</v>
      </c>
    </row>
    <row r="417" spans="11:12" x14ac:dyDescent="0.35">
      <c r="K417" s="31">
        <v>43650</v>
      </c>
      <c r="L417" s="16">
        <v>79798.100000000006</v>
      </c>
    </row>
    <row r="418" spans="11:12" x14ac:dyDescent="0.35">
      <c r="K418" s="31">
        <v>43653</v>
      </c>
      <c r="L418" s="16">
        <v>4590.8</v>
      </c>
    </row>
    <row r="419" spans="11:12" x14ac:dyDescent="0.35">
      <c r="K419" s="31">
        <v>43654</v>
      </c>
      <c r="L419" s="16">
        <v>84996.2</v>
      </c>
    </row>
    <row r="420" spans="11:12" x14ac:dyDescent="0.35">
      <c r="K420" s="31">
        <v>43657</v>
      </c>
      <c r="L420" s="16">
        <v>76298.05</v>
      </c>
    </row>
    <row r="421" spans="11:12" x14ac:dyDescent="0.35">
      <c r="K421" s="31">
        <v>43658</v>
      </c>
      <c r="L421" s="16">
        <v>69129.149999999994</v>
      </c>
    </row>
    <row r="422" spans="11:12" x14ac:dyDescent="0.35">
      <c r="K422" s="31">
        <v>43659</v>
      </c>
      <c r="L422" s="16">
        <v>81213.600000000006</v>
      </c>
    </row>
    <row r="423" spans="11:12" x14ac:dyDescent="0.35">
      <c r="K423" s="31">
        <v>43660</v>
      </c>
      <c r="L423" s="16">
        <v>104498.1</v>
      </c>
    </row>
    <row r="424" spans="11:12" x14ac:dyDescent="0.35">
      <c r="K424" s="31">
        <v>43661</v>
      </c>
      <c r="L424" s="16">
        <v>58680.17</v>
      </c>
    </row>
    <row r="425" spans="11:12" x14ac:dyDescent="0.35">
      <c r="K425" s="31">
        <v>43662</v>
      </c>
      <c r="L425" s="16">
        <v>14245.25</v>
      </c>
    </row>
    <row r="426" spans="11:12" x14ac:dyDescent="0.35">
      <c r="K426" s="31">
        <v>43663</v>
      </c>
      <c r="L426" s="16">
        <v>11439.12</v>
      </c>
    </row>
    <row r="427" spans="11:12" x14ac:dyDescent="0.35">
      <c r="K427" s="31">
        <v>43665</v>
      </c>
      <c r="L427" s="16">
        <v>149037.24</v>
      </c>
    </row>
    <row r="428" spans="11:12" x14ac:dyDescent="0.35">
      <c r="K428" s="31">
        <v>43666</v>
      </c>
      <c r="L428" s="16">
        <v>195695.25</v>
      </c>
    </row>
    <row r="429" spans="11:12" x14ac:dyDescent="0.35">
      <c r="K429" s="31">
        <v>43667</v>
      </c>
      <c r="L429" s="16">
        <v>1225.5</v>
      </c>
    </row>
    <row r="430" spans="11:12" x14ac:dyDescent="0.35">
      <c r="K430" s="31">
        <v>43668</v>
      </c>
      <c r="L430" s="16">
        <v>99747.15</v>
      </c>
    </row>
    <row r="431" spans="11:12" x14ac:dyDescent="0.35">
      <c r="K431" s="31">
        <v>43669</v>
      </c>
      <c r="L431" s="16">
        <v>5819.08</v>
      </c>
    </row>
    <row r="432" spans="11:12" x14ac:dyDescent="0.35">
      <c r="K432" s="31">
        <v>43670</v>
      </c>
      <c r="L432" s="16">
        <v>22878.240000000002</v>
      </c>
    </row>
    <row r="433" spans="11:12" x14ac:dyDescent="0.35">
      <c r="K433" s="31">
        <v>43671</v>
      </c>
      <c r="L433" s="16">
        <v>87996</v>
      </c>
    </row>
    <row r="434" spans="11:12" x14ac:dyDescent="0.35">
      <c r="K434" s="31">
        <v>43672</v>
      </c>
      <c r="L434" s="16">
        <v>36959.120000000003</v>
      </c>
    </row>
    <row r="435" spans="11:12" x14ac:dyDescent="0.35">
      <c r="K435" s="31">
        <v>43673</v>
      </c>
      <c r="L435" s="16">
        <v>113237.22</v>
      </c>
    </row>
    <row r="436" spans="11:12" x14ac:dyDescent="0.35">
      <c r="K436" s="31">
        <v>43674</v>
      </c>
      <c r="L436" s="16">
        <v>17137.22</v>
      </c>
    </row>
    <row r="437" spans="11:12" x14ac:dyDescent="0.35">
      <c r="K437" s="31">
        <v>43675</v>
      </c>
      <c r="L437" s="16">
        <v>88447.18</v>
      </c>
    </row>
    <row r="438" spans="11:12" x14ac:dyDescent="0.35">
      <c r="K438" s="31">
        <v>43676</v>
      </c>
      <c r="L438" s="16">
        <v>23390.1</v>
      </c>
    </row>
    <row r="439" spans="11:12" x14ac:dyDescent="0.35">
      <c r="K439" s="31">
        <v>43677</v>
      </c>
      <c r="L439" s="16">
        <v>57548.15</v>
      </c>
    </row>
    <row r="440" spans="11:12" x14ac:dyDescent="0.35">
      <c r="K440" s="31">
        <v>43678</v>
      </c>
      <c r="L440" s="16">
        <v>3980</v>
      </c>
    </row>
    <row r="441" spans="11:12" x14ac:dyDescent="0.35">
      <c r="K441" s="31">
        <v>43682</v>
      </c>
      <c r="L441" s="16">
        <v>40259.15</v>
      </c>
    </row>
    <row r="442" spans="11:12" x14ac:dyDescent="0.35">
      <c r="K442" s="31">
        <v>43683</v>
      </c>
      <c r="L442" s="16">
        <v>62558.16</v>
      </c>
    </row>
    <row r="443" spans="11:12" x14ac:dyDescent="0.35">
      <c r="K443" s="31">
        <v>43685</v>
      </c>
      <c r="L443" s="16">
        <v>1839.08</v>
      </c>
    </row>
    <row r="444" spans="11:12" x14ac:dyDescent="0.35">
      <c r="K444" s="31">
        <v>43686</v>
      </c>
      <c r="L444" s="16">
        <v>9352.1</v>
      </c>
    </row>
    <row r="445" spans="11:12" x14ac:dyDescent="0.35">
      <c r="K445" s="31">
        <v>43688</v>
      </c>
      <c r="L445" s="16">
        <v>173194.2</v>
      </c>
    </row>
    <row r="446" spans="11:12" x14ac:dyDescent="0.35">
      <c r="K446" s="31">
        <v>43689</v>
      </c>
      <c r="L446" s="16">
        <v>35669.1</v>
      </c>
    </row>
    <row r="447" spans="11:12" x14ac:dyDescent="0.35">
      <c r="K447" s="31">
        <v>43691</v>
      </c>
      <c r="L447" s="16">
        <v>11959.08</v>
      </c>
    </row>
    <row r="448" spans="11:12" x14ac:dyDescent="0.35">
      <c r="K448" s="31">
        <v>43692</v>
      </c>
      <c r="L448" s="16">
        <v>206195.4</v>
      </c>
    </row>
    <row r="449" spans="11:12" x14ac:dyDescent="0.35">
      <c r="K449" s="31">
        <v>43693</v>
      </c>
      <c r="L449" s="16">
        <v>20699.099999999999</v>
      </c>
    </row>
    <row r="450" spans="11:12" x14ac:dyDescent="0.35">
      <c r="K450" s="31">
        <v>43696</v>
      </c>
      <c r="L450" s="16">
        <v>48448.100000000006</v>
      </c>
    </row>
    <row r="451" spans="11:12" x14ac:dyDescent="0.35">
      <c r="K451" s="31">
        <v>43697</v>
      </c>
      <c r="L451" s="16">
        <v>330765.84999999998</v>
      </c>
    </row>
    <row r="452" spans="11:12" x14ac:dyDescent="0.35">
      <c r="K452" s="31">
        <v>43698</v>
      </c>
      <c r="L452" s="16">
        <v>68398.2</v>
      </c>
    </row>
    <row r="453" spans="11:12" x14ac:dyDescent="0.35">
      <c r="K453" s="31">
        <v>43699</v>
      </c>
      <c r="L453" s="16">
        <v>49949</v>
      </c>
    </row>
    <row r="454" spans="11:12" x14ac:dyDescent="0.35">
      <c r="K454" s="31">
        <v>43700</v>
      </c>
      <c r="L454" s="16">
        <v>1290</v>
      </c>
    </row>
    <row r="455" spans="11:12" x14ac:dyDescent="0.35">
      <c r="K455" s="31">
        <v>43701</v>
      </c>
      <c r="L455" s="16">
        <v>167115.46</v>
      </c>
    </row>
    <row r="456" spans="11:12" x14ac:dyDescent="0.35">
      <c r="K456" s="31">
        <v>43702</v>
      </c>
      <c r="L456" s="16">
        <v>68997.240000000005</v>
      </c>
    </row>
    <row r="457" spans="11:12" x14ac:dyDescent="0.35">
      <c r="K457" s="31">
        <v>43705</v>
      </c>
      <c r="L457" s="16">
        <v>134601</v>
      </c>
    </row>
    <row r="458" spans="11:12" x14ac:dyDescent="0.35">
      <c r="K458" s="31">
        <v>43706</v>
      </c>
      <c r="L458" s="16">
        <v>1161</v>
      </c>
    </row>
    <row r="459" spans="11:12" x14ac:dyDescent="0.35">
      <c r="K459" s="31">
        <v>43707</v>
      </c>
      <c r="L459" s="16">
        <v>105137.18000000001</v>
      </c>
    </row>
    <row r="460" spans="11:12" x14ac:dyDescent="0.35">
      <c r="K460" s="31">
        <v>43708</v>
      </c>
      <c r="L460" s="16">
        <v>49499.1</v>
      </c>
    </row>
    <row r="461" spans="11:12" x14ac:dyDescent="0.35">
      <c r="K461" s="31">
        <v>43710</v>
      </c>
      <c r="L461" s="16">
        <v>69998</v>
      </c>
    </row>
    <row r="462" spans="11:12" x14ac:dyDescent="0.35">
      <c r="K462" s="31">
        <v>43712</v>
      </c>
      <c r="L462" s="16">
        <v>49998</v>
      </c>
    </row>
    <row r="463" spans="11:12" x14ac:dyDescent="0.35">
      <c r="K463" s="31">
        <v>43713</v>
      </c>
      <c r="L463" s="16">
        <v>171345.05</v>
      </c>
    </row>
    <row r="464" spans="11:12" x14ac:dyDescent="0.35">
      <c r="K464" s="31">
        <v>43715</v>
      </c>
      <c r="L464" s="16">
        <v>54669.08</v>
      </c>
    </row>
    <row r="465" spans="11:12" x14ac:dyDescent="0.35">
      <c r="K465" s="31">
        <v>43716</v>
      </c>
      <c r="L465" s="16">
        <v>80279.8</v>
      </c>
    </row>
    <row r="466" spans="11:12" x14ac:dyDescent="0.35">
      <c r="K466" s="31">
        <v>43717</v>
      </c>
      <c r="L466" s="16">
        <v>51299.05</v>
      </c>
    </row>
    <row r="467" spans="11:12" x14ac:dyDescent="0.35">
      <c r="K467" s="31">
        <v>43718</v>
      </c>
      <c r="L467" s="16">
        <v>29039.119999999999</v>
      </c>
    </row>
    <row r="468" spans="11:12" x14ac:dyDescent="0.35">
      <c r="K468" s="31">
        <v>43719</v>
      </c>
      <c r="L468" s="16">
        <v>74838.149999999994</v>
      </c>
    </row>
    <row r="469" spans="11:12" x14ac:dyDescent="0.35">
      <c r="K469" s="31">
        <v>43720</v>
      </c>
      <c r="L469" s="16">
        <v>81859.08</v>
      </c>
    </row>
    <row r="470" spans="11:12" x14ac:dyDescent="0.35">
      <c r="K470" s="31">
        <v>43721</v>
      </c>
      <c r="L470" s="16">
        <v>49499.1</v>
      </c>
    </row>
    <row r="471" spans="11:12" x14ac:dyDescent="0.35">
      <c r="K471" s="31">
        <v>43722</v>
      </c>
      <c r="L471" s="16">
        <v>38470.28</v>
      </c>
    </row>
    <row r="472" spans="11:12" x14ac:dyDescent="0.35">
      <c r="K472" s="31">
        <v>43723</v>
      </c>
      <c r="L472" s="16">
        <v>53289.599999999999</v>
      </c>
    </row>
    <row r="473" spans="11:12" x14ac:dyDescent="0.35">
      <c r="K473" s="31">
        <v>43724</v>
      </c>
      <c r="L473" s="16">
        <v>9666.5</v>
      </c>
    </row>
    <row r="474" spans="11:12" x14ac:dyDescent="0.35">
      <c r="K474" s="31">
        <v>43725</v>
      </c>
      <c r="L474" s="16">
        <v>35998.199999999997</v>
      </c>
    </row>
    <row r="475" spans="11:12" x14ac:dyDescent="0.35">
      <c r="K475" s="31">
        <v>43726</v>
      </c>
      <c r="L475" s="16">
        <v>16999.150000000001</v>
      </c>
    </row>
    <row r="476" spans="11:12" x14ac:dyDescent="0.35">
      <c r="K476" s="31">
        <v>43727</v>
      </c>
      <c r="L476" s="16">
        <v>2602.3000000000002</v>
      </c>
    </row>
    <row r="477" spans="11:12" x14ac:dyDescent="0.35">
      <c r="K477" s="31">
        <v>43728</v>
      </c>
      <c r="L477" s="16">
        <v>11959.08</v>
      </c>
    </row>
    <row r="478" spans="11:12" x14ac:dyDescent="0.35">
      <c r="K478" s="31">
        <v>43729</v>
      </c>
      <c r="L478" s="16">
        <v>208996.2</v>
      </c>
    </row>
    <row r="479" spans="11:12" x14ac:dyDescent="0.35">
      <c r="K479" s="31">
        <v>43731</v>
      </c>
      <c r="L479" s="16">
        <v>32999</v>
      </c>
    </row>
    <row r="480" spans="11:12" x14ac:dyDescent="0.35">
      <c r="K480" s="31">
        <v>43732</v>
      </c>
      <c r="L480" s="16">
        <v>8547.15</v>
      </c>
    </row>
    <row r="481" spans="11:12" x14ac:dyDescent="0.35">
      <c r="K481" s="31">
        <v>43734</v>
      </c>
      <c r="L481" s="16">
        <v>51299.05</v>
      </c>
    </row>
    <row r="482" spans="11:12" x14ac:dyDescent="0.35">
      <c r="K482" s="31">
        <v>43735</v>
      </c>
      <c r="L482" s="16">
        <v>53490</v>
      </c>
    </row>
    <row r="483" spans="11:12" x14ac:dyDescent="0.35">
      <c r="K483" s="31">
        <v>43737</v>
      </c>
      <c r="L483" s="16">
        <v>53958.130000000005</v>
      </c>
    </row>
    <row r="484" spans="11:12" x14ac:dyDescent="0.35">
      <c r="K484" s="31">
        <v>43738</v>
      </c>
      <c r="L484" s="16">
        <v>79784.75</v>
      </c>
    </row>
    <row r="485" spans="11:12" x14ac:dyDescent="0.35">
      <c r="K485" s="31">
        <v>43739</v>
      </c>
      <c r="L485" s="16">
        <v>11189.66</v>
      </c>
    </row>
    <row r="486" spans="11:12" x14ac:dyDescent="0.35">
      <c r="K486" s="31">
        <v>43740</v>
      </c>
      <c r="L486" s="16">
        <v>51299.05</v>
      </c>
    </row>
    <row r="487" spans="11:12" x14ac:dyDescent="0.35">
      <c r="K487" s="31">
        <v>43741</v>
      </c>
      <c r="L487" s="16">
        <v>119696.20000000001</v>
      </c>
    </row>
    <row r="488" spans="11:12" x14ac:dyDescent="0.35">
      <c r="K488" s="31">
        <v>43744</v>
      </c>
      <c r="L488" s="16">
        <v>88299.760000000009</v>
      </c>
    </row>
    <row r="489" spans="11:12" x14ac:dyDescent="0.35">
      <c r="K489" s="31">
        <v>43746</v>
      </c>
      <c r="L489" s="16">
        <v>110456.34</v>
      </c>
    </row>
    <row r="490" spans="11:12" x14ac:dyDescent="0.35">
      <c r="K490" s="31">
        <v>43747</v>
      </c>
      <c r="L490" s="16">
        <v>3661.6</v>
      </c>
    </row>
    <row r="491" spans="11:12" x14ac:dyDescent="0.35">
      <c r="K491" s="31">
        <v>43748</v>
      </c>
      <c r="L491" s="16">
        <v>1990</v>
      </c>
    </row>
    <row r="492" spans="11:12" x14ac:dyDescent="0.35">
      <c r="K492" s="31">
        <v>43749</v>
      </c>
      <c r="L492" s="16">
        <v>58444.6</v>
      </c>
    </row>
    <row r="493" spans="11:12" x14ac:dyDescent="0.35">
      <c r="K493" s="31">
        <v>43750</v>
      </c>
      <c r="L493" s="16">
        <v>90158.16</v>
      </c>
    </row>
    <row r="494" spans="11:12" x14ac:dyDescent="0.35">
      <c r="K494" s="31">
        <v>43752</v>
      </c>
      <c r="L494" s="16">
        <v>43119.12</v>
      </c>
    </row>
    <row r="495" spans="11:12" x14ac:dyDescent="0.35">
      <c r="K495" s="31">
        <v>43753</v>
      </c>
      <c r="L495" s="16">
        <v>59997</v>
      </c>
    </row>
    <row r="496" spans="11:12" x14ac:dyDescent="0.35">
      <c r="K496" s="31">
        <v>43755</v>
      </c>
      <c r="L496" s="16">
        <v>25714</v>
      </c>
    </row>
    <row r="497" spans="11:12" x14ac:dyDescent="0.35">
      <c r="K497" s="31">
        <v>43756</v>
      </c>
      <c r="L497" s="16">
        <v>45957.18</v>
      </c>
    </row>
    <row r="498" spans="11:12" x14ac:dyDescent="0.35">
      <c r="K498" s="31">
        <v>43759</v>
      </c>
      <c r="L498" s="16">
        <v>42246.05</v>
      </c>
    </row>
    <row r="499" spans="11:12" x14ac:dyDescent="0.35">
      <c r="K499" s="31">
        <v>43761</v>
      </c>
      <c r="L499" s="16">
        <v>32110.280000000002</v>
      </c>
    </row>
    <row r="500" spans="11:12" x14ac:dyDescent="0.35">
      <c r="K500" s="31">
        <v>43763</v>
      </c>
      <c r="L500" s="16">
        <v>53999</v>
      </c>
    </row>
    <row r="501" spans="11:12" x14ac:dyDescent="0.35">
      <c r="K501" s="31">
        <v>43764</v>
      </c>
      <c r="L501" s="16">
        <v>36099.050000000003</v>
      </c>
    </row>
    <row r="502" spans="11:12" x14ac:dyDescent="0.35">
      <c r="K502" s="31">
        <v>43765</v>
      </c>
      <c r="L502" s="16">
        <v>52249.05</v>
      </c>
    </row>
    <row r="503" spans="11:12" x14ac:dyDescent="0.35">
      <c r="K503" s="31">
        <v>43766</v>
      </c>
      <c r="L503" s="16">
        <v>139800</v>
      </c>
    </row>
    <row r="504" spans="11:12" x14ac:dyDescent="0.35">
      <c r="K504" s="31">
        <v>43767</v>
      </c>
      <c r="L504" s="16">
        <v>203495.1</v>
      </c>
    </row>
    <row r="505" spans="11:12" x14ac:dyDescent="0.35">
      <c r="K505" s="31">
        <v>43768</v>
      </c>
      <c r="L505" s="16">
        <v>71488.100000000006</v>
      </c>
    </row>
    <row r="506" spans="11:12" x14ac:dyDescent="0.35">
      <c r="K506" s="31">
        <v>43770</v>
      </c>
      <c r="L506" s="16">
        <v>31499.1</v>
      </c>
    </row>
    <row r="507" spans="11:12" x14ac:dyDescent="0.35">
      <c r="K507" s="31">
        <v>43773</v>
      </c>
      <c r="L507" s="16">
        <v>34959.08</v>
      </c>
    </row>
    <row r="508" spans="11:12" x14ac:dyDescent="0.35">
      <c r="K508" s="31">
        <v>43774</v>
      </c>
      <c r="L508" s="16">
        <v>22499.1</v>
      </c>
    </row>
    <row r="509" spans="11:12" x14ac:dyDescent="0.35">
      <c r="K509" s="31">
        <v>43775</v>
      </c>
      <c r="L509" s="16">
        <v>139646.19999999998</v>
      </c>
    </row>
    <row r="510" spans="11:12" x14ac:dyDescent="0.35">
      <c r="K510" s="31">
        <v>43776</v>
      </c>
      <c r="L510" s="16">
        <v>234375.81</v>
      </c>
    </row>
    <row r="511" spans="11:12" x14ac:dyDescent="0.35">
      <c r="K511" s="31">
        <v>43779</v>
      </c>
      <c r="L511" s="16">
        <v>7660.5</v>
      </c>
    </row>
    <row r="512" spans="11:12" x14ac:dyDescent="0.35">
      <c r="K512" s="31">
        <v>43780</v>
      </c>
      <c r="L512" s="16">
        <v>66498.100000000006</v>
      </c>
    </row>
    <row r="513" spans="11:12" x14ac:dyDescent="0.35">
      <c r="K513" s="31">
        <v>43781</v>
      </c>
      <c r="L513" s="16">
        <v>29039.119999999999</v>
      </c>
    </row>
    <row r="514" spans="11:12" x14ac:dyDescent="0.35">
      <c r="K514" s="31">
        <v>43782</v>
      </c>
      <c r="L514" s="16">
        <v>45998.16</v>
      </c>
    </row>
    <row r="515" spans="11:12" x14ac:dyDescent="0.35">
      <c r="K515" s="31">
        <v>43785</v>
      </c>
      <c r="L515" s="16">
        <v>221486</v>
      </c>
    </row>
    <row r="516" spans="11:12" x14ac:dyDescent="0.35">
      <c r="K516" s="31">
        <v>43786</v>
      </c>
      <c r="L516" s="16">
        <v>46749.15</v>
      </c>
    </row>
    <row r="517" spans="11:12" x14ac:dyDescent="0.35">
      <c r="K517" s="31">
        <v>43788</v>
      </c>
      <c r="L517" s="16">
        <v>104087.21</v>
      </c>
    </row>
    <row r="518" spans="11:12" x14ac:dyDescent="0.35">
      <c r="K518" s="31">
        <v>43790</v>
      </c>
      <c r="L518" s="16">
        <v>5789.5</v>
      </c>
    </row>
    <row r="519" spans="11:12" x14ac:dyDescent="0.35">
      <c r="K519" s="31">
        <v>43791</v>
      </c>
      <c r="L519" s="16">
        <v>112087.65000000001</v>
      </c>
    </row>
    <row r="520" spans="11:12" x14ac:dyDescent="0.35">
      <c r="K520" s="31">
        <v>43793</v>
      </c>
      <c r="L520" s="16">
        <v>2999</v>
      </c>
    </row>
    <row r="521" spans="11:12" x14ac:dyDescent="0.35">
      <c r="K521" s="31">
        <v>43794</v>
      </c>
      <c r="L521" s="16">
        <v>4740.5</v>
      </c>
    </row>
    <row r="522" spans="11:12" x14ac:dyDescent="0.35">
      <c r="K522" s="31">
        <v>43797</v>
      </c>
      <c r="L522" s="16">
        <v>287226.38</v>
      </c>
    </row>
    <row r="523" spans="11:12" x14ac:dyDescent="0.35">
      <c r="K523" s="31">
        <v>43798</v>
      </c>
      <c r="L523" s="16">
        <v>87420.700000000012</v>
      </c>
    </row>
    <row r="524" spans="11:12" x14ac:dyDescent="0.35">
      <c r="K524" s="31">
        <v>43799</v>
      </c>
      <c r="L524" s="16">
        <v>66405</v>
      </c>
    </row>
    <row r="525" spans="11:12" x14ac:dyDescent="0.35">
      <c r="K525" s="31">
        <v>43800</v>
      </c>
      <c r="L525" s="16">
        <v>38497.199999999997</v>
      </c>
    </row>
    <row r="526" spans="11:12" x14ac:dyDescent="0.35">
      <c r="K526" s="31">
        <v>43802</v>
      </c>
      <c r="L526" s="16">
        <v>3790.5</v>
      </c>
    </row>
    <row r="527" spans="11:12" x14ac:dyDescent="0.35">
      <c r="K527" s="31">
        <v>43804</v>
      </c>
      <c r="L527" s="16">
        <v>202396.32</v>
      </c>
    </row>
    <row r="528" spans="11:12" x14ac:dyDescent="0.35">
      <c r="K528" s="31">
        <v>43805</v>
      </c>
      <c r="L528" s="16">
        <v>185559.5</v>
      </c>
    </row>
    <row r="529" spans="11:12" x14ac:dyDescent="0.35">
      <c r="K529" s="31">
        <v>43808</v>
      </c>
      <c r="L529" s="16">
        <v>100151.08</v>
      </c>
    </row>
    <row r="530" spans="11:12" x14ac:dyDescent="0.35">
      <c r="K530" s="31">
        <v>43809</v>
      </c>
      <c r="L530" s="16">
        <v>21849.05</v>
      </c>
    </row>
    <row r="531" spans="11:12" x14ac:dyDescent="0.35">
      <c r="K531" s="31">
        <v>43810</v>
      </c>
      <c r="L531" s="16">
        <v>91296.290000000008</v>
      </c>
    </row>
    <row r="532" spans="11:12" x14ac:dyDescent="0.35">
      <c r="K532" s="31">
        <v>43814</v>
      </c>
      <c r="L532" s="16">
        <v>66405</v>
      </c>
    </row>
    <row r="533" spans="11:12" x14ac:dyDescent="0.35">
      <c r="K533" s="31">
        <v>43815</v>
      </c>
      <c r="L533" s="16">
        <v>161991</v>
      </c>
    </row>
    <row r="534" spans="11:12" x14ac:dyDescent="0.35">
      <c r="K534" s="31">
        <v>43816</v>
      </c>
      <c r="L534" s="16">
        <v>5391</v>
      </c>
    </row>
    <row r="535" spans="11:12" x14ac:dyDescent="0.35">
      <c r="K535" s="31">
        <v>43817</v>
      </c>
      <c r="L535" s="16">
        <v>132810</v>
      </c>
    </row>
    <row r="536" spans="11:12" x14ac:dyDescent="0.35">
      <c r="K536" s="31">
        <v>43818</v>
      </c>
      <c r="L536" s="16">
        <v>181093.46</v>
      </c>
    </row>
    <row r="537" spans="11:12" x14ac:dyDescent="0.35">
      <c r="K537" s="31">
        <v>43819</v>
      </c>
      <c r="L537" s="16">
        <v>1341</v>
      </c>
    </row>
    <row r="538" spans="11:12" x14ac:dyDescent="0.35">
      <c r="K538" s="31">
        <v>43820</v>
      </c>
      <c r="L538" s="16">
        <v>24592.799999999999</v>
      </c>
    </row>
    <row r="539" spans="11:12" x14ac:dyDescent="0.35">
      <c r="K539" s="31">
        <v>43821</v>
      </c>
      <c r="L539" s="16">
        <v>1415.5</v>
      </c>
    </row>
    <row r="540" spans="11:12" x14ac:dyDescent="0.35">
      <c r="K540" s="31">
        <v>43822</v>
      </c>
      <c r="L540" s="16">
        <v>149793.75</v>
      </c>
    </row>
    <row r="541" spans="11:12" x14ac:dyDescent="0.35">
      <c r="K541" s="31">
        <v>43824</v>
      </c>
      <c r="L541" s="16">
        <v>157482.23999999999</v>
      </c>
    </row>
    <row r="542" spans="11:12" x14ac:dyDescent="0.35">
      <c r="K542" s="31">
        <v>43825</v>
      </c>
      <c r="L542" s="16">
        <v>247622.14999999997</v>
      </c>
    </row>
    <row r="543" spans="11:12" x14ac:dyDescent="0.35">
      <c r="K543" s="31">
        <v>43826</v>
      </c>
      <c r="L543" s="16">
        <v>12999</v>
      </c>
    </row>
    <row r="544" spans="11:12" x14ac:dyDescent="0.35">
      <c r="K544" s="31">
        <v>43827</v>
      </c>
      <c r="L544" s="16">
        <v>128497.18000000001</v>
      </c>
    </row>
    <row r="545" spans="11:12" x14ac:dyDescent="0.35">
      <c r="K545" s="31">
        <v>43829</v>
      </c>
      <c r="L545" s="16">
        <v>40478.239999999998</v>
      </c>
    </row>
    <row r="546" spans="11:12" x14ac:dyDescent="0.35">
      <c r="K546" s="31">
        <v>43830</v>
      </c>
      <c r="L546" s="16">
        <v>114878.31</v>
      </c>
    </row>
    <row r="547" spans="11:12" x14ac:dyDescent="0.35">
      <c r="K547" s="31">
        <v>43831</v>
      </c>
      <c r="L547" s="16">
        <v>70081.5</v>
      </c>
    </row>
    <row r="548" spans="11:12" x14ac:dyDescent="0.35">
      <c r="K548" s="31">
        <v>43832</v>
      </c>
      <c r="L548" s="16">
        <v>1311.2</v>
      </c>
    </row>
    <row r="549" spans="11:12" x14ac:dyDescent="0.35">
      <c r="K549" s="31">
        <v>43835</v>
      </c>
      <c r="L549" s="16">
        <v>286012</v>
      </c>
    </row>
    <row r="550" spans="11:12" x14ac:dyDescent="0.35">
      <c r="K550" s="31">
        <v>43837</v>
      </c>
      <c r="L550" s="16">
        <v>75998</v>
      </c>
    </row>
    <row r="551" spans="11:12" x14ac:dyDescent="0.35">
      <c r="K551" s="31">
        <v>43838</v>
      </c>
      <c r="L551" s="16">
        <v>281363.49</v>
      </c>
    </row>
    <row r="552" spans="11:12" x14ac:dyDescent="0.35">
      <c r="K552" s="31">
        <v>43839</v>
      </c>
      <c r="L552" s="16">
        <v>32199.08</v>
      </c>
    </row>
    <row r="553" spans="11:12" x14ac:dyDescent="0.35">
      <c r="K553" s="31">
        <v>43840</v>
      </c>
      <c r="L553" s="16">
        <v>92157.16</v>
      </c>
    </row>
    <row r="554" spans="11:12" x14ac:dyDescent="0.35">
      <c r="K554" s="31">
        <v>43843</v>
      </c>
      <c r="L554" s="16">
        <v>21999.119999999999</v>
      </c>
    </row>
    <row r="555" spans="11:12" x14ac:dyDescent="0.35">
      <c r="K555" s="31">
        <v>43844</v>
      </c>
      <c r="L555" s="16">
        <v>23619.72</v>
      </c>
    </row>
    <row r="556" spans="11:12" x14ac:dyDescent="0.35">
      <c r="K556" s="31">
        <v>43845</v>
      </c>
      <c r="L556" s="16">
        <v>54999</v>
      </c>
    </row>
    <row r="557" spans="11:12" x14ac:dyDescent="0.35">
      <c r="K557" s="31">
        <v>43846</v>
      </c>
      <c r="L557" s="16">
        <v>3737.5</v>
      </c>
    </row>
    <row r="558" spans="11:12" x14ac:dyDescent="0.35">
      <c r="K558" s="31">
        <v>43848</v>
      </c>
      <c r="L558" s="16">
        <v>3661.6</v>
      </c>
    </row>
    <row r="559" spans="11:12" x14ac:dyDescent="0.35">
      <c r="K559" s="31">
        <v>43849</v>
      </c>
      <c r="L559" s="16">
        <v>38639.08</v>
      </c>
    </row>
    <row r="560" spans="11:12" x14ac:dyDescent="0.35">
      <c r="K560" s="31">
        <v>43851</v>
      </c>
      <c r="L560" s="16">
        <v>114197.1</v>
      </c>
    </row>
    <row r="561" spans="11:12" x14ac:dyDescent="0.35">
      <c r="K561" s="31">
        <v>43852</v>
      </c>
      <c r="L561" s="16">
        <v>1415.5</v>
      </c>
    </row>
    <row r="562" spans="11:12" x14ac:dyDescent="0.35">
      <c r="K562" s="31">
        <v>43853</v>
      </c>
      <c r="L562" s="16">
        <v>11251.8</v>
      </c>
    </row>
    <row r="563" spans="11:12" x14ac:dyDescent="0.35">
      <c r="K563" s="31">
        <v>43854</v>
      </c>
      <c r="L563" s="16">
        <v>157156.16</v>
      </c>
    </row>
    <row r="564" spans="11:12" x14ac:dyDescent="0.35">
      <c r="K564" s="31">
        <v>43855</v>
      </c>
      <c r="L564" s="16">
        <v>183994.4</v>
      </c>
    </row>
    <row r="565" spans="11:12" x14ac:dyDescent="0.35">
      <c r="K565" s="31">
        <v>43856</v>
      </c>
      <c r="L565" s="16">
        <v>1161</v>
      </c>
    </row>
    <row r="566" spans="11:12" x14ac:dyDescent="0.35">
      <c r="K566" s="31">
        <v>43857</v>
      </c>
      <c r="L566" s="16">
        <v>79177.33</v>
      </c>
    </row>
    <row r="567" spans="11:12" x14ac:dyDescent="0.35">
      <c r="K567" s="31">
        <v>43858</v>
      </c>
      <c r="L567" s="16">
        <v>5671.5</v>
      </c>
    </row>
    <row r="568" spans="11:12" x14ac:dyDescent="0.35">
      <c r="K568" s="31">
        <v>43859</v>
      </c>
      <c r="L568" s="16">
        <v>115136.32000000001</v>
      </c>
    </row>
    <row r="569" spans="11:12" x14ac:dyDescent="0.35">
      <c r="K569" s="31">
        <v>43861</v>
      </c>
      <c r="L569" s="16">
        <v>1890.5</v>
      </c>
    </row>
    <row r="570" spans="11:12" x14ac:dyDescent="0.35">
      <c r="K570" s="31">
        <v>43862</v>
      </c>
      <c r="L570" s="16">
        <v>204207.08999999997</v>
      </c>
    </row>
    <row r="571" spans="11:12" x14ac:dyDescent="0.35">
      <c r="K571" s="31">
        <v>43863</v>
      </c>
      <c r="L571" s="16">
        <v>189072</v>
      </c>
    </row>
    <row r="572" spans="11:12" x14ac:dyDescent="0.35">
      <c r="K572" s="31">
        <v>43864</v>
      </c>
      <c r="L572" s="16">
        <v>71128.95</v>
      </c>
    </row>
    <row r="573" spans="11:12" x14ac:dyDescent="0.35">
      <c r="K573" s="31">
        <v>43865</v>
      </c>
      <c r="L573" s="16">
        <v>19999</v>
      </c>
    </row>
    <row r="574" spans="11:12" x14ac:dyDescent="0.35">
      <c r="K574" s="31">
        <v>43866</v>
      </c>
      <c r="L574" s="16">
        <v>12349.05</v>
      </c>
    </row>
    <row r="575" spans="11:12" x14ac:dyDescent="0.35">
      <c r="K575" s="31">
        <v>43867</v>
      </c>
      <c r="L575" s="16">
        <v>69900</v>
      </c>
    </row>
    <row r="576" spans="11:12" x14ac:dyDescent="0.35">
      <c r="K576" s="31">
        <v>43868</v>
      </c>
      <c r="L576" s="16">
        <v>80179.58</v>
      </c>
    </row>
    <row r="577" spans="11:12" x14ac:dyDescent="0.35">
      <c r="K577" s="31">
        <v>43869</v>
      </c>
      <c r="L577" s="16">
        <v>45079.08</v>
      </c>
    </row>
    <row r="578" spans="11:12" x14ac:dyDescent="0.35">
      <c r="K578" s="31">
        <v>43870</v>
      </c>
      <c r="L578" s="16">
        <v>7490</v>
      </c>
    </row>
    <row r="579" spans="11:12" x14ac:dyDescent="0.35">
      <c r="K579" s="31">
        <v>43871</v>
      </c>
      <c r="L579" s="16">
        <v>169524.44</v>
      </c>
    </row>
    <row r="580" spans="11:12" x14ac:dyDescent="0.35">
      <c r="K580" s="31">
        <v>43872</v>
      </c>
      <c r="L580" s="16">
        <v>11699.1</v>
      </c>
    </row>
    <row r="581" spans="11:12" x14ac:dyDescent="0.35">
      <c r="K581" s="31">
        <v>43874</v>
      </c>
      <c r="L581" s="16">
        <v>48399.12</v>
      </c>
    </row>
    <row r="582" spans="11:12" x14ac:dyDescent="0.35">
      <c r="K582" s="31">
        <v>43877</v>
      </c>
      <c r="L582" s="16">
        <v>1186.8</v>
      </c>
    </row>
    <row r="583" spans="11:12" x14ac:dyDescent="0.35">
      <c r="K583" s="31">
        <v>43878</v>
      </c>
      <c r="L583" s="16">
        <v>3980</v>
      </c>
    </row>
    <row r="584" spans="11:12" x14ac:dyDescent="0.35">
      <c r="K584" s="31">
        <v>43881</v>
      </c>
      <c r="L584" s="16">
        <v>43414.5</v>
      </c>
    </row>
    <row r="585" spans="11:12" x14ac:dyDescent="0.35">
      <c r="K585" s="31">
        <v>43883</v>
      </c>
      <c r="L585" s="16">
        <v>140120.18</v>
      </c>
    </row>
    <row r="586" spans="11:12" x14ac:dyDescent="0.35">
      <c r="K586" s="31">
        <v>43885</v>
      </c>
      <c r="L586" s="16">
        <v>127696.1</v>
      </c>
    </row>
    <row r="587" spans="11:12" x14ac:dyDescent="0.35">
      <c r="K587" s="31">
        <v>43886</v>
      </c>
      <c r="L587" s="16">
        <v>34959.08</v>
      </c>
    </row>
    <row r="588" spans="11:12" x14ac:dyDescent="0.35">
      <c r="K588" s="31">
        <v>43888</v>
      </c>
      <c r="L588" s="16">
        <v>148497.29999999999</v>
      </c>
    </row>
    <row r="589" spans="11:12" x14ac:dyDescent="0.35">
      <c r="K589" s="31">
        <v>43889</v>
      </c>
      <c r="L589" s="16">
        <v>1751.2</v>
      </c>
    </row>
    <row r="590" spans="11:12" x14ac:dyDescent="0.35">
      <c r="K590" s="31">
        <v>43890</v>
      </c>
      <c r="L590" s="16">
        <v>191896.2</v>
      </c>
    </row>
    <row r="591" spans="11:12" x14ac:dyDescent="0.35">
      <c r="K591" s="31">
        <v>43891</v>
      </c>
      <c r="L591" s="16">
        <v>21159.08</v>
      </c>
    </row>
    <row r="592" spans="11:12" x14ac:dyDescent="0.35">
      <c r="K592" s="31">
        <v>43892</v>
      </c>
      <c r="L592" s="16">
        <v>151797.24</v>
      </c>
    </row>
    <row r="593" spans="11:12" x14ac:dyDescent="0.35">
      <c r="K593" s="31">
        <v>43894</v>
      </c>
      <c r="L593" s="16">
        <v>14104.08</v>
      </c>
    </row>
    <row r="594" spans="11:12" x14ac:dyDescent="0.35">
      <c r="K594" s="31">
        <v>43895</v>
      </c>
      <c r="L594" s="16">
        <v>5690.5</v>
      </c>
    </row>
    <row r="595" spans="11:12" x14ac:dyDescent="0.35">
      <c r="K595" s="31">
        <v>43896</v>
      </c>
      <c r="L595" s="16">
        <v>77278.16</v>
      </c>
    </row>
    <row r="596" spans="11:12" x14ac:dyDescent="0.35">
      <c r="K596" s="31">
        <v>43897</v>
      </c>
      <c r="L596" s="16">
        <v>149037.24</v>
      </c>
    </row>
    <row r="597" spans="11:12" x14ac:dyDescent="0.35">
      <c r="K597" s="31">
        <v>43898</v>
      </c>
      <c r="L597" s="16">
        <v>136305</v>
      </c>
    </row>
    <row r="598" spans="11:12" x14ac:dyDescent="0.35">
      <c r="K598" s="31">
        <v>43899</v>
      </c>
      <c r="L598" s="16">
        <v>45899.15</v>
      </c>
    </row>
    <row r="599" spans="11:12" x14ac:dyDescent="0.35">
      <c r="K599" s="31">
        <v>43900</v>
      </c>
      <c r="L599" s="16">
        <v>1490</v>
      </c>
    </row>
    <row r="600" spans="11:12" x14ac:dyDescent="0.35">
      <c r="K600" s="31">
        <v>43901</v>
      </c>
      <c r="L600" s="16">
        <v>75259.05</v>
      </c>
    </row>
    <row r="601" spans="11:12" x14ac:dyDescent="0.35">
      <c r="K601" s="31">
        <v>43902</v>
      </c>
      <c r="L601" s="16">
        <v>1999</v>
      </c>
    </row>
    <row r="602" spans="11:12" x14ac:dyDescent="0.35">
      <c r="K602" s="31">
        <v>43905</v>
      </c>
      <c r="L602" s="16">
        <v>5990</v>
      </c>
    </row>
    <row r="603" spans="11:12" x14ac:dyDescent="0.35">
      <c r="K603" s="31">
        <v>43907</v>
      </c>
      <c r="L603" s="16">
        <v>94748.96</v>
      </c>
    </row>
    <row r="604" spans="11:12" x14ac:dyDescent="0.35">
      <c r="K604" s="31">
        <v>43908</v>
      </c>
      <c r="L604" s="16">
        <v>2999</v>
      </c>
    </row>
    <row r="605" spans="11:12" x14ac:dyDescent="0.35">
      <c r="K605" s="31">
        <v>43909</v>
      </c>
      <c r="L605" s="16">
        <v>14970</v>
      </c>
    </row>
    <row r="606" spans="11:12" x14ac:dyDescent="0.35">
      <c r="K606" s="31">
        <v>43910</v>
      </c>
      <c r="L606" s="16">
        <v>60313.600000000006</v>
      </c>
    </row>
    <row r="607" spans="11:12" x14ac:dyDescent="0.35">
      <c r="K607" s="31">
        <v>43911</v>
      </c>
      <c r="L607" s="16">
        <v>4590.8</v>
      </c>
    </row>
    <row r="608" spans="11:12" x14ac:dyDescent="0.35">
      <c r="K608" s="31">
        <v>43913</v>
      </c>
      <c r="L608" s="16">
        <v>107457.66</v>
      </c>
    </row>
    <row r="609" spans="11:12" x14ac:dyDescent="0.35">
      <c r="K609" s="31">
        <v>43914</v>
      </c>
      <c r="L609" s="16">
        <v>4224.5</v>
      </c>
    </row>
    <row r="610" spans="11:12" x14ac:dyDescent="0.35">
      <c r="K610" s="31">
        <v>43915</v>
      </c>
      <c r="L610" s="16">
        <v>146997</v>
      </c>
    </row>
    <row r="611" spans="11:12" x14ac:dyDescent="0.35">
      <c r="K611" s="31">
        <v>43916</v>
      </c>
      <c r="L611" s="16">
        <v>70075.8</v>
      </c>
    </row>
    <row r="612" spans="11:12" x14ac:dyDescent="0.35">
      <c r="K612" s="31">
        <v>43918</v>
      </c>
      <c r="L612" s="16">
        <v>11970</v>
      </c>
    </row>
    <row r="613" spans="11:12" x14ac:dyDescent="0.35">
      <c r="K613" s="31">
        <v>43921</v>
      </c>
      <c r="L613" s="16">
        <v>69918.16</v>
      </c>
    </row>
    <row r="614" spans="11:12" x14ac:dyDescent="0.35">
      <c r="K614" s="31">
        <v>43922</v>
      </c>
      <c r="L614" s="16">
        <v>235229.7</v>
      </c>
    </row>
    <row r="615" spans="11:12" x14ac:dyDescent="0.35">
      <c r="K615" s="31">
        <v>43923</v>
      </c>
      <c r="L615" s="16">
        <v>5271.2</v>
      </c>
    </row>
    <row r="616" spans="11:12" x14ac:dyDescent="0.35">
      <c r="K616" s="31">
        <v>43924</v>
      </c>
      <c r="L616" s="16">
        <v>4740.5</v>
      </c>
    </row>
    <row r="617" spans="11:12" x14ac:dyDescent="0.35">
      <c r="K617" s="31">
        <v>43925</v>
      </c>
      <c r="L617" s="16">
        <v>11381</v>
      </c>
    </row>
    <row r="618" spans="11:12" x14ac:dyDescent="0.35">
      <c r="K618" s="31">
        <v>43926</v>
      </c>
      <c r="L618" s="16">
        <v>57080.1</v>
      </c>
    </row>
    <row r="619" spans="11:12" x14ac:dyDescent="0.35">
      <c r="K619" s="31">
        <v>43928</v>
      </c>
      <c r="L619" s="16">
        <v>79798.100000000006</v>
      </c>
    </row>
    <row r="620" spans="11:12" x14ac:dyDescent="0.35">
      <c r="K620" s="31">
        <v>43930</v>
      </c>
      <c r="L620" s="16">
        <v>402870.78</v>
      </c>
    </row>
    <row r="621" spans="11:12" x14ac:dyDescent="0.35">
      <c r="K621" s="31">
        <v>43932</v>
      </c>
      <c r="L621" s="16">
        <v>95038.24</v>
      </c>
    </row>
    <row r="622" spans="11:12" x14ac:dyDescent="0.35">
      <c r="K622" s="31">
        <v>43933</v>
      </c>
      <c r="L622" s="16">
        <v>1341</v>
      </c>
    </row>
    <row r="623" spans="11:12" x14ac:dyDescent="0.35">
      <c r="K623" s="31">
        <v>43934</v>
      </c>
      <c r="L623" s="16">
        <v>57911.05</v>
      </c>
    </row>
    <row r="624" spans="11:12" x14ac:dyDescent="0.35">
      <c r="K624" s="31">
        <v>43935</v>
      </c>
      <c r="L624" s="16">
        <v>94915.62</v>
      </c>
    </row>
    <row r="625" spans="11:12" x14ac:dyDescent="0.35">
      <c r="K625" s="31">
        <v>43936</v>
      </c>
      <c r="L625" s="16">
        <v>41989</v>
      </c>
    </row>
    <row r="626" spans="11:12" x14ac:dyDescent="0.35">
      <c r="K626" s="31">
        <v>43937</v>
      </c>
      <c r="L626" s="16">
        <v>2451</v>
      </c>
    </row>
    <row r="627" spans="11:12" x14ac:dyDescent="0.35">
      <c r="K627" s="31">
        <v>43938</v>
      </c>
      <c r="L627" s="16">
        <v>75998.100000000006</v>
      </c>
    </row>
    <row r="628" spans="11:12" x14ac:dyDescent="0.35">
      <c r="K628" s="31">
        <v>43939</v>
      </c>
      <c r="L628" s="16">
        <v>1096.5</v>
      </c>
    </row>
    <row r="629" spans="11:12" x14ac:dyDescent="0.35">
      <c r="K629" s="31">
        <v>43940</v>
      </c>
      <c r="L629" s="16">
        <v>1799.1</v>
      </c>
    </row>
    <row r="630" spans="11:12" x14ac:dyDescent="0.35">
      <c r="K630" s="31">
        <v>43941</v>
      </c>
      <c r="L630" s="16">
        <v>132292.5</v>
      </c>
    </row>
    <row r="631" spans="11:12" x14ac:dyDescent="0.35">
      <c r="K631" s="31">
        <v>43942</v>
      </c>
      <c r="L631" s="16">
        <v>105578.1</v>
      </c>
    </row>
    <row r="632" spans="11:12" x14ac:dyDescent="0.35">
      <c r="K632" s="31">
        <v>43943</v>
      </c>
      <c r="L632" s="16">
        <v>31499.1</v>
      </c>
    </row>
    <row r="633" spans="11:12" x14ac:dyDescent="0.35">
      <c r="K633" s="31">
        <v>43944</v>
      </c>
      <c r="L633" s="16">
        <v>5879.05</v>
      </c>
    </row>
    <row r="634" spans="11:12" x14ac:dyDescent="0.35">
      <c r="K634" s="31">
        <v>43945</v>
      </c>
      <c r="L634" s="16">
        <v>186196.2</v>
      </c>
    </row>
    <row r="635" spans="11:12" x14ac:dyDescent="0.35">
      <c r="K635" s="31">
        <v>43946</v>
      </c>
      <c r="L635" s="16">
        <v>12349.05</v>
      </c>
    </row>
    <row r="636" spans="11:12" x14ac:dyDescent="0.35">
      <c r="K636" s="31">
        <v>43947</v>
      </c>
      <c r="L636" s="16">
        <v>68398.2</v>
      </c>
    </row>
    <row r="637" spans="11:12" x14ac:dyDescent="0.35">
      <c r="K637" s="31">
        <v>43948</v>
      </c>
      <c r="L637" s="16">
        <v>208094.42</v>
      </c>
    </row>
    <row r="638" spans="11:12" x14ac:dyDescent="0.35">
      <c r="K638" s="31">
        <v>43949</v>
      </c>
      <c r="L638" s="16">
        <v>5299.2</v>
      </c>
    </row>
    <row r="639" spans="11:12" x14ac:dyDescent="0.35">
      <c r="K639" s="31">
        <v>43950</v>
      </c>
      <c r="L639" s="16">
        <v>56586.1</v>
      </c>
    </row>
    <row r="640" spans="11:12" x14ac:dyDescent="0.35">
      <c r="K640" s="31">
        <v>43951</v>
      </c>
      <c r="L640" s="16">
        <v>3863.6</v>
      </c>
    </row>
    <row r="641" spans="11:12" x14ac:dyDescent="0.35">
      <c r="K641" s="31">
        <v>43953</v>
      </c>
      <c r="L641" s="16">
        <v>1490</v>
      </c>
    </row>
    <row r="642" spans="11:12" x14ac:dyDescent="0.35">
      <c r="K642" s="31">
        <v>43954</v>
      </c>
      <c r="L642" s="16">
        <v>133908</v>
      </c>
    </row>
    <row r="643" spans="11:12" x14ac:dyDescent="0.35">
      <c r="K643" s="31">
        <v>43955</v>
      </c>
      <c r="L643" s="16">
        <v>31398.080000000002</v>
      </c>
    </row>
    <row r="644" spans="11:12" x14ac:dyDescent="0.35">
      <c r="K644" s="31">
        <v>43956</v>
      </c>
      <c r="L644" s="16">
        <v>66405</v>
      </c>
    </row>
    <row r="645" spans="11:12" x14ac:dyDescent="0.35">
      <c r="K645" s="31">
        <v>43957</v>
      </c>
      <c r="L645" s="16">
        <v>46749.15</v>
      </c>
    </row>
    <row r="646" spans="11:12" x14ac:dyDescent="0.35">
      <c r="K646" s="31">
        <v>43958</v>
      </c>
      <c r="L646" s="16">
        <v>5998</v>
      </c>
    </row>
    <row r="647" spans="11:12" x14ac:dyDescent="0.35">
      <c r="K647" s="31">
        <v>43959</v>
      </c>
      <c r="L647" s="16">
        <v>76958.080000000002</v>
      </c>
    </row>
    <row r="648" spans="11:12" x14ac:dyDescent="0.35">
      <c r="K648" s="31">
        <v>43960</v>
      </c>
      <c r="L648" s="16">
        <v>2373.6</v>
      </c>
    </row>
    <row r="649" spans="11:12" x14ac:dyDescent="0.35">
      <c r="K649" s="31">
        <v>43961</v>
      </c>
      <c r="L649" s="16">
        <v>5931.8</v>
      </c>
    </row>
    <row r="650" spans="11:12" x14ac:dyDescent="0.35">
      <c r="K650" s="31">
        <v>43962</v>
      </c>
      <c r="L650" s="16">
        <v>35898.25</v>
      </c>
    </row>
    <row r="651" spans="11:12" x14ac:dyDescent="0.35">
      <c r="K651" s="31">
        <v>43963</v>
      </c>
      <c r="L651" s="16">
        <v>69900</v>
      </c>
    </row>
    <row r="652" spans="11:12" x14ac:dyDescent="0.35">
      <c r="K652" s="31">
        <v>43964</v>
      </c>
      <c r="L652" s="16">
        <v>123245.05</v>
      </c>
    </row>
    <row r="653" spans="11:12" x14ac:dyDescent="0.35">
      <c r="K653" s="31">
        <v>43965</v>
      </c>
      <c r="L653" s="16">
        <v>54961.08</v>
      </c>
    </row>
    <row r="654" spans="11:12" x14ac:dyDescent="0.35">
      <c r="K654" s="31">
        <v>43966</v>
      </c>
      <c r="L654" s="16">
        <v>8483</v>
      </c>
    </row>
    <row r="655" spans="11:12" x14ac:dyDescent="0.35">
      <c r="K655" s="31">
        <v>43967</v>
      </c>
      <c r="L655" s="16">
        <v>33249.050000000003</v>
      </c>
    </row>
    <row r="656" spans="11:12" x14ac:dyDescent="0.35">
      <c r="K656" s="31">
        <v>43968</v>
      </c>
      <c r="L656" s="16">
        <v>15172.32</v>
      </c>
    </row>
    <row r="657" spans="11:12" x14ac:dyDescent="0.35">
      <c r="K657" s="31">
        <v>43970</v>
      </c>
      <c r="L657" s="16">
        <v>53835.899999999994</v>
      </c>
    </row>
    <row r="658" spans="11:12" x14ac:dyDescent="0.35">
      <c r="K658" s="31">
        <v>43971</v>
      </c>
      <c r="L658" s="16">
        <v>53664.55</v>
      </c>
    </row>
    <row r="659" spans="11:12" x14ac:dyDescent="0.35">
      <c r="K659" s="31">
        <v>43972</v>
      </c>
      <c r="L659" s="16">
        <v>66278.55</v>
      </c>
    </row>
    <row r="660" spans="11:12" x14ac:dyDescent="0.35">
      <c r="K660" s="31">
        <v>43975</v>
      </c>
      <c r="L660" s="16">
        <v>130966.90000000001</v>
      </c>
    </row>
    <row r="661" spans="11:12" x14ac:dyDescent="0.35">
      <c r="K661" s="31">
        <v>43976</v>
      </c>
      <c r="L661" s="16">
        <v>9081.7999999999993</v>
      </c>
    </row>
    <row r="662" spans="11:12" x14ac:dyDescent="0.35">
      <c r="K662" s="31">
        <v>43977</v>
      </c>
      <c r="L662" s="16">
        <v>95197.180000000008</v>
      </c>
    </row>
    <row r="663" spans="11:12" x14ac:dyDescent="0.35">
      <c r="K663" s="31">
        <v>43978</v>
      </c>
      <c r="L663" s="16">
        <v>4386</v>
      </c>
    </row>
    <row r="664" spans="11:12" x14ac:dyDescent="0.35">
      <c r="K664" s="31">
        <v>43979</v>
      </c>
      <c r="L664" s="16">
        <v>14970</v>
      </c>
    </row>
    <row r="665" spans="11:12" x14ac:dyDescent="0.35">
      <c r="K665" s="31">
        <v>43981</v>
      </c>
      <c r="L665" s="16">
        <v>68469.58</v>
      </c>
    </row>
    <row r="666" spans="11:12" x14ac:dyDescent="0.35">
      <c r="K666" s="31">
        <v>43984</v>
      </c>
      <c r="L666" s="16">
        <v>186966.02999999997</v>
      </c>
    </row>
    <row r="667" spans="11:12" x14ac:dyDescent="0.35">
      <c r="K667" s="31">
        <v>43985</v>
      </c>
      <c r="L667" s="16">
        <v>22954</v>
      </c>
    </row>
    <row r="668" spans="11:12" x14ac:dyDescent="0.35">
      <c r="K668" s="31">
        <v>43986</v>
      </c>
      <c r="L668" s="16">
        <v>3582</v>
      </c>
    </row>
    <row r="669" spans="11:12" x14ac:dyDescent="0.35">
      <c r="K669" s="31">
        <v>43987</v>
      </c>
      <c r="L669" s="16">
        <v>37799.1</v>
      </c>
    </row>
    <row r="670" spans="11:12" x14ac:dyDescent="0.35">
      <c r="K670" s="31">
        <v>43988</v>
      </c>
      <c r="L670" s="16">
        <v>64308</v>
      </c>
    </row>
    <row r="671" spans="11:12" x14ac:dyDescent="0.35">
      <c r="K671" s="31">
        <v>43990</v>
      </c>
      <c r="L671" s="16">
        <v>98079.3</v>
      </c>
    </row>
    <row r="672" spans="11:12" x14ac:dyDescent="0.35">
      <c r="K672" s="31">
        <v>43991</v>
      </c>
      <c r="L672" s="16">
        <v>104997</v>
      </c>
    </row>
    <row r="673" spans="11:12" x14ac:dyDescent="0.35">
      <c r="K673" s="31">
        <v>43992</v>
      </c>
      <c r="L673" s="16">
        <v>4590.8</v>
      </c>
    </row>
    <row r="674" spans="11:12" x14ac:dyDescent="0.35">
      <c r="K674" s="31">
        <v>43993</v>
      </c>
      <c r="L674" s="16">
        <v>13616.32</v>
      </c>
    </row>
    <row r="675" spans="11:12" x14ac:dyDescent="0.35">
      <c r="K675" s="31">
        <v>43994</v>
      </c>
      <c r="L675" s="16">
        <v>64352</v>
      </c>
    </row>
    <row r="676" spans="11:12" x14ac:dyDescent="0.35">
      <c r="K676" s="31">
        <v>43995</v>
      </c>
      <c r="L676" s="16">
        <v>117197.2</v>
      </c>
    </row>
    <row r="677" spans="11:12" x14ac:dyDescent="0.35">
      <c r="K677" s="31">
        <v>43996</v>
      </c>
      <c r="L677" s="16">
        <v>84077.4</v>
      </c>
    </row>
    <row r="678" spans="11:12" x14ac:dyDescent="0.35">
      <c r="K678" s="31">
        <v>43997</v>
      </c>
      <c r="L678" s="16">
        <v>33249.050000000003</v>
      </c>
    </row>
    <row r="679" spans="11:12" x14ac:dyDescent="0.35">
      <c r="K679" s="31">
        <v>43998</v>
      </c>
      <c r="L679" s="16">
        <v>137042.01</v>
      </c>
    </row>
    <row r="680" spans="11:12" x14ac:dyDescent="0.35">
      <c r="K680" s="31">
        <v>44000</v>
      </c>
      <c r="L680" s="16">
        <v>11977</v>
      </c>
    </row>
    <row r="681" spans="11:12" x14ac:dyDescent="0.35">
      <c r="K681" s="31">
        <v>44001</v>
      </c>
      <c r="L681" s="16">
        <v>1225.5</v>
      </c>
    </row>
    <row r="682" spans="11:12" x14ac:dyDescent="0.35">
      <c r="K682" s="31">
        <v>44002</v>
      </c>
      <c r="L682" s="16">
        <v>66277</v>
      </c>
    </row>
    <row r="683" spans="11:12" x14ac:dyDescent="0.35">
      <c r="K683" s="31">
        <v>44003</v>
      </c>
      <c r="L683" s="16">
        <v>79198.2</v>
      </c>
    </row>
    <row r="684" spans="11:12" x14ac:dyDescent="0.35">
      <c r="K684" s="31">
        <v>44004</v>
      </c>
      <c r="L684" s="16">
        <v>75996.2</v>
      </c>
    </row>
    <row r="685" spans="11:12" x14ac:dyDescent="0.35">
      <c r="K685" s="31">
        <v>44005</v>
      </c>
      <c r="L685" s="16">
        <v>3998</v>
      </c>
    </row>
    <row r="686" spans="11:12" x14ac:dyDescent="0.35">
      <c r="K686" s="31">
        <v>44006</v>
      </c>
      <c r="L686" s="16">
        <v>3391.5</v>
      </c>
    </row>
    <row r="687" spans="11:12" x14ac:dyDescent="0.35">
      <c r="K687" s="31">
        <v>44009</v>
      </c>
      <c r="L687" s="16">
        <v>56398.080000000002</v>
      </c>
    </row>
    <row r="688" spans="11:12" x14ac:dyDescent="0.35">
      <c r="K688" s="31">
        <v>44010</v>
      </c>
      <c r="L688" s="16">
        <v>2759.08</v>
      </c>
    </row>
    <row r="689" spans="11:12" x14ac:dyDescent="0.35">
      <c r="K689" s="31">
        <v>44011</v>
      </c>
      <c r="L689" s="16">
        <v>13537.1</v>
      </c>
    </row>
    <row r="690" spans="11:12" x14ac:dyDescent="0.35">
      <c r="K690" s="31">
        <v>44014</v>
      </c>
      <c r="L690" s="16">
        <v>132996.20000000001</v>
      </c>
    </row>
    <row r="691" spans="11:12" x14ac:dyDescent="0.35">
      <c r="K691" s="31">
        <v>44015</v>
      </c>
      <c r="L691" s="16">
        <v>65149.1</v>
      </c>
    </row>
    <row r="692" spans="11:12" x14ac:dyDescent="0.35">
      <c r="K692" s="31">
        <v>44016</v>
      </c>
      <c r="L692" s="16">
        <v>2699.1</v>
      </c>
    </row>
    <row r="693" spans="11:12" x14ac:dyDescent="0.35">
      <c r="K693" s="31">
        <v>44017</v>
      </c>
      <c r="L693" s="16">
        <v>34859.35</v>
      </c>
    </row>
    <row r="694" spans="11:12" x14ac:dyDescent="0.35">
      <c r="K694" s="31">
        <v>44020</v>
      </c>
      <c r="L694" s="16">
        <v>143786.38</v>
      </c>
    </row>
    <row r="695" spans="11:12" x14ac:dyDescent="0.35">
      <c r="K695" s="31">
        <v>44021</v>
      </c>
      <c r="L695" s="16">
        <v>94996.2</v>
      </c>
    </row>
    <row r="696" spans="11:12" x14ac:dyDescent="0.35">
      <c r="K696" s="31">
        <v>44023</v>
      </c>
      <c r="L696" s="16">
        <v>3670.8</v>
      </c>
    </row>
    <row r="697" spans="11:12" x14ac:dyDescent="0.35">
      <c r="K697" s="31">
        <v>44025</v>
      </c>
      <c r="L697" s="16">
        <v>303331.20999999996</v>
      </c>
    </row>
    <row r="698" spans="11:12" x14ac:dyDescent="0.35">
      <c r="K698" s="31">
        <v>44026</v>
      </c>
      <c r="L698" s="16">
        <v>21849.05</v>
      </c>
    </row>
    <row r="699" spans="11:12" x14ac:dyDescent="0.35">
      <c r="K699" s="31">
        <v>44027</v>
      </c>
      <c r="L699" s="16">
        <v>51058.18</v>
      </c>
    </row>
    <row r="700" spans="11:12" x14ac:dyDescent="0.35">
      <c r="K700" s="31">
        <v>44028</v>
      </c>
      <c r="L700" s="16">
        <v>205753.08</v>
      </c>
    </row>
    <row r="701" spans="11:12" x14ac:dyDescent="0.35">
      <c r="K701" s="31">
        <v>44029</v>
      </c>
      <c r="L701" s="16">
        <v>37799.1</v>
      </c>
    </row>
    <row r="702" spans="11:12" x14ac:dyDescent="0.35">
      <c r="K702" s="31">
        <v>44030</v>
      </c>
      <c r="L702" s="16">
        <v>280094.25</v>
      </c>
    </row>
    <row r="703" spans="11:12" x14ac:dyDescent="0.35">
      <c r="K703" s="31">
        <v>44031</v>
      </c>
      <c r="L703" s="16">
        <v>12058.24</v>
      </c>
    </row>
    <row r="704" spans="11:12" x14ac:dyDescent="0.35">
      <c r="K704" s="31">
        <v>44032</v>
      </c>
      <c r="L704" s="16">
        <v>2759.08</v>
      </c>
    </row>
    <row r="705" spans="11:12" x14ac:dyDescent="0.35">
      <c r="K705" s="31">
        <v>44033</v>
      </c>
      <c r="L705" s="16">
        <v>6422</v>
      </c>
    </row>
    <row r="706" spans="11:12" x14ac:dyDescent="0.35">
      <c r="K706" s="31">
        <v>44034</v>
      </c>
      <c r="L706" s="16">
        <v>73667.210000000006</v>
      </c>
    </row>
    <row r="707" spans="11:12" x14ac:dyDescent="0.35">
      <c r="K707" s="31">
        <v>44035</v>
      </c>
      <c r="L707" s="16">
        <v>110857.05</v>
      </c>
    </row>
    <row r="708" spans="11:12" x14ac:dyDescent="0.35">
      <c r="K708" s="31">
        <v>44036</v>
      </c>
      <c r="L708" s="16">
        <v>98507.1</v>
      </c>
    </row>
    <row r="709" spans="11:12" x14ac:dyDescent="0.35">
      <c r="K709" s="31">
        <v>44038</v>
      </c>
      <c r="L709" s="16">
        <v>117795.1</v>
      </c>
    </row>
    <row r="710" spans="11:12" x14ac:dyDescent="0.35">
      <c r="K710" s="31">
        <v>44039</v>
      </c>
      <c r="L710" s="16">
        <v>183075.40000000002</v>
      </c>
    </row>
    <row r="711" spans="11:12" x14ac:dyDescent="0.35">
      <c r="K711" s="31">
        <v>44041</v>
      </c>
      <c r="L711" s="16">
        <v>68398.2</v>
      </c>
    </row>
    <row r="712" spans="11:12" x14ac:dyDescent="0.35">
      <c r="K712" s="31">
        <v>44042</v>
      </c>
      <c r="L712" s="16">
        <v>63948.15</v>
      </c>
    </row>
    <row r="713" spans="11:12" x14ac:dyDescent="0.35">
      <c r="K713" s="31">
        <v>44043</v>
      </c>
      <c r="L713" s="16">
        <v>45781</v>
      </c>
    </row>
    <row r="714" spans="11:12" x14ac:dyDescent="0.35">
      <c r="K714" s="31">
        <v>44044</v>
      </c>
      <c r="L714" s="16">
        <v>159047.32</v>
      </c>
    </row>
    <row r="715" spans="11:12" x14ac:dyDescent="0.35">
      <c r="K715" s="31">
        <v>44047</v>
      </c>
      <c r="L715" s="16">
        <v>34959.08</v>
      </c>
    </row>
    <row r="716" spans="11:12" x14ac:dyDescent="0.35">
      <c r="K716" s="31">
        <v>44048</v>
      </c>
      <c r="L716" s="16">
        <v>7779</v>
      </c>
    </row>
    <row r="717" spans="11:12" x14ac:dyDescent="0.35">
      <c r="K717" s="31">
        <v>44050</v>
      </c>
      <c r="L717" s="16">
        <v>85498.1</v>
      </c>
    </row>
    <row r="718" spans="11:12" x14ac:dyDescent="0.35">
      <c r="K718" s="31">
        <v>44052</v>
      </c>
      <c r="L718" s="16">
        <v>181077.59999999998</v>
      </c>
    </row>
    <row r="719" spans="11:12" x14ac:dyDescent="0.35">
      <c r="K719" s="31">
        <v>44055</v>
      </c>
      <c r="L719" s="16">
        <v>12349.05</v>
      </c>
    </row>
    <row r="720" spans="11:12" x14ac:dyDescent="0.35">
      <c r="K720" s="31">
        <v>44056</v>
      </c>
      <c r="L720" s="16">
        <v>211416.32000000001</v>
      </c>
    </row>
    <row r="721" spans="11:12" x14ac:dyDescent="0.35">
      <c r="K721" s="31">
        <v>44058</v>
      </c>
      <c r="L721" s="16">
        <v>50248.200000000004</v>
      </c>
    </row>
    <row r="722" spans="11:12" x14ac:dyDescent="0.35">
      <c r="K722" s="31">
        <v>44059</v>
      </c>
      <c r="L722" s="16">
        <v>1490</v>
      </c>
    </row>
    <row r="723" spans="11:12" x14ac:dyDescent="0.35">
      <c r="K723" s="31">
        <v>44060</v>
      </c>
      <c r="L723" s="16">
        <v>34959.08</v>
      </c>
    </row>
    <row r="724" spans="11:12" x14ac:dyDescent="0.35">
      <c r="K724" s="31">
        <v>44063</v>
      </c>
      <c r="L724" s="16">
        <v>56997.15</v>
      </c>
    </row>
    <row r="725" spans="11:12" x14ac:dyDescent="0.35">
      <c r="K725" s="31">
        <v>44067</v>
      </c>
      <c r="L725" s="16">
        <v>31499.1</v>
      </c>
    </row>
    <row r="726" spans="11:12" x14ac:dyDescent="0.35">
      <c r="K726" s="31">
        <v>44068</v>
      </c>
      <c r="L726" s="16">
        <v>66099</v>
      </c>
    </row>
    <row r="727" spans="11:12" x14ac:dyDescent="0.35">
      <c r="K727" s="31">
        <v>44069</v>
      </c>
      <c r="L727" s="16">
        <v>199237.80000000002</v>
      </c>
    </row>
    <row r="728" spans="11:12" x14ac:dyDescent="0.35">
      <c r="K728" s="31">
        <v>44070</v>
      </c>
      <c r="L728" s="16">
        <v>41318.130000000005</v>
      </c>
    </row>
    <row r="729" spans="11:12" x14ac:dyDescent="0.35">
      <c r="K729" s="31">
        <v>44071</v>
      </c>
      <c r="L729" s="16">
        <v>52249.05</v>
      </c>
    </row>
    <row r="730" spans="11:12" x14ac:dyDescent="0.35">
      <c r="K730" s="31">
        <v>44073</v>
      </c>
      <c r="L730" s="16">
        <v>1290</v>
      </c>
    </row>
    <row r="731" spans="11:12" x14ac:dyDescent="0.35">
      <c r="K731" s="31">
        <v>44075</v>
      </c>
      <c r="L731" s="16">
        <v>52660.6</v>
      </c>
    </row>
    <row r="732" spans="11:12" x14ac:dyDescent="0.35">
      <c r="K732" s="31">
        <v>44078</v>
      </c>
      <c r="L732" s="16">
        <v>99747.15</v>
      </c>
    </row>
    <row r="733" spans="11:12" x14ac:dyDescent="0.35">
      <c r="K733" s="31">
        <v>44079</v>
      </c>
      <c r="L733" s="16">
        <v>54397.120000000003</v>
      </c>
    </row>
    <row r="734" spans="11:12" x14ac:dyDescent="0.35">
      <c r="K734" s="31">
        <v>44080</v>
      </c>
      <c r="L734" s="16">
        <v>60346.350000000006</v>
      </c>
    </row>
    <row r="735" spans="11:12" x14ac:dyDescent="0.35">
      <c r="K735" s="31">
        <v>44081</v>
      </c>
      <c r="L735" s="16">
        <v>59398.2</v>
      </c>
    </row>
    <row r="736" spans="11:12" x14ac:dyDescent="0.35">
      <c r="K736" s="31">
        <v>44082</v>
      </c>
      <c r="L736" s="16">
        <v>23366.6</v>
      </c>
    </row>
    <row r="737" spans="11:12" x14ac:dyDescent="0.35">
      <c r="K737" s="31">
        <v>44083</v>
      </c>
      <c r="L737" s="16">
        <v>42898.05</v>
      </c>
    </row>
    <row r="738" spans="11:12" x14ac:dyDescent="0.35">
      <c r="K738" s="31">
        <v>44084</v>
      </c>
      <c r="L738" s="16">
        <v>123197.28</v>
      </c>
    </row>
    <row r="739" spans="11:12" x14ac:dyDescent="0.35">
      <c r="K739" s="31">
        <v>44085</v>
      </c>
      <c r="L739" s="16">
        <v>65826.149999999994</v>
      </c>
    </row>
    <row r="740" spans="11:12" x14ac:dyDescent="0.35">
      <c r="K740" s="31">
        <v>44086</v>
      </c>
      <c r="L740" s="16">
        <v>48999</v>
      </c>
    </row>
    <row r="741" spans="11:12" x14ac:dyDescent="0.35">
      <c r="K741" s="31">
        <v>44087</v>
      </c>
      <c r="L741" s="16">
        <v>24999</v>
      </c>
    </row>
    <row r="742" spans="11:12" x14ac:dyDescent="0.35">
      <c r="K742" s="31">
        <v>44088</v>
      </c>
      <c r="L742" s="16">
        <v>35042.199999999997</v>
      </c>
    </row>
    <row r="743" spans="11:12" x14ac:dyDescent="0.35">
      <c r="K743" s="31">
        <v>44089</v>
      </c>
      <c r="L743" s="16">
        <v>49871.450000000004</v>
      </c>
    </row>
    <row r="744" spans="11:12" x14ac:dyDescent="0.35">
      <c r="K744" s="31">
        <v>44090</v>
      </c>
      <c r="L744" s="16">
        <v>2849.05</v>
      </c>
    </row>
    <row r="745" spans="11:12" x14ac:dyDescent="0.35">
      <c r="K745" s="31">
        <v>44091</v>
      </c>
      <c r="L745" s="16">
        <v>8982</v>
      </c>
    </row>
    <row r="746" spans="11:12" x14ac:dyDescent="0.35">
      <c r="K746" s="31">
        <v>44092</v>
      </c>
      <c r="L746" s="16">
        <v>66900</v>
      </c>
    </row>
    <row r="747" spans="11:12" x14ac:dyDescent="0.35">
      <c r="K747" s="31">
        <v>44093</v>
      </c>
      <c r="L747" s="16">
        <v>143032.31</v>
      </c>
    </row>
    <row r="748" spans="11:12" x14ac:dyDescent="0.35">
      <c r="K748" s="31">
        <v>44094</v>
      </c>
      <c r="L748" s="16">
        <v>1370.8</v>
      </c>
    </row>
    <row r="749" spans="11:12" x14ac:dyDescent="0.35">
      <c r="K749" s="31">
        <v>44095</v>
      </c>
      <c r="L749" s="16">
        <v>96747.1</v>
      </c>
    </row>
    <row r="750" spans="11:12" x14ac:dyDescent="0.35">
      <c r="K750" s="31">
        <v>44096</v>
      </c>
      <c r="L750" s="16">
        <v>10542.4</v>
      </c>
    </row>
    <row r="751" spans="11:12" x14ac:dyDescent="0.35">
      <c r="K751" s="31">
        <v>44097</v>
      </c>
      <c r="L751" s="16">
        <v>2322</v>
      </c>
    </row>
    <row r="752" spans="11:12" x14ac:dyDescent="0.35">
      <c r="K752" s="31">
        <v>44098</v>
      </c>
      <c r="L752" s="16">
        <v>3990</v>
      </c>
    </row>
    <row r="753" spans="11:12" x14ac:dyDescent="0.35">
      <c r="K753" s="31">
        <v>44099</v>
      </c>
      <c r="L753" s="16">
        <v>31529.899999999998</v>
      </c>
    </row>
    <row r="754" spans="11:12" x14ac:dyDescent="0.35">
      <c r="K754" s="31">
        <v>44100</v>
      </c>
      <c r="L754" s="16">
        <v>139996</v>
      </c>
    </row>
    <row r="755" spans="11:12" x14ac:dyDescent="0.35">
      <c r="K755" s="31">
        <v>44102</v>
      </c>
      <c r="L755" s="16">
        <v>2759.08</v>
      </c>
    </row>
    <row r="756" spans="11:12" x14ac:dyDescent="0.35">
      <c r="K756" s="31">
        <v>44104</v>
      </c>
      <c r="L756" s="16">
        <v>1799.1</v>
      </c>
    </row>
    <row r="757" spans="11:12" x14ac:dyDescent="0.35">
      <c r="K757" s="31">
        <v>44105</v>
      </c>
      <c r="L757" s="16">
        <v>4790</v>
      </c>
    </row>
    <row r="758" spans="11:12" x14ac:dyDescent="0.35">
      <c r="K758" s="31">
        <v>44106</v>
      </c>
      <c r="L758" s="16">
        <v>90158.16</v>
      </c>
    </row>
    <row r="759" spans="11:12" x14ac:dyDescent="0.35">
      <c r="K759" s="31">
        <v>44107</v>
      </c>
      <c r="L759" s="16">
        <v>104498.1</v>
      </c>
    </row>
    <row r="760" spans="11:12" x14ac:dyDescent="0.35">
      <c r="K760" s="31">
        <v>44108</v>
      </c>
      <c r="L760" s="16">
        <v>121956.33</v>
      </c>
    </row>
    <row r="761" spans="11:12" x14ac:dyDescent="0.35">
      <c r="K761" s="31">
        <v>44109</v>
      </c>
      <c r="L761" s="16">
        <v>51299.05</v>
      </c>
    </row>
    <row r="762" spans="11:12" x14ac:dyDescent="0.35">
      <c r="K762" s="31">
        <v>44110</v>
      </c>
      <c r="L762" s="16">
        <v>9810.7999999999993</v>
      </c>
    </row>
    <row r="763" spans="11:12" x14ac:dyDescent="0.35">
      <c r="K763" s="31">
        <v>44111</v>
      </c>
      <c r="L763" s="16">
        <v>227068.3</v>
      </c>
    </row>
    <row r="764" spans="11:12" x14ac:dyDescent="0.35">
      <c r="K764" s="31">
        <v>44113</v>
      </c>
      <c r="L764" s="16">
        <v>46546.15</v>
      </c>
    </row>
    <row r="765" spans="11:12" x14ac:dyDescent="0.35">
      <c r="K765" s="31">
        <v>44114</v>
      </c>
      <c r="L765" s="16">
        <v>75998</v>
      </c>
    </row>
    <row r="766" spans="11:12" x14ac:dyDescent="0.35">
      <c r="K766" s="31">
        <v>44115</v>
      </c>
      <c r="L766" s="16">
        <v>69918.16</v>
      </c>
    </row>
    <row r="767" spans="11:12" x14ac:dyDescent="0.35">
      <c r="K767" s="31">
        <v>44116</v>
      </c>
      <c r="L767" s="16">
        <v>49369.599999999999</v>
      </c>
    </row>
    <row r="768" spans="11:12" x14ac:dyDescent="0.35">
      <c r="K768" s="31">
        <v>44117</v>
      </c>
      <c r="L768" s="16">
        <v>22499.1</v>
      </c>
    </row>
    <row r="769" spans="11:12" x14ac:dyDescent="0.35">
      <c r="K769" s="31">
        <v>44119</v>
      </c>
      <c r="L769" s="16">
        <v>40957.08</v>
      </c>
    </row>
    <row r="770" spans="11:12" x14ac:dyDescent="0.35">
      <c r="K770" s="31">
        <v>44120</v>
      </c>
      <c r="L770" s="16">
        <v>31349.05</v>
      </c>
    </row>
    <row r="771" spans="11:12" x14ac:dyDescent="0.35">
      <c r="K771" s="31">
        <v>44122</v>
      </c>
      <c r="L771" s="16">
        <v>8547.15</v>
      </c>
    </row>
    <row r="772" spans="11:12" x14ac:dyDescent="0.35">
      <c r="K772" s="31">
        <v>44124</v>
      </c>
      <c r="L772" s="16">
        <v>3380.5</v>
      </c>
    </row>
    <row r="773" spans="11:12" x14ac:dyDescent="0.35">
      <c r="K773" s="31">
        <v>44125</v>
      </c>
      <c r="L773" s="16">
        <v>172036.36</v>
      </c>
    </row>
    <row r="774" spans="11:12" x14ac:dyDescent="0.35">
      <c r="K774" s="31">
        <v>44126</v>
      </c>
      <c r="L774" s="16">
        <v>79471</v>
      </c>
    </row>
    <row r="775" spans="11:12" x14ac:dyDescent="0.35">
      <c r="K775" s="31">
        <v>44127</v>
      </c>
      <c r="L775" s="16">
        <v>24300.3</v>
      </c>
    </row>
    <row r="776" spans="11:12" x14ac:dyDescent="0.35">
      <c r="K776" s="31">
        <v>44129</v>
      </c>
      <c r="L776" s="16">
        <v>3790.5</v>
      </c>
    </row>
    <row r="777" spans="11:12" x14ac:dyDescent="0.35">
      <c r="K777" s="31">
        <v>44130</v>
      </c>
      <c r="L777" s="16">
        <v>43539.65</v>
      </c>
    </row>
    <row r="778" spans="11:12" x14ac:dyDescent="0.35">
      <c r="K778" s="31">
        <v>44132</v>
      </c>
      <c r="L778" s="16">
        <v>339391.56000000006</v>
      </c>
    </row>
    <row r="779" spans="11:12" x14ac:dyDescent="0.35">
      <c r="K779" s="31">
        <v>44136</v>
      </c>
      <c r="L779" s="16">
        <v>37999</v>
      </c>
    </row>
    <row r="780" spans="11:12" x14ac:dyDescent="0.35">
      <c r="K780" s="31">
        <v>44137</v>
      </c>
      <c r="L780" s="16">
        <v>46633.850000000006</v>
      </c>
    </row>
    <row r="781" spans="11:12" x14ac:dyDescent="0.35">
      <c r="K781" s="31">
        <v>44138</v>
      </c>
      <c r="L781" s="16">
        <v>11959.08</v>
      </c>
    </row>
    <row r="782" spans="11:12" x14ac:dyDescent="0.35">
      <c r="K782" s="31">
        <v>44140</v>
      </c>
      <c r="L782" s="16">
        <v>2549.15</v>
      </c>
    </row>
    <row r="783" spans="11:12" x14ac:dyDescent="0.35">
      <c r="K783" s="31">
        <v>44141</v>
      </c>
      <c r="L783" s="16">
        <v>40998.17</v>
      </c>
    </row>
    <row r="784" spans="11:12" x14ac:dyDescent="0.35">
      <c r="K784" s="31">
        <v>44142</v>
      </c>
      <c r="L784" s="16">
        <v>107998</v>
      </c>
    </row>
    <row r="785" spans="11:12" x14ac:dyDescent="0.35">
      <c r="K785" s="31">
        <v>44143</v>
      </c>
      <c r="L785" s="16">
        <v>95996.160000000003</v>
      </c>
    </row>
    <row r="786" spans="11:12" x14ac:dyDescent="0.35">
      <c r="K786" s="31">
        <v>44144</v>
      </c>
      <c r="L786" s="16">
        <v>91077.08</v>
      </c>
    </row>
    <row r="787" spans="11:12" x14ac:dyDescent="0.35">
      <c r="K787" s="31">
        <v>44145</v>
      </c>
      <c r="L787" s="16">
        <v>21159.08</v>
      </c>
    </row>
    <row r="788" spans="11:12" x14ac:dyDescent="0.35">
      <c r="K788" s="31">
        <v>44146</v>
      </c>
      <c r="L788" s="16">
        <v>7789.1</v>
      </c>
    </row>
    <row r="789" spans="11:12" x14ac:dyDescent="0.35">
      <c r="K789" s="31">
        <v>44149</v>
      </c>
      <c r="L789" s="16">
        <v>41649.15</v>
      </c>
    </row>
    <row r="790" spans="11:12" x14ac:dyDescent="0.35">
      <c r="K790" s="31">
        <v>44150</v>
      </c>
      <c r="L790" s="16">
        <v>39647.210000000006</v>
      </c>
    </row>
    <row r="791" spans="11:12" x14ac:dyDescent="0.35">
      <c r="K791" s="31">
        <v>44151</v>
      </c>
      <c r="L791" s="16">
        <v>39899.050000000003</v>
      </c>
    </row>
    <row r="792" spans="11:12" x14ac:dyDescent="0.35">
      <c r="K792" s="31">
        <v>44152</v>
      </c>
      <c r="L792" s="16">
        <v>61488.740000000005</v>
      </c>
    </row>
    <row r="793" spans="11:12" x14ac:dyDescent="0.35">
      <c r="K793" s="31">
        <v>44153</v>
      </c>
      <c r="L793" s="16">
        <v>79798.100000000006</v>
      </c>
    </row>
    <row r="794" spans="11:12" x14ac:dyDescent="0.35">
      <c r="K794" s="31">
        <v>44154</v>
      </c>
      <c r="L794" s="16">
        <v>71298.13</v>
      </c>
    </row>
    <row r="795" spans="11:12" x14ac:dyDescent="0.35">
      <c r="K795" s="31">
        <v>44155</v>
      </c>
      <c r="L795" s="16">
        <v>93770.1</v>
      </c>
    </row>
    <row r="796" spans="11:12" x14ac:dyDescent="0.35">
      <c r="K796" s="31">
        <v>44157</v>
      </c>
      <c r="L796" s="16">
        <v>79798.100000000006</v>
      </c>
    </row>
    <row r="797" spans="11:12" x14ac:dyDescent="0.35">
      <c r="K797" s="31">
        <v>44159</v>
      </c>
      <c r="L797" s="16">
        <v>63987</v>
      </c>
    </row>
    <row r="798" spans="11:12" x14ac:dyDescent="0.35">
      <c r="K798" s="31">
        <v>44160</v>
      </c>
      <c r="L798" s="16">
        <v>5575.55</v>
      </c>
    </row>
    <row r="799" spans="11:12" x14ac:dyDescent="0.35">
      <c r="K799" s="31">
        <v>44162</v>
      </c>
      <c r="L799" s="16">
        <v>91317.16</v>
      </c>
    </row>
    <row r="800" spans="11:12" x14ac:dyDescent="0.35">
      <c r="K800" s="31">
        <v>44163</v>
      </c>
      <c r="L800" s="16">
        <v>137835.45000000001</v>
      </c>
    </row>
    <row r="801" spans="11:12" x14ac:dyDescent="0.35">
      <c r="K801" s="31">
        <v>44165</v>
      </c>
      <c r="L801" s="16">
        <v>37998.1</v>
      </c>
    </row>
    <row r="802" spans="11:12" x14ac:dyDescent="0.35">
      <c r="K802" s="31">
        <v>44166</v>
      </c>
      <c r="L802" s="16">
        <v>46549.05</v>
      </c>
    </row>
    <row r="803" spans="11:12" x14ac:dyDescent="0.35">
      <c r="K803" s="31">
        <v>44167</v>
      </c>
      <c r="L803" s="16">
        <v>1290</v>
      </c>
    </row>
    <row r="804" spans="11:12" x14ac:dyDescent="0.35">
      <c r="K804" s="31">
        <v>44168</v>
      </c>
      <c r="L804" s="16">
        <v>7996</v>
      </c>
    </row>
    <row r="805" spans="11:12" x14ac:dyDescent="0.35">
      <c r="K805" s="31">
        <v>44169</v>
      </c>
      <c r="L805" s="16">
        <v>64817.26</v>
      </c>
    </row>
    <row r="806" spans="11:12" x14ac:dyDescent="0.35">
      <c r="K806" s="31">
        <v>44171</v>
      </c>
      <c r="L806" s="16">
        <v>56798.15</v>
      </c>
    </row>
    <row r="807" spans="11:12" x14ac:dyDescent="0.35">
      <c r="K807" s="31">
        <v>44173</v>
      </c>
      <c r="L807" s="16">
        <v>176909.1</v>
      </c>
    </row>
    <row r="808" spans="11:12" x14ac:dyDescent="0.35">
      <c r="K808" s="31">
        <v>44175</v>
      </c>
      <c r="L808" s="16">
        <v>49906.1</v>
      </c>
    </row>
    <row r="809" spans="11:12" x14ac:dyDescent="0.35">
      <c r="K809" s="31">
        <v>44176</v>
      </c>
      <c r="L809" s="16">
        <v>276932.62</v>
      </c>
    </row>
    <row r="810" spans="11:12" x14ac:dyDescent="0.35">
      <c r="K810" s="31">
        <v>44180</v>
      </c>
      <c r="L810" s="16">
        <v>68398.2</v>
      </c>
    </row>
    <row r="811" spans="11:12" x14ac:dyDescent="0.35">
      <c r="K811" s="31">
        <v>44181</v>
      </c>
      <c r="L811" s="16">
        <v>20699.099999999999</v>
      </c>
    </row>
    <row r="812" spans="11:12" x14ac:dyDescent="0.35">
      <c r="K812" s="31">
        <v>44184</v>
      </c>
      <c r="L812" s="16">
        <v>81937.210000000006</v>
      </c>
    </row>
    <row r="813" spans="11:12" x14ac:dyDescent="0.35">
      <c r="K813" s="31">
        <v>44185</v>
      </c>
      <c r="L813" s="16">
        <v>14221.5</v>
      </c>
    </row>
    <row r="814" spans="11:12" x14ac:dyDescent="0.35">
      <c r="K814" s="31">
        <v>44187</v>
      </c>
      <c r="L814" s="16">
        <v>21159.08</v>
      </c>
    </row>
    <row r="815" spans="11:12" x14ac:dyDescent="0.35">
      <c r="K815" s="31">
        <v>44189</v>
      </c>
      <c r="L815" s="16">
        <v>187236.26</v>
      </c>
    </row>
    <row r="816" spans="11:12" x14ac:dyDescent="0.35">
      <c r="K816" s="31">
        <v>44190</v>
      </c>
      <c r="L816" s="16">
        <v>172605.15</v>
      </c>
    </row>
    <row r="817" spans="11:12" x14ac:dyDescent="0.35">
      <c r="K817" s="31">
        <v>44193</v>
      </c>
      <c r="L817" s="16">
        <v>48999</v>
      </c>
    </row>
    <row r="818" spans="11:12" x14ac:dyDescent="0.35">
      <c r="K818" s="31">
        <v>44194</v>
      </c>
      <c r="L818" s="16">
        <v>80666.48000000001</v>
      </c>
    </row>
    <row r="819" spans="11:12" x14ac:dyDescent="0.35">
      <c r="K819" s="31">
        <v>43147</v>
      </c>
      <c r="L819" s="16">
        <v>2980</v>
      </c>
    </row>
    <row r="820" spans="11:12" x14ac:dyDescent="0.35">
      <c r="K820" s="31">
        <v>43179</v>
      </c>
      <c r="L820" s="16">
        <v>69900</v>
      </c>
    </row>
    <row r="821" spans="11:12" x14ac:dyDescent="0.35">
      <c r="K821" s="31">
        <v>43223</v>
      </c>
      <c r="L821" s="16">
        <v>33249.050000000003</v>
      </c>
    </row>
    <row r="822" spans="11:12" x14ac:dyDescent="0.35">
      <c r="K822" s="31">
        <v>43288</v>
      </c>
      <c r="L822" s="16">
        <v>132810</v>
      </c>
    </row>
    <row r="823" spans="11:12" x14ac:dyDescent="0.35">
      <c r="K823" s="31">
        <v>43323</v>
      </c>
      <c r="L823" s="16">
        <v>136796.4</v>
      </c>
    </row>
    <row r="824" spans="11:12" x14ac:dyDescent="0.35">
      <c r="K824" s="31">
        <v>43338</v>
      </c>
      <c r="L824" s="16">
        <v>1990</v>
      </c>
    </row>
    <row r="825" spans="11:12" x14ac:dyDescent="0.35">
      <c r="K825" s="31">
        <v>43369</v>
      </c>
      <c r="L825" s="16">
        <v>11980</v>
      </c>
    </row>
    <row r="826" spans="11:12" x14ac:dyDescent="0.35">
      <c r="K826" s="31">
        <v>43372</v>
      </c>
      <c r="L826" s="16">
        <v>1691.5</v>
      </c>
    </row>
    <row r="827" spans="11:12" x14ac:dyDescent="0.35">
      <c r="K827" s="31">
        <v>43379</v>
      </c>
      <c r="L827" s="16">
        <v>45079.08</v>
      </c>
    </row>
    <row r="828" spans="11:12" x14ac:dyDescent="0.35">
      <c r="K828" s="31">
        <v>43508</v>
      </c>
      <c r="L828" s="16">
        <v>61512</v>
      </c>
    </row>
    <row r="829" spans="11:12" x14ac:dyDescent="0.35">
      <c r="K829" s="31">
        <v>43514</v>
      </c>
      <c r="L829" s="16">
        <v>45079.08</v>
      </c>
    </row>
    <row r="830" spans="11:12" x14ac:dyDescent="0.35">
      <c r="K830" s="31">
        <v>43528</v>
      </c>
      <c r="L830" s="16">
        <v>9980</v>
      </c>
    </row>
    <row r="831" spans="11:12" x14ac:dyDescent="0.35">
      <c r="K831" s="31">
        <v>43550</v>
      </c>
      <c r="L831" s="16">
        <v>18363.2</v>
      </c>
    </row>
    <row r="832" spans="11:12" x14ac:dyDescent="0.35">
      <c r="K832" s="31">
        <v>43556</v>
      </c>
      <c r="L832" s="16">
        <v>23749.05</v>
      </c>
    </row>
    <row r="833" spans="11:12" x14ac:dyDescent="0.35">
      <c r="K833" s="31">
        <v>43572</v>
      </c>
      <c r="L833" s="16">
        <v>36099.050000000003</v>
      </c>
    </row>
    <row r="834" spans="11:12" x14ac:dyDescent="0.35">
      <c r="K834" s="31">
        <v>43618</v>
      </c>
      <c r="L834" s="16">
        <v>11049.15</v>
      </c>
    </row>
    <row r="835" spans="11:12" x14ac:dyDescent="0.35">
      <c r="K835" s="31">
        <v>43769</v>
      </c>
      <c r="L835" s="16">
        <v>3670.8</v>
      </c>
    </row>
    <row r="836" spans="11:12" x14ac:dyDescent="0.35">
      <c r="K836" s="31">
        <v>43809</v>
      </c>
      <c r="L836" s="16">
        <v>37999</v>
      </c>
    </row>
    <row r="837" spans="11:12" x14ac:dyDescent="0.35">
      <c r="K837" s="31">
        <v>43817</v>
      </c>
      <c r="L837" s="16">
        <v>98998.2</v>
      </c>
    </row>
    <row r="838" spans="11:12" x14ac:dyDescent="0.35">
      <c r="K838" s="31">
        <v>43827</v>
      </c>
      <c r="L838" s="16">
        <v>2699.1</v>
      </c>
    </row>
    <row r="839" spans="11:12" x14ac:dyDescent="0.35">
      <c r="K839" s="31">
        <v>43871</v>
      </c>
      <c r="L839" s="16">
        <v>140247.45000000001</v>
      </c>
    </row>
    <row r="840" spans="11:12" x14ac:dyDescent="0.35">
      <c r="K840" s="31">
        <v>43930</v>
      </c>
      <c r="L840" s="16">
        <v>74997</v>
      </c>
    </row>
    <row r="841" spans="11:12" x14ac:dyDescent="0.35">
      <c r="K841" s="31">
        <v>43939</v>
      </c>
      <c r="L841" s="16">
        <v>52249.05</v>
      </c>
    </row>
    <row r="842" spans="11:12" x14ac:dyDescent="0.35">
      <c r="K842" s="31">
        <v>43958</v>
      </c>
      <c r="L842" s="16">
        <v>118796.4</v>
      </c>
    </row>
    <row r="843" spans="11:12" x14ac:dyDescent="0.35">
      <c r="K843" s="31">
        <v>43959</v>
      </c>
      <c r="L843" s="16">
        <v>53999</v>
      </c>
    </row>
    <row r="844" spans="11:12" x14ac:dyDescent="0.35">
      <c r="K844" s="31">
        <v>44022</v>
      </c>
      <c r="L844" s="16">
        <v>2849.05</v>
      </c>
    </row>
    <row r="845" spans="11:12" x14ac:dyDescent="0.35">
      <c r="K845" s="31">
        <v>44074</v>
      </c>
      <c r="L845" s="16">
        <v>172476.48</v>
      </c>
    </row>
    <row r="846" spans="11:12" x14ac:dyDescent="0.35">
      <c r="K846" s="31">
        <v>44169</v>
      </c>
      <c r="L846" s="16">
        <v>31349.05</v>
      </c>
    </row>
    <row r="847" spans="11:12" x14ac:dyDescent="0.35">
      <c r="K847" s="31">
        <v>44189</v>
      </c>
      <c r="L847" s="16">
        <v>4491</v>
      </c>
    </row>
    <row r="848" spans="11:12" x14ac:dyDescent="0.35">
      <c r="K848" s="15" t="s">
        <v>2593</v>
      </c>
      <c r="L848" s="16">
        <v>54668434.829999939</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Sheet6</vt:lpstr>
      <vt:lpstr>DASHBOARD</vt:lpstr>
      <vt:lpstr>Raw_Data</vt:lpstr>
      <vt:lpstr>Sheet4</vt:lpstr>
      <vt:lpstr>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cp:lastModifiedBy>
  <dcterms:created xsi:type="dcterms:W3CDTF">2026-09-11T16:10:09Z</dcterms:created>
  <dcterms:modified xsi:type="dcterms:W3CDTF">2026-09-15T20:32:44Z</dcterms:modified>
</cp:coreProperties>
</file>